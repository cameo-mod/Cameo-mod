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sheets/sheet19.xml" ContentType="application/vnd.openxmlformats-officedocument.spreadsheetml.worksheet+xml"/>
  <Override PartName="/xl/comments/comment18.xml" ContentType="application/vnd.openxmlformats-officedocument.spreadsheetml.comments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sheets/sheet21.xml" ContentType="application/vnd.openxmlformats-officedocument.spreadsheetml.worksheet+xml"/>
  <Override PartName="/xl/comments/comment20.xml" ContentType="application/vnd.openxmlformats-officedocument.spreadsheetml.comments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omments/comment21.xml" ContentType="application/vnd.openxmlformats-officedocument.spreadsheetml.comments+xml"/>
  <Override PartName="/xl/worksheets/sheet24.xml" ContentType="application/vnd.openxmlformats-officedocument.spreadsheetml.worksheet+xml"/>
  <Override PartName="/xl/comments/comment22.xml" ContentType="application/vnd.openxmlformats-officedocument.spreadsheetml.comments+xml"/>
  <Override PartName="/xl/worksheets/sheet25.xml" ContentType="application/vnd.openxmlformats-officedocument.spreadsheetml.worksheet+xml"/>
  <Override PartName="/xl/comments/comment23.xml" ContentType="application/vnd.openxmlformats-officedocument.spreadsheetml.comments+xml"/>
  <Override PartName="/xl/worksheets/sheet26.xml" ContentType="application/vnd.openxmlformats-officedocument.spreadsheetml.worksheet+xml"/>
  <Override PartName="/xl/comments/comment24.xml" ContentType="application/vnd.openxmlformats-officedocument.spreadsheetml.comments+xml"/>
  <Override PartName="/xl/worksheets/sheet27.xml" ContentType="application/vnd.openxmlformats-officedocument.spreadsheetml.worksheet+xml"/>
  <Override PartName="/xl/comments/comment25.xml" ContentType="application/vnd.openxmlformats-officedocument.spreadsheetml.comments+xml"/>
  <Override PartName="/xl/worksheets/sheet28.xml" ContentType="application/vnd.openxmlformats-officedocument.spreadsheetml.worksheet+xml"/>
  <Override PartName="/xl/comments/comment26.xml" ContentType="application/vnd.openxmlformats-officedocument.spreadsheetml.comments+xml"/>
  <Override PartName="/xl/worksheets/sheet29.xml" ContentType="application/vnd.openxmlformats-officedocument.spreadsheetml.worksheet+xml"/>
  <Override PartName="/xl/comments/comment27.xml" ContentType="application/vnd.openxmlformats-officedocument.spreadsheetml.comments+xml"/>
  <Override PartName="/xl/worksheets/sheet30.xml" ContentType="application/vnd.openxmlformats-officedocument.spreadsheetml.worksheet+xml"/>
  <Override PartName="/xl/comments/comment28.xml" ContentType="application/vnd.openxmlformats-officedocument.spreadsheetml.comments+xml"/>
  <Override PartName="/xl/worksheets/sheet31.xml" ContentType="application/vnd.openxmlformats-officedocument.spreadsheetml.worksheet+xml"/>
  <Override PartName="/xl/comments/comment29.xml" ContentType="application/vnd.openxmlformats-officedocument.spreadsheetml.comments+xml"/>
  <Override PartName="/xl/worksheets/sheet32.xml" ContentType="application/vnd.openxmlformats-officedocument.spreadsheetml.worksheet+xml"/>
  <Override PartName="/xl/comments/comment30.xml" ContentType="application/vnd.openxmlformats-officedocument.spreadsheetml.comments+xml"/>
  <Override PartName="/xl/worksheets/sheet33.xml" ContentType="application/vnd.openxmlformats-officedocument.spreadsheetml.worksheet+xml"/>
  <Override PartName="/xl/comments/comment3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nts" sheetId="1" state="visible" r:id="rId1"/>
    <sheet name="d2k_atreides" sheetId="2" state="visible" r:id="rId2"/>
    <sheet name="d2k_harkonnen" sheetId="3" state="visible" r:id="rId3"/>
    <sheet name="d2k_ixian" sheetId="4" state="visible" r:id="rId4"/>
    <sheet name="d2k_ordos" sheetId="5" state="visible" r:id="rId5"/>
    <sheet name="redalert2_allies" sheetId="6" state="visible" r:id="rId6"/>
    <sheet name="redalert2_soviets" sheetId="7" state="visible" r:id="rId7"/>
    <sheet name="redalert2_yuri" sheetId="8" state="visible" r:id="rId8"/>
    <sheet name="redalert2mod_asianalliance" sheetId="9" state="visible" r:id="rId9"/>
    <sheet name="redalert2mod_consortium" sheetId="10" state="visible" r:id="rId10"/>
    <sheet name="redalert2mod_futuretech" sheetId="11" state="visible" r:id="rId11"/>
    <sheet name="redalert2mod_naxis" sheetId="12" state="visible" r:id="rId12"/>
    <sheet name="redalert2mod_schwarzermond" sheetId="13" state="visible" r:id="rId13"/>
    <sheet name="redalert2mod_syndicate" sheetId="14" state="visible" r:id="rId14"/>
    <sheet name="redalert2mod_tkm" sheetId="15" state="visible" r:id="rId15"/>
    <sheet name="redalert_allies" sheetId="16" state="visible" r:id="rId16"/>
    <sheet name="redalert_japan" sheetId="17" state="visible" r:id="rId17"/>
    <sheet name="redalert_soviets" sheetId="18" state="visible" r:id="rId18"/>
    <sheet name="shared_d2k" sheetId="19" state="visible" r:id="rId19"/>
    <sheet name="shared_redalert" sheetId="20" state="visible" r:id="rId20"/>
    <sheet name="shared_redalert2" sheetId="21" state="visible" r:id="rId21"/>
    <sheet name="shared_tiberiandawn" sheetId="22" state="visible" r:id="rId22"/>
    <sheet name="starcraft_protoss" sheetId="23" state="visible" r:id="rId23"/>
    <sheet name="starcraft_terran" sheetId="24" state="visible" r:id="rId24"/>
    <sheet name="starcraft_zerg" sheetId="25" state="visible" r:id="rId25"/>
    <sheet name="tiberiandawn_gdi" sheetId="26" state="visible" r:id="rId26"/>
    <sheet name="tiberiandawn_nod" sheetId="27" state="visible" r:id="rId27"/>
    <sheet name="tiberiansun_cabal" sheetId="28" state="visible" r:id="rId28"/>
    <sheet name="tiberiansun_forgotten" sheetId="29" state="visible" r:id="rId29"/>
    <sheet name="tiberiansun_gdi" sheetId="30" state="visible" r:id="rId30"/>
    <sheet name="tiberiansun_nod" sheetId="31" state="visible" r:id="rId31"/>
    <sheet name="warcraft2_humans" sheetId="32" state="visible" r:id="rId32"/>
    <sheet name="warcraft2_orc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0" hidden="0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comments/comment1.xml><?xml version="1.0" encoding="utf-8"?>
<comments xmlns="http://schemas.openxmlformats.org/spreadsheetml/2006/main">
  <authors>
    <author>balance-pipeline</author>
  </authors>
  <commentList>
    <comment ref="K4" authorId="0" shapeId="0">
      <text>
        <t>raw warhead damages: 8000, 1
import scales all proportionally</t>
      </text>
    </comment>
  </commentList>
</comments>
</file>

<file path=xl/comments/comment2.xml><?xml version="1.0" encoding="utf-8"?>
<comments xmlns="http://schemas.openxmlformats.org/spreadsheetml/2006/main">
  <authors>
    <author>balance-pipeline</author>
  </authors>
  <commentList>
    <comment ref="K4" authorId="0" shapeId="0">
      <text>
        <t>raw warhead damages: 8000, 1
import scales all proportionally</t>
      </text>
    </comment>
  </commentList>
</comments>
</file>

<file path=xl/comments/comment3.xml><?xml version="1.0" encoding="utf-8"?>
<comments xmlns="http://schemas.openxmlformats.org/spreadsheetml/2006/main">
  <authors>
    <author>balance-pipeline</author>
  </authors>
  <commentList>
    <comment ref="K4" authorId="0" shapeId="0">
      <text>
        <t>raw warhead damages: 2000, 1, 2000, 1, 2000, 1, 2000, 1
import scales all proportionally</t>
      </text>
    </comment>
    <comment ref="AA4" authorId="0" shapeId="0">
      <text>
        <t>fires when: !ixian_upgrade_tungstenneedleguns</t>
      </text>
    </comment>
    <comment ref="K5" authorId="0" shapeId="0">
      <text>
        <t>raw warhead damages: 2000, 1, 2000, 1, 2000, 1, 2000, 1, 2000, 1, 2000, 1
import scales all proportionally</t>
      </text>
    </comment>
    <comment ref="AA5" authorId="0" shapeId="0">
      <text>
        <t>fires when: ixian_upgrade_tungstenneedleguns</t>
      </text>
    </comment>
    <comment ref="K6" authorId="0" shapeId="0">
      <text>
        <t>raw warhead damages: 2000, 1, 2000, 1, 2000, 1, 2000, 1
import scales all proportionally</t>
      </text>
    </comment>
    <comment ref="AA6" authorId="0" shapeId="0">
      <text>
        <t>fires when: !ixian_upgrade_tungstenneedleguns</t>
      </text>
    </comment>
    <comment ref="K7" authorId="0" shapeId="0">
      <text>
        <t>raw warhead damages: 2000, 1, 2000, 1, 2000, 1, 2000, 1, 2000, 1, 2000, 1
import scales all proportionally</t>
      </text>
    </comment>
    <comment ref="AA7" authorId="0" shapeId="0">
      <text>
        <t>fires when: ixian_upgrade_tungstenneedleguns</t>
      </text>
    </comment>
    <comment ref="K9" authorId="0" shapeId="0">
      <text>
        <t>raw warhead damages: 2000, 1, 2000, 1
import scales all proportionally</t>
      </text>
    </comment>
    <comment ref="AA9" authorId="0" shapeId="0">
      <text>
        <t>fires when: !ixian_upgrade_tungstenneedleguns</t>
      </text>
    </comment>
    <comment ref="K10" authorId="0" shapeId="0">
      <text>
        <t>raw warhead damages: 2000, 1, 2000, 1, 2000, 1
import scales all proportionally</t>
      </text>
    </comment>
    <comment ref="AA10" authorId="0" shapeId="0">
      <text>
        <t>fires when: ixian_upgrade_tungstenneedleguns</t>
      </text>
    </comment>
    <comment ref="K11" authorId="0" shapeId="0">
      <text>
        <t>raw warhead damages: 2000, 1, 2000, 1
import scales all proportionally</t>
      </text>
    </comment>
    <comment ref="AA11" authorId="0" shapeId="0">
      <text>
        <t>fires when: !ixian_upgrade_tungstenneedleguns</t>
      </text>
    </comment>
    <comment ref="K12" authorId="0" shapeId="0">
      <text>
        <t>raw warhead damages: 2000, 1, 2000, 1, 2000, 1
import scales all proportionally</t>
      </text>
    </comment>
    <comment ref="AA12" authorId="0" shapeId="0">
      <text>
        <t>fires when: ixian_upgrade_tungstenneedleguns</t>
      </text>
    </comment>
    <comment ref="K14" authorId="0" shapeId="0">
      <text>
        <t>raw warhead damages: 8000, 4, 8000, 4, 8000, 4
import scales all proportionally</t>
      </text>
    </comment>
    <comment ref="K15" authorId="0" shapeId="0">
      <text>
        <t>raw warhead damages: 8000, 4, 8000, 4, 8000, 4
import scales all proportionally</t>
      </text>
    </comment>
    <comment ref="K17" authorId="0" shapeId="0">
      <text>
        <t>raw warhead damages: 18000, 9, 1000
import scales all proportionally</t>
      </text>
    </comment>
    <comment ref="K18" authorId="0" shapeId="0">
      <text>
        <t>raw warhead damages: 18000, 9, 1000
import scales all proportionally</t>
      </text>
    </comment>
    <comment ref="K20" authorId="0" shapeId="0">
      <text>
        <t>raw warhead damages: 12000, 6000, 6, 12000, 6, 1000
import scales all proportionally</t>
      </text>
    </comment>
    <comment ref="K21" authorId="0" shapeId="0">
      <text>
        <t>raw warhead damages: 12000, 6000, 6, 12000, 6, 1000
import scales all proportionally</t>
      </text>
    </comment>
    <comment ref="K23" authorId="0" shapeId="0">
      <text>
        <t>raw warhead damages: 8000, 4, 8000, 4, 8000, 4
import scales all proportionally</t>
      </text>
    </comment>
    <comment ref="K24" authorId="0" shapeId="0">
      <text>
        <t>raw warhead damages: 8000, 4000, 4, 8000, 4, 1000, 8000, 4
import scales all proportionally</t>
      </text>
    </comment>
    <comment ref="K25" authorId="0" shapeId="0">
      <text>
        <t>raw warhead damages: 8000, 4, 8000, 4, 8000, 4
import scales all proportionally</t>
      </text>
    </comment>
    <comment ref="K26" authorId="0" shapeId="0">
      <text>
        <t>raw warhead damages: 8000, 4000, 4, 8000, 4, 1000, 8000, 4
import scales all proportionally</t>
      </text>
    </comment>
    <comment ref="K29" authorId="0" shapeId="0">
      <text>
        <t>raw warhead damages: 8000, 4000, 4, 8000, 4000, 4, 8000, 4, 8000, 4
import scales all proportionally</t>
      </text>
    </comment>
    <comment ref="K30" authorId="0" shapeId="0">
      <text>
        <t>raw warhead damages: 8000, 4000, 4, 8000, 4000, 4, 8000, 4, 8000, 4
import scales all proportionally</t>
      </text>
    </comment>
    <comment ref="K32" authorId="0" shapeId="0">
      <text>
        <t>raw warhead damages: 14000, 7000, 7, 14000, 7000, 7, 14000, 7, 14000, 7, 14000, 7, 14000, 7
import scales all proportionally</t>
      </text>
    </comment>
    <comment ref="K33" authorId="0" shapeId="0">
      <text>
        <t>raw warhead damages: 2000, 1, 2000, 1000, 1, 2000, 1, 2000, 1, 2000, 1, 2000, 1
import scales all proportionally</t>
      </text>
    </comment>
    <comment ref="AA33" authorId="0" shapeId="0">
      <text>
        <t>fires when: !ixian_upgrade_tungstenneedleguns</t>
      </text>
    </comment>
    <comment ref="K34" authorId="0" shapeId="0">
      <text>
        <t>raw warhead damages: 2000, 1, 600, 2000, 1, 2000, 1, 2000, 1, 2000, 1000, 1, 2000, 1, 2000, 1, 2000, 1, 2000, 1
import scales all proportionally</t>
      </text>
    </comment>
    <comment ref="AA34" authorId="0" shapeId="0">
      <text>
        <t>fires when: ixian_upgrade_tungstenneedleguns</t>
      </text>
    </comment>
    <comment ref="K36" authorId="0" shapeId="0">
      <text>
        <t>raw warhead damages: 6000, 3
import scales all proportionally</t>
      </text>
    </comment>
    <comment ref="K37" authorId="0" shapeId="0">
      <text>
        <t>raw warhead damages: 2000, 1, 2000, 1
import scales all proportionally</t>
      </text>
    </comment>
    <comment ref="AA37" authorId="0" shapeId="0">
      <text>
        <t>fires when: !ixian_upgrade_tungstenneedleguns</t>
      </text>
    </comment>
    <comment ref="K38" authorId="0" shapeId="0">
      <text>
        <t>raw warhead damages: 2000, 1, 2000, 1, 2000, 1
import scales all proportionally</t>
      </text>
    </comment>
    <comment ref="AA38" authorId="0" shapeId="0">
      <text>
        <t>fires when: ixian_upgrade_tungstenneedleguns</t>
      </text>
    </comment>
    <comment ref="K40" authorId="0" shapeId="0">
      <text>
        <t>raw warhead damages: 8000, 4000, 4, 8000, 4000, 4, 8000, 4
import scales all proportionally</t>
      </text>
    </comment>
    <comment ref="K42" authorId="0" shapeId="0">
      <text>
        <t>raw warhead damages: 8000, 4000, 4, 8000, 4000, 4, 8000, 4
import scales all proportionally</t>
      </text>
    </comment>
    <comment ref="AA44" authorId="0" shapeId="0">
      <text>
        <t>fires when: end_disable == 0</t>
      </text>
    </comment>
    <comment ref="K45" authorId="0" shapeId="0">
      <text>
        <t>raw warhead damages: 2000, 1000, 1
import scales all proportionally</t>
      </text>
    </comment>
    <comment ref="AA45" authorId="0" shapeId="0">
      <text>
        <t>fires when: end_disable &gt;= 1</t>
      </text>
    </comment>
    <comment ref="K47" authorId="0" shapeId="0">
      <text>
        <t>raw warhead damages: 12000, 6000, 6, 12000, 6000, 6, 12000, 6000, 6, 12000, 6
import scales all proportionally</t>
      </text>
    </comment>
    <comment ref="K49" authorId="0" shapeId="0">
      <text>
        <t>raw warhead damages: 4000, 2, 4000, 2, 4000, 2
import scales all proportionally</t>
      </text>
    </comment>
    <comment ref="K52" authorId="0" shapeId="0">
      <text>
        <t>raw warhead damages: 4000, 2000, 2, 4000, 2000, 2, 4000, 2, 4000, 2, 4000, 2, 4000, 2, 1000, 4000, 2, 4000, 2
import scales all proportionally</t>
      </text>
    </comment>
    <comment ref="K54" authorId="0" shapeId="0">
      <text>
        <t>raw warhead damages: 16000, 6000, 8, 16000, 8, 1000
import scales all proportionally</t>
      </text>
    </comment>
    <comment ref="K55" authorId="0" shapeId="0">
      <text>
        <t>raw warhead damages: 6000, 3000, 3, 6000, 3, 6000, 3, 6000, 3
import scales all proportionally</t>
      </text>
    </comment>
    <comment ref="K57" authorId="0" shapeId="0">
      <text>
        <t>raw warhead damages: 20000, 10000, 10, 20000, 10, 1000
import scales all proportionally</t>
      </text>
    </comment>
    <comment ref="K60" authorId="0" shapeId="0">
      <text>
        <t>raw warhead damages: 20000, 10000, 10, 20000, 10, 1000
import scales all proportionally</t>
      </text>
    </comment>
    <comment ref="K61" authorId="0" shapeId="0">
      <text>
        <t>raw warhead damages: 40000, 20000, 20, 40000, 20, 888
import scales all proportionally</t>
      </text>
    </comment>
    <comment ref="K63" authorId="0" shapeId="0">
      <text>
        <t>raw warhead damages: 6000, 3
import scales all proportionally</t>
      </text>
    </comment>
    <comment ref="K66" authorId="0" shapeId="0">
      <text>
        <t>raw warhead damages: 2000, 1000, 1, 2000, 1000, 1, 2000, 1, 600
import scales all proportionally</t>
      </text>
    </comment>
    <comment ref="K68" authorId="0" shapeId="0">
      <text>
        <t>raw warhead damages: 2000, 1, 2000, 1000, 1, 2000, 1, 2000, 1, 2000, 1, 2000, 1
import scales all proportionally</t>
      </text>
    </comment>
    <comment ref="K69" authorId="0" shapeId="0">
      <text>
        <t>raw warhead damages: 4000, 2, 4000, 2, 4000, 2
import scales all proportionally</t>
      </text>
    </comment>
    <comment ref="AA69" authorId="0" shapeId="0">
      <text>
        <t>fires when: !ixian_upgrade_tungstenneedleguns</t>
      </text>
    </comment>
    <comment ref="K70" authorId="0" shapeId="0">
      <text>
        <t>raw warhead damages: 2000, 1, 4000, 2, 2000, 1, 2000, 1
import scales all proportionally</t>
      </text>
    </comment>
    <comment ref="AA70" authorId="0" shapeId="0">
      <text>
        <t>fires when: ixian_upgrade_tungstenneedleguns</t>
      </text>
    </comment>
    <comment ref="K72" authorId="0" shapeId="0">
      <text>
        <t>raw warhead damages: 30000, 15000, 15, 30000, 15, 30000, 15000, 15
import scales all proportionally</t>
      </text>
    </comment>
    <comment ref="K76" authorId="0" shapeId="0">
      <text>
        <t>raw warhead damages: 2000, 1000, 1, 2000, 1000, 1, 2000, 1, 1000
import scales all proportionally</t>
      </text>
    </comment>
    <comment ref="K77" authorId="0" shapeId="0">
      <text>
        <t>raw warhead damages: 2000, 1000, 1, 2000, 1000, 1, 2000, 1, 1000
import scales all proportionally</t>
      </text>
    </comment>
    <comment ref="K79" authorId="0" shapeId="0">
      <text>
        <t>raw warhead damages: 6000, 3, 6000, 3, 6000, 3, 1000, 6000, 3
import scales all proportionally</t>
      </text>
    </comment>
    <comment ref="K81" authorId="0" shapeId="0">
      <text>
        <t>raw warhead damages: -2000, -1000, -1
import scales all proportionally</t>
      </text>
    </comment>
    <comment ref="K87" authorId="0" shapeId="0">
      <text>
        <t>raw warhead damages: 10000, 5, 10000, 5, 10000, 5
import scales all proportionally</t>
      </text>
    </comment>
    <comment ref="K92" authorId="0" shapeId="0">
      <text>
        <t>raw warhead damages: 2000, 1, 2000, 1
import scales all proportionally</t>
      </text>
    </comment>
    <comment ref="AA92" authorId="0" shapeId="0">
      <text>
        <t>fires when: !ixian_upgrade_tungstenneedleguns</t>
      </text>
    </comment>
    <comment ref="K93" authorId="0" shapeId="0">
      <text>
        <t>raw warhead damages: 2000, 1, 2000, 1, 2000, 1
import scales all proportionally</t>
      </text>
    </comment>
    <comment ref="AA93" authorId="0" shapeId="0">
      <text>
        <t>fires when: ixian_upgrade_tungstenneedleguns</t>
      </text>
    </comment>
    <comment ref="K99" authorId="0" shapeId="0">
      <text>
        <t>raw warhead damages: 4000, 2000, 2, 4000, 2000, 2, 4000, 2, 4000, 2
import scales all proportionally</t>
      </text>
    </comment>
    <comment ref="K103" authorId="0" shapeId="0">
      <text>
        <t>raw warhead damages: 150000, 75000, 75, 150000, 75, 888
import scales all proportionally</t>
      </text>
    </comment>
  </commentList>
</comments>
</file>

<file path=xl/comments/comment4.xml><?xml version="1.0" encoding="utf-8"?>
<comments xmlns="http://schemas.openxmlformats.org/spreadsheetml/2006/main">
  <authors>
    <author>balance-pipeline</author>
  </authors>
  <commentList>
    <comment ref="K4" authorId="0" shapeId="0">
      <text>
        <t>raw warhead damages: 10000, 5, 10000, 5, 10000, 5
import scales all proportionally</t>
      </text>
    </comment>
    <comment ref="K5" authorId="0" shapeId="0">
      <text>
        <t>raw warhead damages: 10000, 5000, 5, 10000, 5, 1000, 10000, 5
import scales all proportionally</t>
      </text>
    </comment>
    <comment ref="K6" authorId="0" shapeId="0">
      <text>
        <t>raw warhead damages: 10000, 5, 10000, 5, 10000, 5
import scales all proportionally</t>
      </text>
    </comment>
    <comment ref="K7" authorId="0" shapeId="0">
      <text>
        <t>raw warhead damages: 10000, 5000, 5, 10000, 5, 1000, 10000, 5
import scales all proportionally</t>
      </text>
    </comment>
    <comment ref="K9" authorId="0" shapeId="0">
      <text>
        <t>raw warhead damages: 30000, 15000, 15
import scales all proportionally</t>
      </text>
    </comment>
    <comment ref="K10" authorId="0" shapeId="0">
      <text>
        <t>raw warhead damages: 30000, 15000, 15
import scales all proportionally</t>
      </text>
    </comment>
    <comment ref="K12" authorId="0" shapeId="0">
      <text>
        <t>raw warhead damages: 10000, 5000, 5
import scales all proportionally</t>
      </text>
    </comment>
    <comment ref="K13" authorId="0" shapeId="0">
      <text>
        <t>raw warhead damages: 10000, 5000, 5
import scales all proportionally</t>
      </text>
    </comment>
    <comment ref="K15" authorId="0" shapeId="0">
      <text>
        <t>raw warhead damages: 20000, 10000, 10, 20000, 10000, 10, 20000, 10, 20000, 10000, 10, 20000, 10000, 10, 20000, 10, 20000, 10, 20000, 10, 20000, 10
import scales all proportionally</t>
      </text>
    </comment>
    <comment ref="K16" authorId="0" shapeId="0">
      <text>
        <t>raw warhead damages: 20000, 10000, 10, 20000, 10000, 10, 20000, 10, 20000, 10000, 10, 20000, 10000, 10, 20000, 10, 20000, 10, 20000, 10, 20000, 10
import scales all proportionally</t>
      </text>
    </comment>
    <comment ref="K20" authorId="0" shapeId="0">
      <text>
        <t>raw warhead damages: 2000, 1, 2000, 1
import scales all proportionally</t>
      </text>
    </comment>
    <comment ref="AA20" authorId="0" shapeId="0">
      <text>
        <t>fires when: !ordos_upgrade_lasercartridges</t>
      </text>
    </comment>
    <comment ref="K21" authorId="0" shapeId="0">
      <text>
        <t>raw warhead damages: 2000, 1, 600, 2000, 1, 2000, 1
import scales all proportionally</t>
      </text>
    </comment>
    <comment ref="AA21" authorId="0" shapeId="0">
      <text>
        <t>fires when: ordos_upgrade_lasercartridges</t>
      </text>
    </comment>
    <comment ref="K22" authorId="0" shapeId="0">
      <text>
        <t>raw warhead damages: 2000, 1, 2000, 1
import scales all proportionally</t>
      </text>
    </comment>
    <comment ref="AA22" authorId="0" shapeId="0">
      <text>
        <t>fires when: !ordos_upgrade_lasercartridges</t>
      </text>
    </comment>
    <comment ref="K23" authorId="0" shapeId="0">
      <text>
        <t>raw warhead damages: 2000, 1, 600, 2000, 1, 2000, 1
import scales all proportionally</t>
      </text>
    </comment>
    <comment ref="AA23" authorId="0" shapeId="0">
      <text>
        <t>fires when: ordos_upgrade_lasercartridges</t>
      </text>
    </comment>
    <comment ref="K25" authorId="0" shapeId="0">
      <text>
        <t>raw warhead damages: 10000, 5000, 5, 10000, 5000, 5, 10000, 5, 10000, 5
import scales all proportionally</t>
      </text>
    </comment>
    <comment ref="K26" authorId="0" shapeId="0">
      <text>
        <t>raw warhead damages: 10000, 5000, 5, 10000, 5000, 5, 10000, 5, 10000, 5
import scales all proportionally</t>
      </text>
    </comment>
    <comment ref="K28" authorId="0" shapeId="0">
      <text>
        <t>raw warhead damages: 8000, 4, 8000, 4, 8000, 4
import scales all proportionally</t>
      </text>
    </comment>
    <comment ref="K29" authorId="0" shapeId="0">
      <text>
        <t>raw warhead damages: 8000, 4, 8000, 4, 8000, 4
import scales all proportionally</t>
      </text>
    </comment>
    <comment ref="K34" authorId="0" shapeId="0">
      <text>
        <t>raw warhead damages: 8000, 4, 8000, 4, 8000, 4
import scales all proportionally</t>
      </text>
    </comment>
    <comment ref="K36" authorId="0" shapeId="0">
      <text>
        <t>raw warhead damages: 30000, 15000, 15, 30000, 15000, 15, 30000, 15, 30000, 15
import scales all proportionally</t>
      </text>
    </comment>
    <comment ref="AA36" authorId="0" shapeId="0">
      <text>
        <t>fires when: undeployed</t>
      </text>
    </comment>
    <comment ref="K37" authorId="0" shapeId="0">
      <text>
        <t>raw warhead damages: 30000, 15000, 15, 30000, 15000, 15, 30000, 15, 30000, 15
import scales all proportionally</t>
      </text>
    </comment>
    <comment ref="AA37" authorId="0" shapeId="0">
      <text>
        <t>fires when: deployed</t>
      </text>
    </comment>
    <comment ref="K39" authorId="0" shapeId="0">
      <text>
        <t>raw warhead damages: 2000, 1, 2000, 1, 2000, 1, 2000, 1, 2000, 1, 2000, 1
import scales all proportionally</t>
      </text>
    </comment>
    <comment ref="K41" authorId="0" shapeId="0">
      <text>
        <t>raw warhead damages: 8000, 4
import scales all proportionally</t>
      </text>
    </comment>
    <comment ref="K43" authorId="0" shapeId="0">
      <text>
        <t>raw warhead damages: 10000, 5000, 5, 10000, 5000, 5, 10000, 5000, 5, 10000, 5, 10000, 5, 10000, 5
import scales all proportionally</t>
      </text>
    </comment>
    <comment ref="K45" authorId="0" shapeId="0">
      <text>
        <t>raw warhead damages: 10000, 5000, 5, 10000, 5, 10000, 5, 10000, 5
import scales all proportionally</t>
      </text>
    </comment>
    <comment ref="K47" authorId="0" shapeId="0">
      <text>
        <t>raw warhead damages: 8000, 4, 8000, 4, 8000, 4
import scales all proportionally</t>
      </text>
    </comment>
    <comment ref="K49" authorId="0" shapeId="0">
      <text>
        <t>raw warhead damages: 2000, 1, 2000, 1, 2000, 1, 2000, 1, 2000, 1, 2000, 1
import scales all proportionally</t>
      </text>
    </comment>
    <comment ref="K51" authorId="0" shapeId="0">
      <text>
        <t>raw warhead damages: 10000, 5
import scales all proportionally</t>
      </text>
    </comment>
    <comment ref="K52" authorId="0" shapeId="0">
      <text>
        <t>raw warhead damages: 2000, 1, 2000, 1, 2000, 1, 2000, 1, 2000, 1
import scales all proportionally</t>
      </text>
    </comment>
    <comment ref="AA52" authorId="0" shapeId="0">
      <text>
        <t>fires when: ordos_upgrade_heavycombattankrockets</t>
      </text>
    </comment>
    <comment ref="K54" authorId="0" shapeId="0">
      <text>
        <t>raw warhead damages: 10000, -5000, 5, 10000, -5000, 6, 10000, 6, 10000, -5000, 5, 10000, -5000, 6
import scales all proportionally</t>
      </text>
    </comment>
    <comment ref="K55" authorId="0" shapeId="0">
      <text>
        <t>raw warhead damages: 8000, 4, 8000, 4, 8000, 4
import scales all proportionally</t>
      </text>
    </comment>
    <comment ref="K56" authorId="0" shapeId="0">
      <text>
        <t>raw warhead damages: 8000, 4, 8000, 4, 8000, 4
import scales all proportionally</t>
      </text>
    </comment>
    <comment ref="K58" authorId="0" shapeId="0">
      <text>
        <t>raw warhead damages: 10000, 5, 10000, 5, 10000, 5, 1000, 10000, 5, 600
import scales all proportionally</t>
      </text>
    </comment>
    <comment ref="K61" authorId="0" shapeId="0">
      <text>
        <t>raw warhead damages: 30000, 15000, 15, 30000, 15000, 15, 30000, 15, 30000, 15
import scales all proportionally</t>
      </text>
    </comment>
    <comment ref="AA61" authorId="0" shapeId="0">
      <text>
        <t>fires when: undeployed</t>
      </text>
    </comment>
    <comment ref="K62" authorId="0" shapeId="0">
      <text>
        <t>raw warhead damages: 30000, 15000, 15, 30000, 15000, 15, 30000, 15, 30000, 15
import scales all proportionally</t>
      </text>
    </comment>
    <comment ref="AA62" authorId="0" shapeId="0">
      <text>
        <t>fires when: deployed</t>
      </text>
    </comment>
    <comment ref="K64" authorId="0" shapeId="0">
      <text>
        <t>raw warhead damages: 4000, 2
import scales all proportionally</t>
      </text>
    </comment>
    <comment ref="AA64" authorId="0" shapeId="0">
      <text>
        <t>fires when: !ordos_upgrade_lasercartridges</t>
      </text>
    </comment>
    <comment ref="K65" authorId="0" shapeId="0">
      <text>
        <t>raw warhead damages: 2000, 1, 600, 2000, 1, 2000, 1
import scales all proportionally</t>
      </text>
    </comment>
    <comment ref="AA65" authorId="0" shapeId="0">
      <text>
        <t>fires when: ordos_upgrade_lasercartridges</t>
      </text>
    </comment>
    <comment ref="K68" authorId="0" shapeId="0">
      <text>
        <t>raw warhead damages: 2000, 1, 2000, 1
import scales all proportionally</t>
      </text>
    </comment>
    <comment ref="AA68" authorId="0" shapeId="0">
      <text>
        <t>fires when: !ordos_upgrade_lasercartridges</t>
      </text>
    </comment>
    <comment ref="K69" authorId="0" shapeId="0">
      <text>
        <t>raw warhead damages: 2000, 1, 600, 2000, 1, 2000, 1
import scales all proportionally</t>
      </text>
    </comment>
    <comment ref="AA69" authorId="0" shapeId="0">
      <text>
        <t>fires when: ordos_upgrade_lasercartridges</t>
      </text>
    </comment>
    <comment ref="K71" authorId="0" shapeId="0">
      <text>
        <t>raw warhead damages: 14000, 7000, 7, 14000, 7000, 7, 14000, 7, 14000, 7
import scales all proportionally</t>
      </text>
    </comment>
    <comment ref="K74" authorId="0" shapeId="0">
      <text>
        <t>raw warhead damages: 4000, 2
import scales all proportionally</t>
      </text>
    </comment>
    <comment ref="AA74" authorId="0" shapeId="0">
      <text>
        <t>fires when: !ordos_upgrade_lasercartridges</t>
      </text>
    </comment>
    <comment ref="K75" authorId="0" shapeId="0">
      <text>
        <t>raw warhead damages: 2000, 1, 600, 4000, 2
import scales all proportionally</t>
      </text>
    </comment>
    <comment ref="AA75" authorId="0" shapeId="0">
      <text>
        <t>fires when: ordos_upgrade_lasercartridges</t>
      </text>
    </comment>
    <comment ref="K77" authorId="0" shapeId="0">
      <text>
        <t>raw warhead damages: 4000, 2
import scales all proportionally</t>
      </text>
    </comment>
    <comment ref="AA77" authorId="0" shapeId="0">
      <text>
        <t>fires when: !ordos_upgrade_lasercartridges</t>
      </text>
    </comment>
    <comment ref="K78" authorId="0" shapeId="0">
      <text>
        <t>raw warhead damages: 2000, 1, 600, 4000, 2
import scales all proportionally</t>
      </text>
    </comment>
    <comment ref="AA78" authorId="0" shapeId="0">
      <text>
        <t>fires when: ordos_upgrade_lasercartridges</t>
      </text>
    </comment>
    <comment ref="K80" authorId="0" shapeId="0">
      <text>
        <t>raw warhead damages: 2000, 1, 2000, 1000, 1, 2000, 1, 2000, 1, 2000, 1, 2000, 1, 10000
import scales all proportionally</t>
      </text>
    </comment>
    <comment ref="K82" authorId="0" shapeId="0">
      <text>
        <t>raw warhead damages: 10000, -5000, 5, 10000, -5000, 6, 10000, 6, 10000, -5000, 5, 10000, -5000, 6
import scales all proportionally</t>
      </text>
    </comment>
    <comment ref="K83" authorId="0" shapeId="0">
      <text>
        <t>raw warhead damages: 8000, 4, 8000, 4, 8000, 4
import scales all proportionally</t>
      </text>
    </comment>
    <comment ref="K84" authorId="0" shapeId="0">
      <text>
        <t>raw warhead damages: 8000, 4, 8000, 4, 8000, 4
import scales all proportionally</t>
      </text>
    </comment>
    <comment ref="K86" authorId="0" shapeId="0">
      <text>
        <t>raw warhead damages: 20000, 10000, 10, 20000, 10000, 10, 20000, 10000, 10, 20000, 10000, 10, 20000, 10
import scales all proportionally</t>
      </text>
    </comment>
    <comment ref="K88" authorId="0" shapeId="0">
      <text>
        <t>raw warhead damages: 4000, 2
import scales all proportionally</t>
      </text>
    </comment>
    <comment ref="AA88" authorId="0" shapeId="0">
      <text>
        <t>fires when: !ordos_upgrade_lasercartridges</t>
      </text>
    </comment>
    <comment ref="K89" authorId="0" shapeId="0">
      <text>
        <t>raw warhead damages: 4000, 2, 600, 4000, 2
import scales all proportionally</t>
      </text>
    </comment>
    <comment ref="AA89" authorId="0" shapeId="0">
      <text>
        <t>fires when: ordos_upgrade_lasercartridges</t>
      </text>
    </comment>
    <comment ref="K91" authorId="0" shapeId="0">
      <text>
        <t>raw warhead damages: 10000, 5000, 5, 10000, 5000, 5, 10000, 5000, 5, 10000, 5, 10000, 5, 10000, 5
import scales all proportionally</t>
      </text>
    </comment>
    <comment ref="K94" authorId="0" shapeId="0">
      <text>
        <t>raw warhead damages: 12000, 6000, 6, 12000, 6000, 6, 12000, 6, 12000, 6
import scales all proportionally</t>
      </text>
    </comment>
    <comment ref="K96" authorId="0" shapeId="0">
      <text>
        <t>raw warhead damages: 2000, 1, 2000, 1, 2000, 1
import scales all proportionally</t>
      </text>
    </comment>
  </commentList>
</comments>
</file>

<file path=xl/comments/comment5.xml><?xml version="1.0" encoding="utf-8"?>
<comments xmlns="http://schemas.openxmlformats.org/spreadsheetml/2006/main">
  <authors>
    <author>balance-pipeline</author>
  </authors>
  <commentList>
    <comment ref="AA7" authorId="0" shapeId="0">
      <text>
        <t>fires when: !rank-elite</t>
      </text>
    </comment>
    <comment ref="AA8" authorId="0" shapeId="0">
      <text>
        <t>fires when: rank-elite</t>
      </text>
    </comment>
    <comment ref="AA9" authorId="0" shapeId="0">
      <text>
        <t>fires when: !rank-elite</t>
      </text>
    </comment>
    <comment ref="AA10" authorId="0" shapeId="0">
      <text>
        <t>fires when: rank-elite</t>
      </text>
    </comment>
    <comment ref="K15" authorId="0" shapeId="0">
      <text>
        <t>raw warhead damages: 2000, 1
import scales all proportionally</t>
      </text>
    </comment>
    <comment ref="AA15" authorId="0" shapeId="0">
      <text>
        <t>fires when: !deployed &amp;&amp; !ra2_allies_upgrade_elitegi</t>
      </text>
    </comment>
    <comment ref="K16" authorId="0" shapeId="0">
      <text>
        <t>raw warhead damages: 2000, 1
import scales all proportionally</t>
      </text>
    </comment>
    <comment ref="AA16" authorId="0" shapeId="0">
      <text>
        <t>fires when: !deployed &amp;&amp; ra2_allies_upgrade_elitegi</t>
      </text>
    </comment>
    <comment ref="K17" authorId="0" shapeId="0">
      <text>
        <t>raw warhead damages: 2000, 1
import scales all proportionally</t>
      </text>
    </comment>
    <comment ref="K18" authorId="0" shapeId="0">
      <text>
        <t>raw warhead damages: 2000, 1, 2000, 1
import scales all proportionally</t>
      </text>
    </comment>
    <comment ref="K20" authorId="0" shapeId="0">
      <text>
        <t>raw warhead damages: 2000, 1, 2000, 1
import scales all proportionally</t>
      </text>
    </comment>
    <comment ref="AA20" authorId="0" shapeId="0">
      <text>
        <t>fires when: !deployed &amp;&amp; !rank-elite &amp;&amp; !ra2_allies_upgrade_elitegi</t>
      </text>
    </comment>
    <comment ref="K21" authorId="0" shapeId="0">
      <text>
        <t>raw warhead damages: 4000, 2
import scales all proportionally</t>
      </text>
    </comment>
    <comment ref="AA21" authorId="0" shapeId="0">
      <text>
        <t>fires when: !deployed &amp;&amp; !rank-elite &amp;&amp; ra2_allies_upgrade_elitegi</t>
      </text>
    </comment>
    <comment ref="K22" authorId="0" shapeId="0">
      <text>
        <t>raw warhead damages: 2000, 1, 2000, 1
import scales all proportionally</t>
      </text>
    </comment>
    <comment ref="AA22" authorId="0" shapeId="0">
      <text>
        <t>fires when: !deployed &amp;&amp; rank-elite &amp;&amp; !ra2_allies_upgrade_elitegi</t>
      </text>
    </comment>
    <comment ref="K23" authorId="0" shapeId="0">
      <text>
        <t>raw warhead damages: 4000, 2
import scales all proportionally</t>
      </text>
    </comment>
    <comment ref="AA23" authorId="0" shapeId="0">
      <text>
        <t>fires when: !deployed &amp;&amp; rank-elite &amp;&amp; ra2_allies_upgrade_elitegi</t>
      </text>
    </comment>
    <comment ref="AA24" authorId="0" shapeId="0">
      <text>
        <t>fires when: botmicro</t>
      </text>
    </comment>
    <comment ref="K25" authorId="0" shapeId="0">
      <text>
        <t>raw warhead damages: 24000, 12
import scales all proportionally</t>
      </text>
    </comment>
    <comment ref="AA25" authorId="0" shapeId="0">
      <text>
        <t>fires when: !rank-elite &amp;&amp; deployed</t>
      </text>
    </comment>
    <comment ref="K26" authorId="0" shapeId="0">
      <text>
        <t>raw warhead damages: 24000, 12
import scales all proportionally</t>
      </text>
    </comment>
    <comment ref="AA26" authorId="0" shapeId="0">
      <text>
        <t>fires when: !rank-elite</t>
      </text>
    </comment>
    <comment ref="K27" authorId="0" shapeId="0">
      <text>
        <t>raw warhead damages: 48000, 24
import scales all proportionally</t>
      </text>
    </comment>
    <comment ref="AA27" authorId="0" shapeId="0">
      <text>
        <t>fires when: rank-elite &amp;&amp; deployed</t>
      </text>
    </comment>
    <comment ref="K28" authorId="0" shapeId="0">
      <text>
        <t>raw warhead damages: 48000, 24
import scales all proportionally</t>
      </text>
    </comment>
    <comment ref="AA28" authorId="0" shapeId="0">
      <text>
        <t>fires when: rank-elite</t>
      </text>
    </comment>
    <comment ref="K31" authorId="0" shapeId="0">
      <text>
        <t>raw warhead damages: 2000, 1, 2000, 1, 2000, 1, 2000, 1
import scales all proportionally</t>
      </text>
    </comment>
    <comment ref="K33" authorId="0" shapeId="0">
      <text>
        <t>raw warhead damages: 2000, 1
import scales all proportionally</t>
      </text>
    </comment>
    <comment ref="AA33" authorId="0" shapeId="0">
      <text>
        <t>fires when: !rank-elite</t>
      </text>
    </comment>
    <comment ref="K34" authorId="0" shapeId="0">
      <text>
        <t>raw warhead damages: 2000, 1
import scales all proportionally</t>
      </text>
    </comment>
    <comment ref="AA34" authorId="0" shapeId="0">
      <text>
        <t>fires when: rank-elite</t>
      </text>
    </comment>
    <comment ref="K35" authorId="0" shapeId="0">
      <text>
        <t>raw warhead damages: 2000, 1
import scales all proportionally</t>
      </text>
    </comment>
    <comment ref="AA35" authorId="0" shapeId="0">
      <text>
        <t>fires when: !rank-elite</t>
      </text>
    </comment>
    <comment ref="K36" authorId="0" shapeId="0">
      <text>
        <t>raw warhead damages: 2000, 1
import scales all proportionally</t>
      </text>
    </comment>
    <comment ref="AA36" authorId="0" shapeId="0">
      <text>
        <t>fires when: rank-elite</t>
      </text>
    </comment>
    <comment ref="K39" authorId="0" shapeId="0">
      <text>
        <t>raw warhead damages: 44000, 22
import scales all proportionally</t>
      </text>
    </comment>
    <comment ref="AA39" authorId="0" shapeId="0">
      <text>
        <t>fires when: !rank-elite</t>
      </text>
    </comment>
    <comment ref="K40" authorId="0" shapeId="0">
      <text>
        <t>raw warhead damages: 88000, 44
import scales all proportionally</t>
      </text>
    </comment>
    <comment ref="AA40" authorId="0" shapeId="0">
      <text>
        <t>fires when: rank-elite</t>
      </text>
    </comment>
    <comment ref="K41" authorId="0" shapeId="0">
      <text>
        <t>raw warhead damages: 44000, 22
import scales all proportionally</t>
      </text>
    </comment>
    <comment ref="AA41" authorId="0" shapeId="0">
      <text>
        <t>fires when: !rank-elite</t>
      </text>
    </comment>
    <comment ref="K42" authorId="0" shapeId="0">
      <text>
        <t>raw warhead damages: 88000, 44
import scales all proportionally</t>
      </text>
    </comment>
    <comment ref="AA42" authorId="0" shapeId="0">
      <text>
        <t>fires when: rank-elite</t>
      </text>
    </comment>
    <comment ref="K44" authorId="0" shapeId="0">
      <text>
        <t>raw warhead damages: 14000, 7
import scales all proportionally</t>
      </text>
    </comment>
    <comment ref="AA44" authorId="0" shapeId="0">
      <text>
        <t>fires when: !rank-elite</t>
      </text>
    </comment>
    <comment ref="K45" authorId="0" shapeId="0">
      <text>
        <t>raw warhead damages: 14000, 7
import scales all proportionally</t>
      </text>
    </comment>
    <comment ref="AA45" authorId="0" shapeId="0">
      <text>
        <t>fires when: rank-elite</t>
      </text>
    </comment>
    <comment ref="K48" authorId="0" shapeId="0">
      <text>
        <t>raw warhead damages: 14000, 7
import scales all proportionally</t>
      </text>
    </comment>
    <comment ref="AA48" authorId="0" shapeId="0">
      <text>
        <t>fires when: !rank-elite</t>
      </text>
    </comment>
    <comment ref="K49" authorId="0" shapeId="0">
      <text>
        <t>raw warhead damages: 14000, 7
import scales all proportionally</t>
      </text>
    </comment>
    <comment ref="AA49" authorId="0" shapeId="0">
      <text>
        <t>fires when: rank-elite</t>
      </text>
    </comment>
    <comment ref="K53" authorId="0" shapeId="0">
      <text>
        <t>raw warhead damages: 4000, 2, 4000, 2
import scales all proportionally</t>
      </text>
    </comment>
    <comment ref="K55" authorId="0" shapeId="0">
      <text>
        <t>raw warhead damages: 4000, 2, 4000, 2
import scales all proportionally</t>
      </text>
    </comment>
    <comment ref="K57" authorId="0" shapeId="0">
      <text>
        <t>raw warhead damages: 4000, 2, 4000, 2
import scales all proportionally</t>
      </text>
    </comment>
    <comment ref="K60" authorId="0" shapeId="0">
      <text>
        <t>raw warhead damages: 8000, 4
import scales all proportionally</t>
      </text>
    </comment>
    <comment ref="AA60" authorId="0" shapeId="0">
      <text>
        <t>fires when: !rank-elite</t>
      </text>
    </comment>
    <comment ref="K61" authorId="0" shapeId="0">
      <text>
        <t>raw warhead damages: 8000, 4
import scales all proportionally</t>
      </text>
    </comment>
    <comment ref="AA61" authorId="0" shapeId="0">
      <text>
        <t>fires when: rank-elite</t>
      </text>
    </comment>
    <comment ref="K63" authorId="0" shapeId="0">
      <text>
        <t>raw warhead damages: 8000, 4, 1000, 8000, 4000, 4, 8000, 4000, 4, 8000, 4
import scales all proportionally</t>
      </text>
    </comment>
    <comment ref="AA63" authorId="0" shapeId="0">
      <text>
        <t>fires when: !rank-elite</t>
      </text>
    </comment>
    <comment ref="K64" authorId="0" shapeId="0">
      <text>
        <t>raw warhead damages: 8000, 4, 1000, 8000, 4000, 4, 8000, 4000, 4, 8000, 4
import scales all proportionally</t>
      </text>
    </comment>
    <comment ref="AA64" authorId="0" shapeId="0">
      <text>
        <t>fires when: rank-elite</t>
      </text>
    </comment>
    <comment ref="K66" authorId="0" shapeId="0">
      <text>
        <t>raw warhead damages: 2000, 1, 2000, 1
import scales all proportionally</t>
      </text>
    </comment>
    <comment ref="AA66" authorId="0" shapeId="0">
      <text>
        <t>fires when: ifv-mg</t>
      </text>
    </comment>
    <comment ref="K67" authorId="0" shapeId="0">
      <text>
        <t>raw warhead damages: 2000, 1, 2000, 1, 2000, 1
import scales all proportionally</t>
      </text>
    </comment>
    <comment ref="AA67" authorId="0" shapeId="0">
      <text>
        <t>fires when: ifv-hmg</t>
      </text>
    </comment>
    <comment ref="K68" authorId="0" shapeId="0">
      <text>
        <t>raw warhead damages: 2500, 3
import scales all proportionally</t>
      </text>
    </comment>
    <comment ref="AA68" authorId="0" shapeId="0">
      <text>
        <t>fires when: ifv-archer</t>
      </text>
    </comment>
    <comment ref="K69" authorId="0" shapeId="0">
      <text>
        <t>raw warhead damages: -2000, -1000, -1
import scales all proportionally</t>
      </text>
    </comment>
    <comment ref="AA69" authorId="0" shapeId="0">
      <text>
        <t>fires when: ifv-repair</t>
      </text>
    </comment>
    <comment ref="K70" authorId="0" shapeId="0">
      <text>
        <t>raw warhead damages: 30000, 15
import scales all proportionally</t>
      </text>
    </comment>
    <comment ref="AA70" authorId="0" shapeId="0">
      <text>
        <t>fires when: ifv-lightsniper</t>
      </text>
    </comment>
    <comment ref="K71" authorId="0" shapeId="0">
      <text>
        <t>raw warhead damages: 14000, 7
import scales all proportionally</t>
      </text>
    </comment>
    <comment ref="AA71" authorId="0" shapeId="0">
      <text>
        <t>fires when: ifv-hero</t>
      </text>
    </comment>
    <comment ref="K72" authorId="0" shapeId="0">
      <text>
        <t>raw warhead damages: 40000, 20000, 20
import scales all proportionally</t>
      </text>
    </comment>
    <comment ref="AA72" authorId="0" shapeId="0">
      <text>
        <t>fires when: ifv-tesla</t>
      </text>
    </comment>
    <comment ref="K73" authorId="0" shapeId="0">
      <text>
        <t>raw warhead damages: 8000, 4, 8000, 4, 1000, 8000, 4, 8000, 4, 8000, 4
import scales all proportionally</t>
      </text>
    </comment>
    <comment ref="AA73" authorId="0" shapeId="0">
      <text>
        <t>fires when: ifv-flak</t>
      </text>
    </comment>
    <comment ref="K74" authorId="0" shapeId="0">
      <text>
        <t>raw warhead damages: 8000, 4, 1000, 8000, 4000, 4, 8000, 4
import scales all proportionally</t>
      </text>
    </comment>
    <comment ref="AA74" authorId="0" shapeId="0">
      <text>
        <t>fires when: ifv-cannon</t>
      </text>
    </comment>
    <comment ref="K75" authorId="0" shapeId="0">
      <text>
        <t>raw warhead damages: 16000, 8000, 8
import scales all proportionally</t>
      </text>
    </comment>
    <comment ref="AA75" authorId="0" shapeId="0">
      <text>
        <t>fires when: ifv-grenade</t>
      </text>
    </comment>
    <comment ref="K76" authorId="0" shapeId="0">
      <text>
        <t>raw warhead damages: 3750, 2500
import scales all proportionally</t>
      </text>
    </comment>
    <comment ref="AA76" authorId="0" shapeId="0">
      <text>
        <t>fires when: ifv-plasma</t>
      </text>
    </comment>
    <comment ref="AA77" authorId="0" shapeId="0">
      <text>
        <t>fires when: ifv-litlaser</t>
      </text>
    </comment>
    <comment ref="K78" authorId="0" shapeId="0">
      <text>
        <t>raw warhead damages: 4000, 1
import scales all proportionally</t>
      </text>
    </comment>
    <comment ref="AA78" authorId="0" shapeId="0">
      <text>
        <t>fires when: ifv-medlaser</t>
      </text>
    </comment>
    <comment ref="K79" authorId="0" shapeId="0">
      <text>
        <t>raw warhead damages: 5000, 1
import scales all proportionally</t>
      </text>
    </comment>
    <comment ref="AA79" authorId="0" shapeId="0">
      <text>
        <t>fires when: ifv-greelaser</t>
      </text>
    </comment>
    <comment ref="K80" authorId="0" shapeId="0">
      <text>
        <t>raw warhead damages: 4000, 1
import scales all proportionally</t>
      </text>
    </comment>
    <comment ref="AA80" authorId="0" shapeId="0">
      <text>
        <t>fires when: ifv-misslaser</t>
      </text>
    </comment>
    <comment ref="K81" authorId="0" shapeId="0">
      <text>
        <t>raw warhead damages: 14000, 7000, 7
import scales all proportionally</t>
      </text>
    </comment>
    <comment ref="AA81" authorId="0" shapeId="0">
      <text>
        <t>fires when: ifv-fire</t>
      </text>
    </comment>
    <comment ref="K82" authorId="0" shapeId="0">
      <text>
        <t>raw warhead damages: 30000, 15000, 15
import scales all proportionally</t>
      </text>
    </comment>
    <comment ref="AA82" authorId="0" shapeId="0">
      <text>
        <t>fires when: ifv-chem</t>
      </text>
    </comment>
    <comment ref="K83" authorId="0" shapeId="0">
      <text>
        <t>raw warhead damages: 30000, 15000, 15
import scales all proportionally</t>
      </text>
    </comment>
    <comment ref="AA83" authorId="0" shapeId="0">
      <text>
        <t>fires when: ifv-thrax</t>
      </text>
    </comment>
    <comment ref="K84" authorId="0" shapeId="0">
      <text>
        <t>raw warhead damages: 2000, 1, 2000, 1000, 1, 2000, 1, 2000, 1
import scales all proportionally</t>
      </text>
    </comment>
    <comment ref="AA84" authorId="0" shapeId="0">
      <text>
        <t>fires when: ifv-miss &amp;&amp; !rank-elite &amp;&amp; !ra2_allies_upgrade_thunderboltmissiles</t>
      </text>
    </comment>
    <comment ref="AA85" authorId="0" shapeId="0">
      <text>
        <t>fires when: ifv-chrono</t>
      </text>
    </comment>
    <comment ref="AA86" authorId="0" shapeId="0">
      <text>
        <t>fires when: ifv-chrono</t>
      </text>
    </comment>
    <comment ref="AA87" authorId="0" shapeId="0">
      <text>
        <t>fires when: ifv-demo</t>
      </text>
    </comment>
    <comment ref="AA88" authorId="0" shapeId="0">
      <text>
        <t>fires when: ifv-fremen</t>
      </text>
    </comment>
    <comment ref="K89" authorId="0" shapeId="0">
      <text>
        <t>raw warhead damages: 4000, 1000
import scales all proportionally</t>
      </text>
    </comment>
    <comment ref="AA89" authorId="0" shapeId="0">
      <text>
        <t>fires when: ifv-sonic</t>
      </text>
    </comment>
    <comment ref="K90" authorId="0" shapeId="0">
      <text>
        <t>raw warhead damages: -2000, -1000, -1
import scales all proportionally</t>
      </text>
    </comment>
    <comment ref="AA90" authorId="0" shapeId="0">
      <text>
        <t>fires when: ifv-healer</t>
      </text>
    </comment>
    <comment ref="K91" authorId="0" shapeId="0">
      <text>
        <t>raw warhead damages: 6000, 3, 6000, 3
import scales all proportionally</t>
      </text>
    </comment>
    <comment ref="AA9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K92" authorId="0" shapeId="0">
      <text>
        <t>raw warhead damages: 6000, 3, 6000, 3
import scales all proportionally</t>
      </text>
    </comment>
    <comment ref="AA92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K93" authorId="0" shapeId="0">
      <text>
        <t>raw warhead damages: 6000, 3, 6000, 3
import scales all proportionally</t>
      </text>
    </comment>
    <comment ref="AA9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K94" authorId="0" shapeId="0">
      <text>
        <t>raw warhead damages: 6000, 3, 6000, 3
import scales all proportionally</t>
      </text>
    </comment>
    <comment ref="AA9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K95" authorId="0" shapeId="0">
      <text>
        <t>raw warhead damages: 2000, 1, 2000, 1, 2000, 1, 2000, 1, 2000, 1, 2000, 1
import scales all proportionally</t>
      </text>
    </comment>
    <comment ref="AA9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K96" authorId="0" shapeId="0">
      <text>
        <t>raw warhead damages: 2000, 1, 2000, 1, 2000, 1, 2000, 1, 2000, 1, 2000, 1
import scales all proportionally</t>
      </text>
    </comment>
    <comment ref="AA9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K97" authorId="0" shapeId="0">
      <text>
        <t>raw warhead damages: 2000, 1, 2000, 1, 2000, 1, 2000, 1, 2000, 1, 2000, 1
import scales all proportionally</t>
      </text>
    </comment>
    <comment ref="AA9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K98" authorId="0" shapeId="0">
      <text>
        <t>raw warhead damages: 2000, 1, 2000, 1, 2000, 1, 2000, 1, 2000, 1, 2000, 1
import scales all proportionally</t>
      </text>
    </comment>
    <comment ref="AA9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K99" authorId="0" shapeId="0">
      <text>
        <t>raw warhead damages: 2000, 1, 2000, 1000, 1, 2000, 1, 2000, 1
import scales all proportionally</t>
      </text>
    </comment>
    <comment ref="AA99" authorId="0" shapeId="0">
      <text>
        <t>fires when: ifv-miss &amp;&amp; rank-elite &amp;&amp; !ra2_allies_upgrade_thunderboltmissiles</t>
      </text>
    </comment>
    <comment ref="K100" authorId="0" shapeId="0">
      <text>
        <t>raw warhead damages: 2000, 1, 2000, 1000, 1, 2000, 1, 2000, 1
import scales all proportionally</t>
      </text>
    </comment>
    <comment ref="AA100" authorId="0" shapeId="0">
      <text>
        <t>fires when: ifv-miss &amp;&amp; !rank-elite &amp;&amp; !ra2_allies_upgrade_thunderboltmissiles</t>
      </text>
    </comment>
    <comment ref="K101" authorId="0" shapeId="0">
      <text>
        <t>raw warhead damages: 2000, 1, 2000, 1000, 1, 2000, 1, 2000, 1
import scales all proportionally</t>
      </text>
    </comment>
    <comment ref="AA101" authorId="0" shapeId="0">
      <text>
        <t>fires when: ifv-miss &amp;&amp; rank-elite &amp;&amp; !ra2_allies_upgrade_thunderboltmissiles</t>
      </text>
    </comment>
    <comment ref="K102" authorId="0" shapeId="0">
      <text>
        <t>raw warhead damages: 2000, 1, 2000, 1, 2000, 1, 2000, 1, 2000, 1, 2000, 1000, 1, 2000, 1, 2000, 1
import scales all proportionally</t>
      </text>
    </comment>
    <comment ref="AA102" authorId="0" shapeId="0">
      <text>
        <t>fires when: ifv-miss &amp;&amp; !rank-elite &amp;&amp; ra2_allies_upgrade_thunderboltmissiles</t>
      </text>
    </comment>
    <comment ref="K103" authorId="0" shapeId="0">
      <text>
        <t>raw warhead damages: 2000, 1, 2000, 1, 2000, 1, 2000, 1, 2000, 1, 2000, 1000, 1, 2000, 1, 2000, 1
import scales all proportionally</t>
      </text>
    </comment>
    <comment ref="AA103" authorId="0" shapeId="0">
      <text>
        <t>fires when: ifv-miss &amp;&amp; rank-elite &amp;&amp; ra2_allies_upgrade_thunderboltmissiles</t>
      </text>
    </comment>
    <comment ref="K104" authorId="0" shapeId="0">
      <text>
        <t>raw warhead damages: 2000, 1, 2000, 1, 2000, 1, 2000, 1, 2000, 1, 2000, 1000, 1, 2000, 1, 2000, 1
import scales all proportionally</t>
      </text>
    </comment>
    <comment ref="AA104" authorId="0" shapeId="0">
      <text>
        <t>fires when: ifv-miss &amp;&amp; !rank-elite &amp;&amp; ra2_allies_upgrade_thunderboltmissiles</t>
      </text>
    </comment>
    <comment ref="K105" authorId="0" shapeId="0">
      <text>
        <t>raw warhead damages: 2000, 1, 2000, 1, 2000, 1, 2000, 1, 2000, 1, 2000, 1000, 1, 2000, 1, 2000, 1
import scales all proportionally</t>
      </text>
    </comment>
    <comment ref="AA105" authorId="0" shapeId="0">
      <text>
        <t>fires when: ifv-miss &amp;&amp; rank-elite &amp;&amp; ra2_allies_upgrade_thunderboltmissiles</t>
      </text>
    </comment>
    <comment ref="K106" authorId="0" shapeId="0">
      <text>
        <t>raw warhead damages: -2000, -1000, -1
import scales all proportionally</t>
      </text>
    </comment>
    <comment ref="AA106" authorId="0" shapeId="0">
      <text>
        <t>fires when: ifv-healer</t>
      </text>
    </comment>
    <comment ref="K107" authorId="0" shapeId="0">
      <text>
        <t>raw warhead damages: 44000, 22
import scales all proportionally</t>
      </text>
    </comment>
    <comment ref="AA107" authorId="0" shapeId="0">
      <text>
        <t>fires when: ifv-ra1_allies_alliedsniper</t>
      </text>
    </comment>
    <comment ref="K109" authorId="0" shapeId="0">
      <text>
        <t>raw warhead damages: 2000, 1, 2000, 1
import scales all proportionally</t>
      </text>
    </comment>
    <comment ref="AA109" authorId="0" shapeId="0">
      <text>
        <t>fires when: ifv-mg</t>
      </text>
    </comment>
    <comment ref="K110" authorId="0" shapeId="0">
      <text>
        <t>raw warhead damages: 2000, 1, 2000, 1, 2000, 1
import scales all proportionally</t>
      </text>
    </comment>
    <comment ref="AA110" authorId="0" shapeId="0">
      <text>
        <t>fires when: ifv-hmg</t>
      </text>
    </comment>
    <comment ref="K111" authorId="0" shapeId="0">
      <text>
        <t>raw warhead damages: 2500, 3
import scales all proportionally</t>
      </text>
    </comment>
    <comment ref="AA111" authorId="0" shapeId="0">
      <text>
        <t>fires when: ifv-archer</t>
      </text>
    </comment>
    <comment ref="K112" authorId="0" shapeId="0">
      <text>
        <t>raw warhead damages: -2000, -1000, -1
import scales all proportionally</t>
      </text>
    </comment>
    <comment ref="AA112" authorId="0" shapeId="0">
      <text>
        <t>fires when: ifv-repair</t>
      </text>
    </comment>
    <comment ref="K113" authorId="0" shapeId="0">
      <text>
        <t>raw warhead damages: 30000, 15
import scales all proportionally</t>
      </text>
    </comment>
    <comment ref="AA113" authorId="0" shapeId="0">
      <text>
        <t>fires when: ifv-lightsniper</t>
      </text>
    </comment>
    <comment ref="K114" authorId="0" shapeId="0">
      <text>
        <t>raw warhead damages: 14000, 7
import scales all proportionally</t>
      </text>
    </comment>
    <comment ref="AA114" authorId="0" shapeId="0">
      <text>
        <t>fires when: ifv-hero</t>
      </text>
    </comment>
    <comment ref="K115" authorId="0" shapeId="0">
      <text>
        <t>raw warhead damages: 40000, 20000, 20
import scales all proportionally</t>
      </text>
    </comment>
    <comment ref="AA115" authorId="0" shapeId="0">
      <text>
        <t>fires when: ifv-tesla</t>
      </text>
    </comment>
    <comment ref="K116" authorId="0" shapeId="0">
      <text>
        <t>raw warhead damages: 8000, 4, 8000, 4, 1000, 8000, 4, 8000, 4, 8000, 4
import scales all proportionally</t>
      </text>
    </comment>
    <comment ref="AA116" authorId="0" shapeId="0">
      <text>
        <t>fires when: ifv-flak</t>
      </text>
    </comment>
    <comment ref="K117" authorId="0" shapeId="0">
      <text>
        <t>raw warhead damages: 8000, 4, 1000, 8000, 4000, 4, 8000, 4
import scales all proportionally</t>
      </text>
    </comment>
    <comment ref="AA117" authorId="0" shapeId="0">
      <text>
        <t>fires when: ifv-cannon</t>
      </text>
    </comment>
    <comment ref="K118" authorId="0" shapeId="0">
      <text>
        <t>raw warhead damages: 16000, 8000, 8
import scales all proportionally</t>
      </text>
    </comment>
    <comment ref="AA118" authorId="0" shapeId="0">
      <text>
        <t>fires when: ifv-grenade</t>
      </text>
    </comment>
    <comment ref="K119" authorId="0" shapeId="0">
      <text>
        <t>raw warhead damages: 3750, 2500
import scales all proportionally</t>
      </text>
    </comment>
    <comment ref="AA119" authorId="0" shapeId="0">
      <text>
        <t>fires when: ifv-plasma</t>
      </text>
    </comment>
    <comment ref="AA120" authorId="0" shapeId="0">
      <text>
        <t>fires when: ifv-litlaser</t>
      </text>
    </comment>
    <comment ref="K121" authorId="0" shapeId="0">
      <text>
        <t>raw warhead damages: 4000, 1
import scales all proportionally</t>
      </text>
    </comment>
    <comment ref="AA121" authorId="0" shapeId="0">
      <text>
        <t>fires when: ifv-medlaser</t>
      </text>
    </comment>
    <comment ref="K122" authorId="0" shapeId="0">
      <text>
        <t>raw warhead damages: 5000, 1
import scales all proportionally</t>
      </text>
    </comment>
    <comment ref="AA122" authorId="0" shapeId="0">
      <text>
        <t>fires when: ifv-greelaser</t>
      </text>
    </comment>
    <comment ref="K123" authorId="0" shapeId="0">
      <text>
        <t>raw warhead damages: 4000, 1
import scales all proportionally</t>
      </text>
    </comment>
    <comment ref="AA123" authorId="0" shapeId="0">
      <text>
        <t>fires when: ifv-misslaser</t>
      </text>
    </comment>
    <comment ref="K124" authorId="0" shapeId="0">
      <text>
        <t>raw warhead damages: 14000, 7000, 7
import scales all proportionally</t>
      </text>
    </comment>
    <comment ref="AA124" authorId="0" shapeId="0">
      <text>
        <t>fires when: ifv-fire</t>
      </text>
    </comment>
    <comment ref="K125" authorId="0" shapeId="0">
      <text>
        <t>raw warhead damages: 30000, 15000, 15
import scales all proportionally</t>
      </text>
    </comment>
    <comment ref="AA125" authorId="0" shapeId="0">
      <text>
        <t>fires when: ifv-chem</t>
      </text>
    </comment>
    <comment ref="K126" authorId="0" shapeId="0">
      <text>
        <t>raw warhead damages: 30000, 15000, 15
import scales all proportionally</t>
      </text>
    </comment>
    <comment ref="AA126" authorId="0" shapeId="0">
      <text>
        <t>fires when: ifv-thrax</t>
      </text>
    </comment>
    <comment ref="K127" authorId="0" shapeId="0">
      <text>
        <t>raw warhead damages: 2000, 1, 2000, 1000, 1, 2000, 1, 2000, 1
import scales all proportionally</t>
      </text>
    </comment>
    <comment ref="AA127" authorId="0" shapeId="0">
      <text>
        <t>fires when: ifv-miss &amp;&amp; !rank-elite &amp;&amp; !ra2_allies_upgrade_thunderboltmissiles</t>
      </text>
    </comment>
    <comment ref="AA128" authorId="0" shapeId="0">
      <text>
        <t>fires when: ifv-chrono</t>
      </text>
    </comment>
    <comment ref="AA129" authorId="0" shapeId="0">
      <text>
        <t>fires when: ifv-chrono</t>
      </text>
    </comment>
    <comment ref="AA130" authorId="0" shapeId="0">
      <text>
        <t>fires when: ifv-demo</t>
      </text>
    </comment>
    <comment ref="AA131" authorId="0" shapeId="0">
      <text>
        <t>fires when: ifv-fremen</t>
      </text>
    </comment>
    <comment ref="K132" authorId="0" shapeId="0">
      <text>
        <t>raw warhead damages: 4000, 1000
import scales all proportionally</t>
      </text>
    </comment>
    <comment ref="AA132" authorId="0" shapeId="0">
      <text>
        <t>fires when: ifv-sonic</t>
      </text>
    </comment>
    <comment ref="K133" authorId="0" shapeId="0">
      <text>
        <t>raw warhead damages: -2000, -1000, -1
import scales all proportionally</t>
      </text>
    </comment>
    <comment ref="AA133" authorId="0" shapeId="0">
      <text>
        <t>fires when: ifv-healer</t>
      </text>
    </comment>
    <comment ref="K134" authorId="0" shapeId="0">
      <text>
        <t>raw warhead damages: 6000, 3, 6000, 3
import scales all proportionally</t>
      </text>
    </comment>
    <comment ref="AA13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K135" authorId="0" shapeId="0">
      <text>
        <t>raw warhead damages: 6000, 3, 6000, 3
import scales all proportionally</t>
      </text>
    </comment>
    <comment ref="AA13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K136" authorId="0" shapeId="0">
      <text>
        <t>raw warhead damages: 6000, 3, 6000, 3
import scales all proportionally</t>
      </text>
    </comment>
    <comment ref="AA13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K137" authorId="0" shapeId="0">
      <text>
        <t>raw warhead damages: 6000, 3, 6000, 3
import scales all proportionally</t>
      </text>
    </comment>
    <comment ref="AA13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K138" authorId="0" shapeId="0">
      <text>
        <t>raw warhead damages: 2000, 1, 2000, 1, 2000, 1, 2000, 1, 2000, 1, 2000, 1
import scales all proportionally</t>
      </text>
    </comment>
    <comment ref="AA13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K139" authorId="0" shapeId="0">
      <text>
        <t>raw warhead damages: 2000, 1, 2000, 1, 2000, 1, 2000, 1, 2000, 1, 2000, 1
import scales all proportionally</t>
      </text>
    </comment>
    <comment ref="AA13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K140" authorId="0" shapeId="0">
      <text>
        <t>raw warhead damages: 2000, 1, 2000, 1, 2000, 1, 2000, 1, 2000, 1, 2000, 1
import scales all proportionally</t>
      </text>
    </comment>
    <comment ref="AA14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K141" authorId="0" shapeId="0">
      <text>
        <t>raw warhead damages: 2000, 1, 2000, 1, 2000, 1, 2000, 1, 2000, 1, 2000, 1
import scales all proportionally</t>
      </text>
    </comment>
    <comment ref="AA14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K142" authorId="0" shapeId="0">
      <text>
        <t>raw warhead damages: 2000, 1, 2000, 1000, 1, 2000, 1, 2000, 1
import scales all proportionally</t>
      </text>
    </comment>
    <comment ref="AA142" authorId="0" shapeId="0">
      <text>
        <t>fires when: ifv-miss &amp;&amp; rank-elite &amp;&amp; !ra2_allies_upgrade_thunderboltmissiles</t>
      </text>
    </comment>
    <comment ref="K143" authorId="0" shapeId="0">
      <text>
        <t>raw warhead damages: 2000, 1, 2000, 1000, 1, 2000, 1, 2000, 1
import scales all proportionally</t>
      </text>
    </comment>
    <comment ref="AA143" authorId="0" shapeId="0">
      <text>
        <t>fires when: ifv-miss &amp;&amp; !rank-elite &amp;&amp; !ra2_allies_upgrade_thunderboltmissiles</t>
      </text>
    </comment>
    <comment ref="K144" authorId="0" shapeId="0">
      <text>
        <t>raw warhead damages: 2000, 1, 2000, 1000, 1, 2000, 1, 2000, 1
import scales all proportionally</t>
      </text>
    </comment>
    <comment ref="AA144" authorId="0" shapeId="0">
      <text>
        <t>fires when: ifv-miss &amp;&amp; rank-elite &amp;&amp; !ra2_allies_upgrade_thunderboltmissiles</t>
      </text>
    </comment>
    <comment ref="K145" authorId="0" shapeId="0">
      <text>
        <t>raw warhead damages: 2000, 1, 2000, 1, 2000, 1, 2000, 1, 2000, 1, 2000, 1000, 1, 2000, 1, 2000, 1
import scales all proportionally</t>
      </text>
    </comment>
    <comment ref="AA145" authorId="0" shapeId="0">
      <text>
        <t>fires when: ifv-miss &amp;&amp; !rank-elite &amp;&amp; ra2_allies_upgrade_thunderboltmissiles</t>
      </text>
    </comment>
    <comment ref="K146" authorId="0" shapeId="0">
      <text>
        <t>raw warhead damages: 2000, 1, 2000, 1, 2000, 1, 2000, 1, 2000, 1, 2000, 1000, 1, 2000, 1, 2000, 1
import scales all proportionally</t>
      </text>
    </comment>
    <comment ref="AA146" authorId="0" shapeId="0">
      <text>
        <t>fires when: ifv-miss &amp;&amp; rank-elite &amp;&amp; ra2_allies_upgrade_thunderboltmissiles</t>
      </text>
    </comment>
    <comment ref="K147" authorId="0" shapeId="0">
      <text>
        <t>raw warhead damages: 2000, 1, 2000, 1, 2000, 1, 2000, 1, 2000, 1, 2000, 1000, 1, 2000, 1, 2000, 1
import scales all proportionally</t>
      </text>
    </comment>
    <comment ref="AA147" authorId="0" shapeId="0">
      <text>
        <t>fires when: ifv-miss &amp;&amp; !rank-elite &amp;&amp; ra2_allies_upgrade_thunderboltmissiles</t>
      </text>
    </comment>
    <comment ref="K148" authorId="0" shapeId="0">
      <text>
        <t>raw warhead damages: 2000, 1, 2000, 1, 2000, 1, 2000, 1, 2000, 1, 2000, 1000, 1, 2000, 1, 2000, 1
import scales all proportionally</t>
      </text>
    </comment>
    <comment ref="AA148" authorId="0" shapeId="0">
      <text>
        <t>fires when: ifv-miss &amp;&amp; rank-elite &amp;&amp; ra2_allies_upgrade_thunderboltmissiles</t>
      </text>
    </comment>
    <comment ref="K149" authorId="0" shapeId="0">
      <text>
        <t>raw warhead damages: -2000, -1000, -1
import scales all proportionally</t>
      </text>
    </comment>
    <comment ref="AA149" authorId="0" shapeId="0">
      <text>
        <t>fires when: ifv-healer</t>
      </text>
    </comment>
    <comment ref="K150" authorId="0" shapeId="0">
      <text>
        <t>raw warhead damages: 44000, 22
import scales all proportionally</t>
      </text>
    </comment>
    <comment ref="AA150" authorId="0" shapeId="0">
      <text>
        <t>fires when: ifv-ra1_allies_alliedsniper</t>
      </text>
    </comment>
    <comment ref="K152" authorId="0" shapeId="0">
      <text>
        <t>raw warhead damages: 2000, 1, 2000, 1
import scales all proportionally</t>
      </text>
    </comment>
    <comment ref="AA152" authorId="0" shapeId="0">
      <text>
        <t>fires when: ifv-mg</t>
      </text>
    </comment>
    <comment ref="K153" authorId="0" shapeId="0">
      <text>
        <t>raw warhead damages: 2000, 1, 2000, 1, 2000, 1
import scales all proportionally</t>
      </text>
    </comment>
    <comment ref="AA153" authorId="0" shapeId="0">
      <text>
        <t>fires when: ifv-hmg</t>
      </text>
    </comment>
    <comment ref="K154" authorId="0" shapeId="0">
      <text>
        <t>raw warhead damages: 2500, 3
import scales all proportionally</t>
      </text>
    </comment>
    <comment ref="AA154" authorId="0" shapeId="0">
      <text>
        <t>fires when: ifv-archer</t>
      </text>
    </comment>
    <comment ref="K155" authorId="0" shapeId="0">
      <text>
        <t>raw warhead damages: -2000, -1000, -1
import scales all proportionally</t>
      </text>
    </comment>
    <comment ref="AA155" authorId="0" shapeId="0">
      <text>
        <t>fires when: ifv-repair</t>
      </text>
    </comment>
    <comment ref="K156" authorId="0" shapeId="0">
      <text>
        <t>raw warhead damages: 30000, 15
import scales all proportionally</t>
      </text>
    </comment>
    <comment ref="AA156" authorId="0" shapeId="0">
      <text>
        <t>fires when: ifv-lightsniper</t>
      </text>
    </comment>
    <comment ref="K157" authorId="0" shapeId="0">
      <text>
        <t>raw warhead damages: 14000, 7
import scales all proportionally</t>
      </text>
    </comment>
    <comment ref="AA157" authorId="0" shapeId="0">
      <text>
        <t>fires when: ifv-hero</t>
      </text>
    </comment>
    <comment ref="K158" authorId="0" shapeId="0">
      <text>
        <t>raw warhead damages: 40000, 20000, 20
import scales all proportionally</t>
      </text>
    </comment>
    <comment ref="AA158" authorId="0" shapeId="0">
      <text>
        <t>fires when: ifv-tesla</t>
      </text>
    </comment>
    <comment ref="K159" authorId="0" shapeId="0">
      <text>
        <t>raw warhead damages: 8000, 4, 8000, 4, 1000, 8000, 4, 8000, 4, 8000, 4
import scales all proportionally</t>
      </text>
    </comment>
    <comment ref="AA159" authorId="0" shapeId="0">
      <text>
        <t>fires when: ifv-flak</t>
      </text>
    </comment>
    <comment ref="K160" authorId="0" shapeId="0">
      <text>
        <t>raw warhead damages: 8000, 4, 1000, 8000, 4000, 4, 8000, 4
import scales all proportionally</t>
      </text>
    </comment>
    <comment ref="AA160" authorId="0" shapeId="0">
      <text>
        <t>fires when: ifv-cannon</t>
      </text>
    </comment>
    <comment ref="K161" authorId="0" shapeId="0">
      <text>
        <t>raw warhead damages: 16000, 8000, 8
import scales all proportionally</t>
      </text>
    </comment>
    <comment ref="AA161" authorId="0" shapeId="0">
      <text>
        <t>fires when: ifv-grenade</t>
      </text>
    </comment>
    <comment ref="K162" authorId="0" shapeId="0">
      <text>
        <t>raw warhead damages: 3750, 2500
import scales all proportionally</t>
      </text>
    </comment>
    <comment ref="AA162" authorId="0" shapeId="0">
      <text>
        <t>fires when: ifv-plasma</t>
      </text>
    </comment>
    <comment ref="AA163" authorId="0" shapeId="0">
      <text>
        <t>fires when: ifv-litlaser</t>
      </text>
    </comment>
    <comment ref="K164" authorId="0" shapeId="0">
      <text>
        <t>raw warhead damages: 4000, 1
import scales all proportionally</t>
      </text>
    </comment>
    <comment ref="AA164" authorId="0" shapeId="0">
      <text>
        <t>fires when: ifv-medlaser</t>
      </text>
    </comment>
    <comment ref="K165" authorId="0" shapeId="0">
      <text>
        <t>raw warhead damages: 5000, 1
import scales all proportionally</t>
      </text>
    </comment>
    <comment ref="AA165" authorId="0" shapeId="0">
      <text>
        <t>fires when: ifv-greelaser</t>
      </text>
    </comment>
    <comment ref="K166" authorId="0" shapeId="0">
      <text>
        <t>raw warhead damages: 4000, 1
import scales all proportionally</t>
      </text>
    </comment>
    <comment ref="AA166" authorId="0" shapeId="0">
      <text>
        <t>fires when: ifv-misslaser</t>
      </text>
    </comment>
    <comment ref="K167" authorId="0" shapeId="0">
      <text>
        <t>raw warhead damages: 14000, 7000, 7
import scales all proportionally</t>
      </text>
    </comment>
    <comment ref="AA167" authorId="0" shapeId="0">
      <text>
        <t>fires when: ifv-fire</t>
      </text>
    </comment>
    <comment ref="K168" authorId="0" shapeId="0">
      <text>
        <t>raw warhead damages: 30000, 15000, 15
import scales all proportionally</t>
      </text>
    </comment>
    <comment ref="AA168" authorId="0" shapeId="0">
      <text>
        <t>fires when: ifv-chem</t>
      </text>
    </comment>
    <comment ref="K169" authorId="0" shapeId="0">
      <text>
        <t>raw warhead damages: 30000, 15000, 15
import scales all proportionally</t>
      </text>
    </comment>
    <comment ref="AA169" authorId="0" shapeId="0">
      <text>
        <t>fires when: ifv-thrax</t>
      </text>
    </comment>
    <comment ref="K170" authorId="0" shapeId="0">
      <text>
        <t>raw warhead damages: 2000, 1, 2000, 1000, 1, 2000, 1, 2000, 1
import scales all proportionally</t>
      </text>
    </comment>
    <comment ref="AA170" authorId="0" shapeId="0">
      <text>
        <t>fires when: ifv-miss &amp;&amp; !rank-elite &amp;&amp; !ra2_allies_upgrade_thunderboltmissiles</t>
      </text>
    </comment>
    <comment ref="AA171" authorId="0" shapeId="0">
      <text>
        <t>fires when: ifv-chrono</t>
      </text>
    </comment>
    <comment ref="AA172" authorId="0" shapeId="0">
      <text>
        <t>fires when: ifv-chrono</t>
      </text>
    </comment>
    <comment ref="AA173" authorId="0" shapeId="0">
      <text>
        <t>fires when: ifv-demo</t>
      </text>
    </comment>
    <comment ref="AA174" authorId="0" shapeId="0">
      <text>
        <t>fires when: ifv-fremen</t>
      </text>
    </comment>
    <comment ref="K175" authorId="0" shapeId="0">
      <text>
        <t>raw warhead damages: 4000, 1000
import scales all proportionally</t>
      </text>
    </comment>
    <comment ref="AA175" authorId="0" shapeId="0">
      <text>
        <t>fires when: ifv-sonic</t>
      </text>
    </comment>
    <comment ref="K176" authorId="0" shapeId="0">
      <text>
        <t>raw warhead damages: -2000, -1000, -1
import scales all proportionally</t>
      </text>
    </comment>
    <comment ref="AA176" authorId="0" shapeId="0">
      <text>
        <t>fires when: ifv-healer</t>
      </text>
    </comment>
    <comment ref="K177" authorId="0" shapeId="0">
      <text>
        <t>raw warhead damages: 6000, 3, 6000, 3
import scales all proportionally</t>
      </text>
    </comment>
    <comment ref="AA17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K178" authorId="0" shapeId="0">
      <text>
        <t>raw warhead damages: 6000, 3, 6000, 3
import scales all proportionally</t>
      </text>
    </comment>
    <comment ref="AA17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K179" authorId="0" shapeId="0">
      <text>
        <t>raw warhead damages: 6000, 3, 6000, 3
import scales all proportionally</t>
      </text>
    </comment>
    <comment ref="AA17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K180" authorId="0" shapeId="0">
      <text>
        <t>raw warhead damages: 6000, 3, 6000, 3
import scales all proportionally</t>
      </text>
    </comment>
    <comment ref="AA18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K181" authorId="0" shapeId="0">
      <text>
        <t>raw warhead damages: 2000, 1, 2000, 1, 2000, 1, 2000, 1, 2000, 1, 2000, 1
import scales all proportionally</t>
      </text>
    </comment>
    <comment ref="AA18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K182" authorId="0" shapeId="0">
      <text>
        <t>raw warhead damages: 2000, 1, 2000, 1, 2000, 1, 2000, 1, 2000, 1, 2000, 1
import scales all proportionally</t>
      </text>
    </comment>
    <comment ref="AA182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K183" authorId="0" shapeId="0">
      <text>
        <t>raw warhead damages: 2000, 1, 2000, 1, 2000, 1, 2000, 1, 2000, 1, 2000, 1
import scales all proportionally</t>
      </text>
    </comment>
    <comment ref="AA18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K184" authorId="0" shapeId="0">
      <text>
        <t>raw warhead damages: 2000, 1, 2000, 1, 2000, 1, 2000, 1, 2000, 1, 2000, 1
import scales all proportionally</t>
      </text>
    </comment>
    <comment ref="AA18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K185" authorId="0" shapeId="0">
      <text>
        <t>raw warhead damages: 2000, 1, 2000, 1000, 1, 2000, 1, 2000, 1
import scales all proportionally</t>
      </text>
    </comment>
    <comment ref="AA185" authorId="0" shapeId="0">
      <text>
        <t>fires when: ifv-miss &amp;&amp; rank-elite &amp;&amp; !ra2_allies_upgrade_thunderboltmissiles</t>
      </text>
    </comment>
    <comment ref="K186" authorId="0" shapeId="0">
      <text>
        <t>raw warhead damages: 2000, 1, 2000, 1000, 1, 2000, 1, 2000, 1
import scales all proportionally</t>
      </text>
    </comment>
    <comment ref="AA186" authorId="0" shapeId="0">
      <text>
        <t>fires when: ifv-miss &amp;&amp; !rank-elite &amp;&amp; !ra2_allies_upgrade_thunderboltmissiles</t>
      </text>
    </comment>
    <comment ref="K187" authorId="0" shapeId="0">
      <text>
        <t>raw warhead damages: 2000, 1, 2000, 1000, 1, 2000, 1, 2000, 1
import scales all proportionally</t>
      </text>
    </comment>
    <comment ref="AA187" authorId="0" shapeId="0">
      <text>
        <t>fires when: ifv-miss &amp;&amp; rank-elite &amp;&amp; !ra2_allies_upgrade_thunderboltmissiles</t>
      </text>
    </comment>
    <comment ref="K188" authorId="0" shapeId="0">
      <text>
        <t>raw warhead damages: 2000, 1, 2000, 1, 2000, 1, 2000, 1, 2000, 1, 2000, 1000, 1, 2000, 1, 2000, 1
import scales all proportionally</t>
      </text>
    </comment>
    <comment ref="AA188" authorId="0" shapeId="0">
      <text>
        <t>fires when: ifv-miss &amp;&amp; !rank-elite &amp;&amp; ra2_allies_upgrade_thunderboltmissiles</t>
      </text>
    </comment>
    <comment ref="K189" authorId="0" shapeId="0">
      <text>
        <t>raw warhead damages: 2000, 1, 2000, 1, 2000, 1, 2000, 1, 2000, 1, 2000, 1000, 1, 2000, 1, 2000, 1
import scales all proportionally</t>
      </text>
    </comment>
    <comment ref="AA189" authorId="0" shapeId="0">
      <text>
        <t>fires when: ifv-miss &amp;&amp; rank-elite &amp;&amp; ra2_allies_upgrade_thunderboltmissiles</t>
      </text>
    </comment>
    <comment ref="K190" authorId="0" shapeId="0">
      <text>
        <t>raw warhead damages: 2000, 1, 2000, 1, 2000, 1, 2000, 1, 2000, 1, 2000, 1000, 1, 2000, 1, 2000, 1
import scales all proportionally</t>
      </text>
    </comment>
    <comment ref="AA190" authorId="0" shapeId="0">
      <text>
        <t>fires when: ifv-miss &amp;&amp; !rank-elite &amp;&amp; ra2_allies_upgrade_thunderboltmissiles</t>
      </text>
    </comment>
    <comment ref="K191" authorId="0" shapeId="0">
      <text>
        <t>raw warhead damages: 2000, 1, 2000, 1, 2000, 1, 2000, 1, 2000, 1, 2000, 1000, 1, 2000, 1, 2000, 1
import scales all proportionally</t>
      </text>
    </comment>
    <comment ref="AA191" authorId="0" shapeId="0">
      <text>
        <t>fires when: ifv-miss &amp;&amp; rank-elite &amp;&amp; ra2_allies_upgrade_thunderboltmissiles</t>
      </text>
    </comment>
    <comment ref="K192" authorId="0" shapeId="0">
      <text>
        <t>raw warhead damages: -2000, -1000, -1
import scales all proportionally</t>
      </text>
    </comment>
    <comment ref="AA192" authorId="0" shapeId="0">
      <text>
        <t>fires when: ifv-healer</t>
      </text>
    </comment>
    <comment ref="K193" authorId="0" shapeId="0">
      <text>
        <t>raw warhead damages: 44000, 22
import scales all proportionally</t>
      </text>
    </comment>
    <comment ref="AA193" authorId="0" shapeId="0">
      <text>
        <t>fires when: ifv-ra1_allies_alliedsniper</t>
      </text>
    </comment>
    <comment ref="K195" authorId="0" shapeId="0">
      <text>
        <t>raw warhead damages: 2000, 1, 2000, 1
import scales all proportionally</t>
      </text>
    </comment>
    <comment ref="AA195" authorId="0" shapeId="0">
      <text>
        <t>fires when: ifv-mg</t>
      </text>
    </comment>
    <comment ref="K196" authorId="0" shapeId="0">
      <text>
        <t>raw warhead damages: 2000, 1, 2000, 1, 2000, 1
import scales all proportionally</t>
      </text>
    </comment>
    <comment ref="AA196" authorId="0" shapeId="0">
      <text>
        <t>fires when: ifv-hmg</t>
      </text>
    </comment>
    <comment ref="K197" authorId="0" shapeId="0">
      <text>
        <t>raw warhead damages: 2500, 3
import scales all proportionally</t>
      </text>
    </comment>
    <comment ref="AA197" authorId="0" shapeId="0">
      <text>
        <t>fires when: ifv-archer</t>
      </text>
    </comment>
    <comment ref="K198" authorId="0" shapeId="0">
      <text>
        <t>raw warhead damages: -2000, -1000, -1
import scales all proportionally</t>
      </text>
    </comment>
    <comment ref="AA198" authorId="0" shapeId="0">
      <text>
        <t>fires when: ifv-repair</t>
      </text>
    </comment>
    <comment ref="K199" authorId="0" shapeId="0">
      <text>
        <t>raw warhead damages: 30000, 15
import scales all proportionally</t>
      </text>
    </comment>
    <comment ref="AA199" authorId="0" shapeId="0">
      <text>
        <t>fires when: ifv-lightsniper</t>
      </text>
    </comment>
    <comment ref="K200" authorId="0" shapeId="0">
      <text>
        <t>raw warhead damages: 14000, 7
import scales all proportionally</t>
      </text>
    </comment>
    <comment ref="AA200" authorId="0" shapeId="0">
      <text>
        <t>fires when: ifv-hero</t>
      </text>
    </comment>
    <comment ref="K201" authorId="0" shapeId="0">
      <text>
        <t>raw warhead damages: 40000, 20000, 20
import scales all proportionally</t>
      </text>
    </comment>
    <comment ref="AA201" authorId="0" shapeId="0">
      <text>
        <t>fires when: ifv-tesla</t>
      </text>
    </comment>
    <comment ref="K202" authorId="0" shapeId="0">
      <text>
        <t>raw warhead damages: 8000, 4, 8000, 4, 1000, 8000, 4, 8000, 4, 8000, 4
import scales all proportionally</t>
      </text>
    </comment>
    <comment ref="AA202" authorId="0" shapeId="0">
      <text>
        <t>fires when: ifv-flak</t>
      </text>
    </comment>
    <comment ref="K203" authorId="0" shapeId="0">
      <text>
        <t>raw warhead damages: 8000, 4, 1000, 8000, 4000, 4, 8000, 4
import scales all proportionally</t>
      </text>
    </comment>
    <comment ref="AA203" authorId="0" shapeId="0">
      <text>
        <t>fires when: ifv-cannon</t>
      </text>
    </comment>
    <comment ref="K204" authorId="0" shapeId="0">
      <text>
        <t>raw warhead damages: 16000, 8000, 8
import scales all proportionally</t>
      </text>
    </comment>
    <comment ref="AA204" authorId="0" shapeId="0">
      <text>
        <t>fires when: ifv-grenade</t>
      </text>
    </comment>
    <comment ref="K205" authorId="0" shapeId="0">
      <text>
        <t>raw warhead damages: 3750, 2500
import scales all proportionally</t>
      </text>
    </comment>
    <comment ref="AA205" authorId="0" shapeId="0">
      <text>
        <t>fires when: ifv-plasma</t>
      </text>
    </comment>
    <comment ref="AA206" authorId="0" shapeId="0">
      <text>
        <t>fires when: ifv-litlaser</t>
      </text>
    </comment>
    <comment ref="K207" authorId="0" shapeId="0">
      <text>
        <t>raw warhead damages: 4000, 1
import scales all proportionally</t>
      </text>
    </comment>
    <comment ref="AA207" authorId="0" shapeId="0">
      <text>
        <t>fires when: ifv-medlaser</t>
      </text>
    </comment>
    <comment ref="K208" authorId="0" shapeId="0">
      <text>
        <t>raw warhead damages: 5000, 1
import scales all proportionally</t>
      </text>
    </comment>
    <comment ref="AA208" authorId="0" shapeId="0">
      <text>
        <t>fires when: ifv-greelaser</t>
      </text>
    </comment>
    <comment ref="K209" authorId="0" shapeId="0">
      <text>
        <t>raw warhead damages: 4000, 1
import scales all proportionally</t>
      </text>
    </comment>
    <comment ref="AA209" authorId="0" shapeId="0">
      <text>
        <t>fires when: ifv-misslaser</t>
      </text>
    </comment>
    <comment ref="K210" authorId="0" shapeId="0">
      <text>
        <t>raw warhead damages: 14000, 7000, 7
import scales all proportionally</t>
      </text>
    </comment>
    <comment ref="AA210" authorId="0" shapeId="0">
      <text>
        <t>fires when: ifv-fire</t>
      </text>
    </comment>
    <comment ref="K211" authorId="0" shapeId="0">
      <text>
        <t>raw warhead damages: 30000, 15000, 15
import scales all proportionally</t>
      </text>
    </comment>
    <comment ref="AA211" authorId="0" shapeId="0">
      <text>
        <t>fires when: ifv-chem</t>
      </text>
    </comment>
    <comment ref="K212" authorId="0" shapeId="0">
      <text>
        <t>raw warhead damages: 30000, 15000, 15
import scales all proportionally</t>
      </text>
    </comment>
    <comment ref="AA212" authorId="0" shapeId="0">
      <text>
        <t>fires when: ifv-thrax</t>
      </text>
    </comment>
    <comment ref="K213" authorId="0" shapeId="0">
      <text>
        <t>raw warhead damages: 2000, 1, 2000, 1000, 1, 2000, 1, 2000, 1
import scales all proportionally</t>
      </text>
    </comment>
    <comment ref="AA213" authorId="0" shapeId="0">
      <text>
        <t>fires when: ifv-miss &amp;&amp; !rank-elite &amp;&amp; !ra2_allies_upgrade_thunderboltmissiles</t>
      </text>
    </comment>
    <comment ref="AA214" authorId="0" shapeId="0">
      <text>
        <t>fires when: ifv-chrono</t>
      </text>
    </comment>
    <comment ref="AA215" authorId="0" shapeId="0">
      <text>
        <t>fires when: ifv-chrono</t>
      </text>
    </comment>
    <comment ref="AA216" authorId="0" shapeId="0">
      <text>
        <t>fires when: ifv-demo</t>
      </text>
    </comment>
    <comment ref="AA217" authorId="0" shapeId="0">
      <text>
        <t>fires when: ifv-fremen</t>
      </text>
    </comment>
    <comment ref="K218" authorId="0" shapeId="0">
      <text>
        <t>raw warhead damages: 4000, 1000
import scales all proportionally</t>
      </text>
    </comment>
    <comment ref="AA218" authorId="0" shapeId="0">
      <text>
        <t>fires when: ifv-sonic</t>
      </text>
    </comment>
    <comment ref="K219" authorId="0" shapeId="0">
      <text>
        <t>raw warhead damages: -2000, -1000, -1
import scales all proportionally</t>
      </text>
    </comment>
    <comment ref="AA219" authorId="0" shapeId="0">
      <text>
        <t>fires when: ifv-healer</t>
      </text>
    </comment>
    <comment ref="K220" authorId="0" shapeId="0">
      <text>
        <t>raw warhead damages: 6000, 3, 6000, 3
import scales all proportionally</t>
      </text>
    </comment>
    <comment ref="AA22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K221" authorId="0" shapeId="0">
      <text>
        <t>raw warhead damages: 6000, 3, 6000, 3
import scales all proportionally</t>
      </text>
    </comment>
    <comment ref="AA22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K222" authorId="0" shapeId="0">
      <text>
        <t>raw warhead damages: 6000, 3, 6000, 3
import scales all proportionally</t>
      </text>
    </comment>
    <comment ref="AA222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K223" authorId="0" shapeId="0">
      <text>
        <t>raw warhead damages: 6000, 3, 6000, 3
import scales all proportionally</t>
      </text>
    </comment>
    <comment ref="AA22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K224" authorId="0" shapeId="0">
      <text>
        <t>raw warhead damages: 2000, 1, 2000, 1, 2000, 1, 2000, 1, 2000, 1, 2000, 1
import scales all proportionally</t>
      </text>
    </comment>
    <comment ref="AA22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K225" authorId="0" shapeId="0">
      <text>
        <t>raw warhead damages: 2000, 1, 2000, 1, 2000, 1, 2000, 1, 2000, 1, 2000, 1
import scales all proportionally</t>
      </text>
    </comment>
    <comment ref="AA22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K226" authorId="0" shapeId="0">
      <text>
        <t>raw warhead damages: 2000, 1, 2000, 1, 2000, 1, 2000, 1, 2000, 1, 2000, 1
import scales all proportionally</t>
      </text>
    </comment>
    <comment ref="AA22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K227" authorId="0" shapeId="0">
      <text>
        <t>raw warhead damages: 2000, 1, 2000, 1, 2000, 1, 2000, 1, 2000, 1, 2000, 1
import scales all proportionally</t>
      </text>
    </comment>
    <comment ref="AA22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K228" authorId="0" shapeId="0">
      <text>
        <t>raw warhead damages: 2000, 1, 2000, 1000, 1, 2000, 1, 2000, 1
import scales all proportionally</t>
      </text>
    </comment>
    <comment ref="AA228" authorId="0" shapeId="0">
      <text>
        <t>fires when: ifv-miss &amp;&amp; rank-elite &amp;&amp; !ra2_allies_upgrade_thunderboltmissiles</t>
      </text>
    </comment>
    <comment ref="K229" authorId="0" shapeId="0">
      <text>
        <t>raw warhead damages: 2000, 1, 2000, 1000, 1, 2000, 1, 2000, 1
import scales all proportionally</t>
      </text>
    </comment>
    <comment ref="AA229" authorId="0" shapeId="0">
      <text>
        <t>fires when: ifv-miss &amp;&amp; !rank-elite &amp;&amp; !ra2_allies_upgrade_thunderboltmissiles</t>
      </text>
    </comment>
    <comment ref="K230" authorId="0" shapeId="0">
      <text>
        <t>raw warhead damages: 2000, 1, 2000, 1000, 1, 2000, 1, 2000, 1
import scales all proportionally</t>
      </text>
    </comment>
    <comment ref="AA230" authorId="0" shapeId="0">
      <text>
        <t>fires when: ifv-miss &amp;&amp; rank-elite &amp;&amp; !ra2_allies_upgrade_thunderboltmissiles</t>
      </text>
    </comment>
    <comment ref="K231" authorId="0" shapeId="0">
      <text>
        <t>raw warhead damages: 2000, 1, 2000, 1, 2000, 1, 2000, 1, 2000, 1, 2000, 1000, 1, 2000, 1, 2000, 1
import scales all proportionally</t>
      </text>
    </comment>
    <comment ref="AA231" authorId="0" shapeId="0">
      <text>
        <t>fires when: ifv-miss &amp;&amp; !rank-elite &amp;&amp; ra2_allies_upgrade_thunderboltmissiles</t>
      </text>
    </comment>
    <comment ref="K232" authorId="0" shapeId="0">
      <text>
        <t>raw warhead damages: 2000, 1, 2000, 1, 2000, 1, 2000, 1, 2000, 1, 2000, 1000, 1, 2000, 1, 2000, 1
import scales all proportionally</t>
      </text>
    </comment>
    <comment ref="AA232" authorId="0" shapeId="0">
      <text>
        <t>fires when: ifv-miss &amp;&amp; rank-elite &amp;&amp; ra2_allies_upgrade_thunderboltmissiles</t>
      </text>
    </comment>
    <comment ref="K233" authorId="0" shapeId="0">
      <text>
        <t>raw warhead damages: 2000, 1, 2000, 1, 2000, 1, 2000, 1, 2000, 1, 2000, 1000, 1, 2000, 1, 2000, 1
import scales all proportionally</t>
      </text>
    </comment>
    <comment ref="AA233" authorId="0" shapeId="0">
      <text>
        <t>fires when: ifv-miss &amp;&amp; !rank-elite &amp;&amp; ra2_allies_upgrade_thunderboltmissiles</t>
      </text>
    </comment>
    <comment ref="K234" authorId="0" shapeId="0">
      <text>
        <t>raw warhead damages: 2000, 1, 2000, 1, 2000, 1, 2000, 1, 2000, 1, 2000, 1000, 1, 2000, 1, 2000, 1
import scales all proportionally</t>
      </text>
    </comment>
    <comment ref="AA234" authorId="0" shapeId="0">
      <text>
        <t>fires when: ifv-miss &amp;&amp; rank-elite &amp;&amp; ra2_allies_upgrade_thunderboltmissiles</t>
      </text>
    </comment>
    <comment ref="K235" authorId="0" shapeId="0">
      <text>
        <t>raw warhead damages: -2000, -1000, -1
import scales all proportionally</t>
      </text>
    </comment>
    <comment ref="AA235" authorId="0" shapeId="0">
      <text>
        <t>fires when: ifv-healer</t>
      </text>
    </comment>
    <comment ref="K236" authorId="0" shapeId="0">
      <text>
        <t>raw warhead damages: 44000, 22
import scales all proportionally</t>
      </text>
    </comment>
    <comment ref="AA236" authorId="0" shapeId="0">
      <text>
        <t>fires when: ifv-ra1_allies_alliedsniper</t>
      </text>
    </comment>
    <comment ref="K238" authorId="0" shapeId="0">
      <text>
        <t>raw warhead damages: 2000, 1, 2000, 1
import scales all proportionally</t>
      </text>
    </comment>
    <comment ref="AA238" authorId="0" shapeId="0">
      <text>
        <t>fires when: ifv-mg</t>
      </text>
    </comment>
    <comment ref="K239" authorId="0" shapeId="0">
      <text>
        <t>raw warhead damages: 2000, 1, 2000, 1, 2000, 1
import scales all proportionally</t>
      </text>
    </comment>
    <comment ref="AA239" authorId="0" shapeId="0">
      <text>
        <t>fires when: ifv-hmg</t>
      </text>
    </comment>
    <comment ref="K240" authorId="0" shapeId="0">
      <text>
        <t>raw warhead damages: 2500, 3
import scales all proportionally</t>
      </text>
    </comment>
    <comment ref="AA240" authorId="0" shapeId="0">
      <text>
        <t>fires when: ifv-archer</t>
      </text>
    </comment>
    <comment ref="K241" authorId="0" shapeId="0">
      <text>
        <t>raw warhead damages: -2000, -1000, -1
import scales all proportionally</t>
      </text>
    </comment>
    <comment ref="AA241" authorId="0" shapeId="0">
      <text>
        <t>fires when: ifv-repair</t>
      </text>
    </comment>
    <comment ref="K242" authorId="0" shapeId="0">
      <text>
        <t>raw warhead damages: 30000, 15
import scales all proportionally</t>
      </text>
    </comment>
    <comment ref="AA242" authorId="0" shapeId="0">
      <text>
        <t>fires when: ifv-lightsniper</t>
      </text>
    </comment>
    <comment ref="K243" authorId="0" shapeId="0">
      <text>
        <t>raw warhead damages: 14000, 7
import scales all proportionally</t>
      </text>
    </comment>
    <comment ref="AA243" authorId="0" shapeId="0">
      <text>
        <t>fires when: ifv-hero</t>
      </text>
    </comment>
    <comment ref="K244" authorId="0" shapeId="0">
      <text>
        <t>raw warhead damages: 40000, 20000, 20
import scales all proportionally</t>
      </text>
    </comment>
    <comment ref="AA244" authorId="0" shapeId="0">
      <text>
        <t>fires when: ifv-tesla</t>
      </text>
    </comment>
    <comment ref="K245" authorId="0" shapeId="0">
      <text>
        <t>raw warhead damages: 8000, 4, 8000, 4, 1000, 8000, 4, 8000, 4, 8000, 4
import scales all proportionally</t>
      </text>
    </comment>
    <comment ref="AA245" authorId="0" shapeId="0">
      <text>
        <t>fires when: ifv-flak</t>
      </text>
    </comment>
    <comment ref="K246" authorId="0" shapeId="0">
      <text>
        <t>raw warhead damages: 8000, 4, 1000, 8000, 4000, 4, 8000, 4
import scales all proportionally</t>
      </text>
    </comment>
    <comment ref="AA246" authorId="0" shapeId="0">
      <text>
        <t>fires when: ifv-cannon</t>
      </text>
    </comment>
    <comment ref="K247" authorId="0" shapeId="0">
      <text>
        <t>raw warhead damages: 16000, 8000, 8
import scales all proportionally</t>
      </text>
    </comment>
    <comment ref="AA247" authorId="0" shapeId="0">
      <text>
        <t>fires when: ifv-grenade</t>
      </text>
    </comment>
    <comment ref="K248" authorId="0" shapeId="0">
      <text>
        <t>raw warhead damages: 3750, 2500
import scales all proportionally</t>
      </text>
    </comment>
    <comment ref="AA248" authorId="0" shapeId="0">
      <text>
        <t>fires when: ifv-plasma</t>
      </text>
    </comment>
    <comment ref="AA249" authorId="0" shapeId="0">
      <text>
        <t>fires when: ifv-litlaser</t>
      </text>
    </comment>
    <comment ref="K250" authorId="0" shapeId="0">
      <text>
        <t>raw warhead damages: 4000, 1
import scales all proportionally</t>
      </text>
    </comment>
    <comment ref="AA250" authorId="0" shapeId="0">
      <text>
        <t>fires when: ifv-medlaser</t>
      </text>
    </comment>
    <comment ref="K251" authorId="0" shapeId="0">
      <text>
        <t>raw warhead damages: 5000, 1
import scales all proportionally</t>
      </text>
    </comment>
    <comment ref="AA251" authorId="0" shapeId="0">
      <text>
        <t>fires when: ifv-greelaser</t>
      </text>
    </comment>
    <comment ref="K252" authorId="0" shapeId="0">
      <text>
        <t>raw warhead damages: 4000, 1
import scales all proportionally</t>
      </text>
    </comment>
    <comment ref="AA252" authorId="0" shapeId="0">
      <text>
        <t>fires when: ifv-misslaser</t>
      </text>
    </comment>
    <comment ref="K253" authorId="0" shapeId="0">
      <text>
        <t>raw warhead damages: 14000, 7000, 7
import scales all proportionally</t>
      </text>
    </comment>
    <comment ref="AA253" authorId="0" shapeId="0">
      <text>
        <t>fires when: ifv-fire</t>
      </text>
    </comment>
    <comment ref="K254" authorId="0" shapeId="0">
      <text>
        <t>raw warhead damages: 30000, 15000, 15
import scales all proportionally</t>
      </text>
    </comment>
    <comment ref="AA254" authorId="0" shapeId="0">
      <text>
        <t>fires when: ifv-chem</t>
      </text>
    </comment>
    <comment ref="K255" authorId="0" shapeId="0">
      <text>
        <t>raw warhead damages: 30000, 15000, 15
import scales all proportionally</t>
      </text>
    </comment>
    <comment ref="AA255" authorId="0" shapeId="0">
      <text>
        <t>fires when: ifv-thrax</t>
      </text>
    </comment>
    <comment ref="K256" authorId="0" shapeId="0">
      <text>
        <t>raw warhead damages: 2000, 1, 2000, 1000, 1, 2000, 1, 2000, 1
import scales all proportionally</t>
      </text>
    </comment>
    <comment ref="AA256" authorId="0" shapeId="0">
      <text>
        <t>fires when: ifv-miss &amp;&amp; !rank-elite &amp;&amp; !ra2_allies_upgrade_thunderboltmissiles</t>
      </text>
    </comment>
    <comment ref="AA257" authorId="0" shapeId="0">
      <text>
        <t>fires when: ifv-chrono</t>
      </text>
    </comment>
    <comment ref="AA258" authorId="0" shapeId="0">
      <text>
        <t>fires when: ifv-chrono</t>
      </text>
    </comment>
    <comment ref="AA259" authorId="0" shapeId="0">
      <text>
        <t>fires when: ifv-demo</t>
      </text>
    </comment>
    <comment ref="AA260" authorId="0" shapeId="0">
      <text>
        <t>fires when: ifv-fremen</t>
      </text>
    </comment>
    <comment ref="K261" authorId="0" shapeId="0">
      <text>
        <t>raw warhead damages: 4000, 1000
import scales all proportionally</t>
      </text>
    </comment>
    <comment ref="AA261" authorId="0" shapeId="0">
      <text>
        <t>fires when: ifv-sonic</t>
      </text>
    </comment>
    <comment ref="K262" authorId="0" shapeId="0">
      <text>
        <t>raw warhead damages: -2000, -1000, -1
import scales all proportionally</t>
      </text>
    </comment>
    <comment ref="AA262" authorId="0" shapeId="0">
      <text>
        <t>fires when: ifv-healer</t>
      </text>
    </comment>
    <comment ref="K263" authorId="0" shapeId="0">
      <text>
        <t>raw warhead damages: 6000, 3, 6000, 3
import scales all proportionally</t>
      </text>
    </comment>
    <comment ref="AA26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K264" authorId="0" shapeId="0">
      <text>
        <t>raw warhead damages: 6000, 3, 6000, 3
import scales all proportionally</t>
      </text>
    </comment>
    <comment ref="AA26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K265" authorId="0" shapeId="0">
      <text>
        <t>raw warhead damages: 6000, 3, 6000, 3
import scales all proportionally</t>
      </text>
    </comment>
    <comment ref="AA26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K266" authorId="0" shapeId="0">
      <text>
        <t>raw warhead damages: 6000, 3, 6000, 3
import scales all proportionally</t>
      </text>
    </comment>
    <comment ref="AA26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K267" authorId="0" shapeId="0">
      <text>
        <t>raw warhead damages: 2000, 1, 2000, 1, 2000, 1, 2000, 1, 2000, 1, 2000, 1
import scales all proportionally</t>
      </text>
    </comment>
    <comment ref="AA26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K268" authorId="0" shapeId="0">
      <text>
        <t>raw warhead damages: 2000, 1, 2000, 1, 2000, 1, 2000, 1, 2000, 1, 2000, 1
import scales all proportionally</t>
      </text>
    </comment>
    <comment ref="AA26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K269" authorId="0" shapeId="0">
      <text>
        <t>raw warhead damages: 2000, 1, 2000, 1, 2000, 1, 2000, 1, 2000, 1, 2000, 1
import scales all proportionally</t>
      </text>
    </comment>
    <comment ref="AA26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K270" authorId="0" shapeId="0">
      <text>
        <t>raw warhead damages: 2000, 1, 2000, 1, 2000, 1, 2000, 1, 2000, 1, 2000, 1
import scales all proportionally</t>
      </text>
    </comment>
    <comment ref="AA27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K271" authorId="0" shapeId="0">
      <text>
        <t>raw warhead damages: 2000, 1, 2000, 1000, 1, 2000, 1, 2000, 1
import scales all proportionally</t>
      </text>
    </comment>
    <comment ref="AA271" authorId="0" shapeId="0">
      <text>
        <t>fires when: ifv-miss &amp;&amp; rank-elite &amp;&amp; !ra2_allies_upgrade_thunderboltmissiles</t>
      </text>
    </comment>
    <comment ref="K272" authorId="0" shapeId="0">
      <text>
        <t>raw warhead damages: 2000, 1, 2000, 1000, 1, 2000, 1, 2000, 1
import scales all proportionally</t>
      </text>
    </comment>
    <comment ref="AA272" authorId="0" shapeId="0">
      <text>
        <t>fires when: ifv-miss &amp;&amp; !rank-elite &amp;&amp; !ra2_allies_upgrade_thunderboltmissiles</t>
      </text>
    </comment>
    <comment ref="K273" authorId="0" shapeId="0">
      <text>
        <t>raw warhead damages: 2000, 1, 2000, 1000, 1, 2000, 1, 2000, 1
import scales all proportionally</t>
      </text>
    </comment>
    <comment ref="AA273" authorId="0" shapeId="0">
      <text>
        <t>fires when: ifv-miss &amp;&amp; rank-elite &amp;&amp; !ra2_allies_upgrade_thunderboltmissiles</t>
      </text>
    </comment>
    <comment ref="K274" authorId="0" shapeId="0">
      <text>
        <t>raw warhead damages: 2000, 1, 2000, 1, 2000, 1, 2000, 1, 2000, 1, 2000, 1000, 1, 2000, 1, 2000, 1
import scales all proportionally</t>
      </text>
    </comment>
    <comment ref="AA274" authorId="0" shapeId="0">
      <text>
        <t>fires when: ifv-miss &amp;&amp; !rank-elite &amp;&amp; ra2_allies_upgrade_thunderboltmissiles</t>
      </text>
    </comment>
    <comment ref="K275" authorId="0" shapeId="0">
      <text>
        <t>raw warhead damages: 2000, 1, 2000, 1, 2000, 1, 2000, 1, 2000, 1, 2000, 1000, 1, 2000, 1, 2000, 1
import scales all proportionally</t>
      </text>
    </comment>
    <comment ref="AA275" authorId="0" shapeId="0">
      <text>
        <t>fires when: ifv-miss &amp;&amp; rank-elite &amp;&amp; ra2_allies_upgrade_thunderboltmissiles</t>
      </text>
    </comment>
    <comment ref="K276" authorId="0" shapeId="0">
      <text>
        <t>raw warhead damages: 2000, 1, 2000, 1, 2000, 1, 2000, 1, 2000, 1, 2000, 1000, 1, 2000, 1, 2000, 1
import scales all proportionally</t>
      </text>
    </comment>
    <comment ref="AA276" authorId="0" shapeId="0">
      <text>
        <t>fires when: ifv-miss &amp;&amp; !rank-elite &amp;&amp; ra2_allies_upgrade_thunderboltmissiles</t>
      </text>
    </comment>
    <comment ref="K277" authorId="0" shapeId="0">
      <text>
        <t>raw warhead damages: 2000, 1, 2000, 1, 2000, 1, 2000, 1, 2000, 1, 2000, 1000, 1, 2000, 1, 2000, 1
import scales all proportionally</t>
      </text>
    </comment>
    <comment ref="AA277" authorId="0" shapeId="0">
      <text>
        <t>fires when: ifv-miss &amp;&amp; rank-elite &amp;&amp; ra2_allies_upgrade_thunderboltmissiles</t>
      </text>
    </comment>
    <comment ref="K278" authorId="0" shapeId="0">
      <text>
        <t>raw warhead damages: -2000, -1000, -1
import scales all proportionally</t>
      </text>
    </comment>
    <comment ref="AA278" authorId="0" shapeId="0">
      <text>
        <t>fires when: ifv-healer</t>
      </text>
    </comment>
    <comment ref="K279" authorId="0" shapeId="0">
      <text>
        <t>raw warhead damages: 44000, 22
import scales all proportionally</t>
      </text>
    </comment>
    <comment ref="AA279" authorId="0" shapeId="0">
      <text>
        <t>fires when: ifv-ra1_allies_alliedsniper</t>
      </text>
    </comment>
    <comment ref="K281" authorId="0" shapeId="0">
      <text>
        <t>raw warhead damages: 2000, 1, 2000, 1
import scales all proportionally</t>
      </text>
    </comment>
    <comment ref="AA281" authorId="0" shapeId="0">
      <text>
        <t>fires when: ifv-mg</t>
      </text>
    </comment>
    <comment ref="K282" authorId="0" shapeId="0">
      <text>
        <t>raw warhead damages: 2000, 1, 2000, 1, 2000, 1
import scales all proportionally</t>
      </text>
    </comment>
    <comment ref="AA282" authorId="0" shapeId="0">
      <text>
        <t>fires when: ifv-hmg</t>
      </text>
    </comment>
    <comment ref="K283" authorId="0" shapeId="0">
      <text>
        <t>raw warhead damages: 2500, 3
import scales all proportionally</t>
      </text>
    </comment>
    <comment ref="AA283" authorId="0" shapeId="0">
      <text>
        <t>fires when: ifv-archer</t>
      </text>
    </comment>
    <comment ref="K284" authorId="0" shapeId="0">
      <text>
        <t>raw warhead damages: -2000, -1000, -1
import scales all proportionally</t>
      </text>
    </comment>
    <comment ref="AA284" authorId="0" shapeId="0">
      <text>
        <t>fires when: ifv-repair</t>
      </text>
    </comment>
    <comment ref="K285" authorId="0" shapeId="0">
      <text>
        <t>raw warhead damages: 30000, 15
import scales all proportionally</t>
      </text>
    </comment>
    <comment ref="AA285" authorId="0" shapeId="0">
      <text>
        <t>fires when: ifv-lightsniper</t>
      </text>
    </comment>
    <comment ref="K286" authorId="0" shapeId="0">
      <text>
        <t>raw warhead damages: 14000, 7
import scales all proportionally</t>
      </text>
    </comment>
    <comment ref="AA286" authorId="0" shapeId="0">
      <text>
        <t>fires when: ifv-hero</t>
      </text>
    </comment>
    <comment ref="K287" authorId="0" shapeId="0">
      <text>
        <t>raw warhead damages: 40000, 20000, 20
import scales all proportionally</t>
      </text>
    </comment>
    <comment ref="AA287" authorId="0" shapeId="0">
      <text>
        <t>fires when: ifv-tesla</t>
      </text>
    </comment>
    <comment ref="K288" authorId="0" shapeId="0">
      <text>
        <t>raw warhead damages: 8000, 4, 8000, 4, 1000, 8000, 4, 8000, 4, 8000, 4
import scales all proportionally</t>
      </text>
    </comment>
    <comment ref="AA288" authorId="0" shapeId="0">
      <text>
        <t>fires when: ifv-flak</t>
      </text>
    </comment>
    <comment ref="K289" authorId="0" shapeId="0">
      <text>
        <t>raw warhead damages: 8000, 4, 1000, 8000, 4000, 4, 8000, 4
import scales all proportionally</t>
      </text>
    </comment>
    <comment ref="AA289" authorId="0" shapeId="0">
      <text>
        <t>fires when: ifv-cannon</t>
      </text>
    </comment>
    <comment ref="K290" authorId="0" shapeId="0">
      <text>
        <t>raw warhead damages: 16000, 8000, 8
import scales all proportionally</t>
      </text>
    </comment>
    <comment ref="AA290" authorId="0" shapeId="0">
      <text>
        <t>fires when: ifv-grenade</t>
      </text>
    </comment>
    <comment ref="K291" authorId="0" shapeId="0">
      <text>
        <t>raw warhead damages: 3750, 2500
import scales all proportionally</t>
      </text>
    </comment>
    <comment ref="AA291" authorId="0" shapeId="0">
      <text>
        <t>fires when: ifv-plasma</t>
      </text>
    </comment>
    <comment ref="AA292" authorId="0" shapeId="0">
      <text>
        <t>fires when: ifv-litlaser</t>
      </text>
    </comment>
    <comment ref="K293" authorId="0" shapeId="0">
      <text>
        <t>raw warhead damages: 4000, 1
import scales all proportionally</t>
      </text>
    </comment>
    <comment ref="AA293" authorId="0" shapeId="0">
      <text>
        <t>fires when: ifv-medlaser</t>
      </text>
    </comment>
    <comment ref="K294" authorId="0" shapeId="0">
      <text>
        <t>raw warhead damages: 5000, 1
import scales all proportionally</t>
      </text>
    </comment>
    <comment ref="AA294" authorId="0" shapeId="0">
      <text>
        <t>fires when: ifv-greelaser</t>
      </text>
    </comment>
    <comment ref="K295" authorId="0" shapeId="0">
      <text>
        <t>raw warhead damages: 4000, 1
import scales all proportionally</t>
      </text>
    </comment>
    <comment ref="AA295" authorId="0" shapeId="0">
      <text>
        <t>fires when: ifv-misslaser</t>
      </text>
    </comment>
    <comment ref="K296" authorId="0" shapeId="0">
      <text>
        <t>raw warhead damages: 14000, 7000, 7
import scales all proportionally</t>
      </text>
    </comment>
    <comment ref="AA296" authorId="0" shapeId="0">
      <text>
        <t>fires when: ifv-fire</t>
      </text>
    </comment>
    <comment ref="K297" authorId="0" shapeId="0">
      <text>
        <t>raw warhead damages: 30000, 15000, 15
import scales all proportionally</t>
      </text>
    </comment>
    <comment ref="AA297" authorId="0" shapeId="0">
      <text>
        <t>fires when: ifv-chem</t>
      </text>
    </comment>
    <comment ref="K298" authorId="0" shapeId="0">
      <text>
        <t>raw warhead damages: 30000, 15000, 15
import scales all proportionally</t>
      </text>
    </comment>
    <comment ref="AA298" authorId="0" shapeId="0">
      <text>
        <t>fires when: ifv-thrax</t>
      </text>
    </comment>
    <comment ref="K299" authorId="0" shapeId="0">
      <text>
        <t>raw warhead damages: 2000, 1, 2000, 1000, 1, 2000, 1, 2000, 1
import scales all proportionally</t>
      </text>
    </comment>
    <comment ref="AA299" authorId="0" shapeId="0">
      <text>
        <t>fires when: ifv-miss &amp;&amp; !rank-elite &amp;&amp; !ra2_allies_upgrade_thunderboltmissiles</t>
      </text>
    </comment>
    <comment ref="AA300" authorId="0" shapeId="0">
      <text>
        <t>fires when: ifv-chrono</t>
      </text>
    </comment>
    <comment ref="AA301" authorId="0" shapeId="0">
      <text>
        <t>fires when: ifv-chrono</t>
      </text>
    </comment>
    <comment ref="AA302" authorId="0" shapeId="0">
      <text>
        <t>fires when: ifv-demo</t>
      </text>
    </comment>
    <comment ref="AA303" authorId="0" shapeId="0">
      <text>
        <t>fires when: ifv-fremen</t>
      </text>
    </comment>
    <comment ref="K304" authorId="0" shapeId="0">
      <text>
        <t>raw warhead damages: 4000, 1000
import scales all proportionally</t>
      </text>
    </comment>
    <comment ref="AA304" authorId="0" shapeId="0">
      <text>
        <t>fires when: ifv-sonic</t>
      </text>
    </comment>
    <comment ref="K305" authorId="0" shapeId="0">
      <text>
        <t>raw warhead damages: -2000, -1000, -1
import scales all proportionally</t>
      </text>
    </comment>
    <comment ref="AA305" authorId="0" shapeId="0">
      <text>
        <t>fires when: ifv-healer</t>
      </text>
    </comment>
    <comment ref="K306" authorId="0" shapeId="0">
      <text>
        <t>raw warhead damages: 6000, 3, 6000, 3
import scales all proportionally</t>
      </text>
    </comment>
    <comment ref="AA30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K307" authorId="0" shapeId="0">
      <text>
        <t>raw warhead damages: 6000, 3, 6000, 3
import scales all proportionally</t>
      </text>
    </comment>
    <comment ref="AA30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K308" authorId="0" shapeId="0">
      <text>
        <t>raw warhead damages: 6000, 3, 6000, 3
import scales all proportionally</t>
      </text>
    </comment>
    <comment ref="AA30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K309" authorId="0" shapeId="0">
      <text>
        <t>raw warhead damages: 6000, 3, 6000, 3
import scales all proportionally</t>
      </text>
    </comment>
    <comment ref="AA30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K310" authorId="0" shapeId="0">
      <text>
        <t>raw warhead damages: 2000, 1, 2000, 1, 2000, 1, 2000, 1, 2000, 1, 2000, 1
import scales all proportionally</t>
      </text>
    </comment>
    <comment ref="AA310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K311" authorId="0" shapeId="0">
      <text>
        <t>raw warhead damages: 2000, 1, 2000, 1, 2000, 1, 2000, 1, 2000, 1, 2000, 1
import scales all proportionally</t>
      </text>
    </comment>
    <comment ref="AA31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K312" authorId="0" shapeId="0">
      <text>
        <t>raw warhead damages: 2000, 1, 2000, 1, 2000, 1, 2000, 1, 2000, 1, 2000, 1
import scales all proportionally</t>
      </text>
    </comment>
    <comment ref="AA312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K313" authorId="0" shapeId="0">
      <text>
        <t>raw warhead damages: 2000, 1, 2000, 1, 2000, 1, 2000, 1, 2000, 1, 2000, 1
import scales all proportionally</t>
      </text>
    </comment>
    <comment ref="AA31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K314" authorId="0" shapeId="0">
      <text>
        <t>raw warhead damages: 2000, 1, 2000, 1000, 1, 2000, 1, 2000, 1
import scales all proportionally</t>
      </text>
    </comment>
    <comment ref="AA314" authorId="0" shapeId="0">
      <text>
        <t>fires when: ifv-miss &amp;&amp; rank-elite &amp;&amp; !ra2_allies_upgrade_thunderboltmissiles</t>
      </text>
    </comment>
    <comment ref="K315" authorId="0" shapeId="0">
      <text>
        <t>raw warhead damages: 2000, 1, 2000, 1000, 1, 2000, 1, 2000, 1
import scales all proportionally</t>
      </text>
    </comment>
    <comment ref="AA315" authorId="0" shapeId="0">
      <text>
        <t>fires when: ifv-miss &amp;&amp; !rank-elite &amp;&amp; !ra2_allies_upgrade_thunderboltmissiles</t>
      </text>
    </comment>
    <comment ref="K316" authorId="0" shapeId="0">
      <text>
        <t>raw warhead damages: 2000, 1, 2000, 1000, 1, 2000, 1, 2000, 1
import scales all proportionally</t>
      </text>
    </comment>
    <comment ref="AA316" authorId="0" shapeId="0">
      <text>
        <t>fires when: ifv-miss &amp;&amp; rank-elite &amp;&amp; !ra2_allies_upgrade_thunderboltmissiles</t>
      </text>
    </comment>
    <comment ref="K317" authorId="0" shapeId="0">
      <text>
        <t>raw warhead damages: 2000, 1, 2000, 1, 2000, 1, 2000, 1, 2000, 1, 2000, 1000, 1, 2000, 1, 2000, 1
import scales all proportionally</t>
      </text>
    </comment>
    <comment ref="AA317" authorId="0" shapeId="0">
      <text>
        <t>fires when: ifv-miss &amp;&amp; !rank-elite &amp;&amp; ra2_allies_upgrade_thunderboltmissiles</t>
      </text>
    </comment>
    <comment ref="K318" authorId="0" shapeId="0">
      <text>
        <t>raw warhead damages: 2000, 1, 2000, 1, 2000, 1, 2000, 1, 2000, 1, 2000, 1000, 1, 2000, 1, 2000, 1
import scales all proportionally</t>
      </text>
    </comment>
    <comment ref="AA318" authorId="0" shapeId="0">
      <text>
        <t>fires when: ifv-miss &amp;&amp; rank-elite &amp;&amp; ra2_allies_upgrade_thunderboltmissiles</t>
      </text>
    </comment>
    <comment ref="K319" authorId="0" shapeId="0">
      <text>
        <t>raw warhead damages: 2000, 1, 2000, 1, 2000, 1, 2000, 1, 2000, 1, 2000, 1000, 1, 2000, 1, 2000, 1
import scales all proportionally</t>
      </text>
    </comment>
    <comment ref="AA319" authorId="0" shapeId="0">
      <text>
        <t>fires when: ifv-miss &amp;&amp; !rank-elite &amp;&amp; ra2_allies_upgrade_thunderboltmissiles</t>
      </text>
    </comment>
    <comment ref="K320" authorId="0" shapeId="0">
      <text>
        <t>raw warhead damages: 2000, 1, 2000, 1, 2000, 1, 2000, 1, 2000, 1, 2000, 1000, 1, 2000, 1, 2000, 1
import scales all proportionally</t>
      </text>
    </comment>
    <comment ref="AA320" authorId="0" shapeId="0">
      <text>
        <t>fires when: ifv-miss &amp;&amp; rank-elite &amp;&amp; ra2_allies_upgrade_thunderboltmissiles</t>
      </text>
    </comment>
    <comment ref="K321" authorId="0" shapeId="0">
      <text>
        <t>raw warhead damages: -2000, -1000, -1
import scales all proportionally</t>
      </text>
    </comment>
    <comment ref="AA321" authorId="0" shapeId="0">
      <text>
        <t>fires when: ifv-healer</t>
      </text>
    </comment>
    <comment ref="K322" authorId="0" shapeId="0">
      <text>
        <t>raw warhead damages: 44000, 22
import scales all proportionally</t>
      </text>
    </comment>
    <comment ref="AA322" authorId="0" shapeId="0">
      <text>
        <t>fires when: ifv-ra1_allies_alliedsniper</t>
      </text>
    </comment>
    <comment ref="K324" authorId="0" shapeId="0">
      <text>
        <t>raw warhead damages: 8000, 4, 1000, 8000, 4000, 4, 8000, 4
import scales all proportionally</t>
      </text>
    </comment>
    <comment ref="AA324" authorId="0" shapeId="0">
      <text>
        <t>fires when: !rank-elite</t>
      </text>
    </comment>
    <comment ref="K325" authorId="0" shapeId="0">
      <text>
        <t>raw warhead damages: 8000, 4, 1000, 8000, 4000, 4, 8000, 4
import scales all proportionally</t>
      </text>
    </comment>
    <comment ref="AA325" authorId="0" shapeId="0">
      <text>
        <t>fires when: rank-elite</t>
      </text>
    </comment>
    <comment ref="AA327" authorId="0" shapeId="0">
      <text>
        <t>fires when: !rank-elite</t>
      </text>
    </comment>
    <comment ref="AA328" authorId="0" shapeId="0">
      <text>
        <t>fires when: rank-elite</t>
      </text>
    </comment>
    <comment ref="K329" authorId="0" shapeId="0">
      <text>
        <t>raw warhead damages: 20000, 10000, 10, 20000, 10000, 10, 20000, 10, 600
import scales all proportionally</t>
      </text>
    </comment>
    <comment ref="AA329" authorId="0" shapeId="0">
      <text>
        <t>fires when: !rank-elite</t>
      </text>
    </comment>
    <comment ref="K330" authorId="0" shapeId="0">
      <text>
        <t>raw warhead damages: 20000, 10000, 10, 20000, 10000, 10, 20000, 10, 600
import scales all proportionally</t>
      </text>
    </comment>
    <comment ref="AA330" authorId="0" shapeId="0">
      <text>
        <t>fires when: rank-elite</t>
      </text>
    </comment>
    <comment ref="K332" authorId="0" shapeId="0">
      <text>
        <t>raw warhead damages: 80000, 40
import scales all proportionally</t>
      </text>
    </comment>
    <comment ref="AA332" authorId="0" shapeId="0">
      <text>
        <t>fires when: !rank-elite</t>
      </text>
    </comment>
    <comment ref="K333" authorId="0" shapeId="0">
      <text>
        <t>raw warhead damages: 160000, 80
import scales all proportionally</t>
      </text>
    </comment>
    <comment ref="AA333" authorId="0" shapeId="0">
      <text>
        <t>fires when: rank-elite</t>
      </text>
    </comment>
    <comment ref="K336" authorId="0" shapeId="0">
      <text>
        <t>raw warhead damages: 16000, 8000, 8, 16000, 8, 16000, 8
import scales all proportionally</t>
      </text>
    </comment>
    <comment ref="AA336" authorId="0" shapeId="0">
      <text>
        <t>fires when: !rank-elite &amp;&amp; !ra2_allies_upgrade_thunderboltmissiles</t>
      </text>
    </comment>
    <comment ref="K337" authorId="0" shapeId="0">
      <text>
        <t>raw warhead damages: 16000, 8000, 8, 16000, 8, 16000, 8
import scales all proportionally</t>
      </text>
    </comment>
    <comment ref="AA337" authorId="0" shapeId="0">
      <text>
        <t>fires when: rank-elite &amp;&amp; !ra2_allies_upgrade_thunderboltmissiles</t>
      </text>
    </comment>
    <comment ref="K338" authorId="0" shapeId="0">
      <text>
        <t>raw warhead damages: 6000, 3000, 3, 6000, 3000, 3, 6000, 3, 6000, 3, 6000, 3, 6000, 3, 6000, 3, 6000, 3, 6000, 3
import scales all proportionally</t>
      </text>
    </comment>
    <comment ref="AA338" authorId="0" shapeId="0">
      <text>
        <t>fires when: !rank-elite &amp;&amp; ra2_allies_upgrade_thunderboltmissiles</t>
      </text>
    </comment>
    <comment ref="K339" authorId="0" shapeId="0">
      <text>
        <t>raw warhead damages: 6000, 3000, 3, 6000, 3000, 3, 6000, 3, 6000, 3, 6000, 3, 6000, 3, 6000, 3, 6000, 3, 6000, 3
import scales all proportionally</t>
      </text>
    </comment>
    <comment ref="AA339" authorId="0" shapeId="0">
      <text>
        <t>fires when: rank-elite &amp;&amp; ra2_allies_upgrade_thunderboltmissiles</t>
      </text>
    </comment>
    <comment ref="K341" authorId="0" shapeId="0">
      <text>
        <t>raw warhead damages: 4000, 2000, 2, 4000, 2000, 2, 4000, 2000, 2, 4000, 2, 4000, 2, 4000, 2
import scales all proportionally</t>
      </text>
    </comment>
    <comment ref="AA341" authorId="0" shapeId="0">
      <text>
        <t>fires when: !rank-elite</t>
      </text>
    </comment>
    <comment ref="K342" authorId="0" shapeId="0">
      <text>
        <t>raw warhead damages: 4000, 2000, 2, 4000, 2000, 2, 4000, 2000, 2, 4000, 2, 4000, 2, 4000, 2
import scales all proportionally</t>
      </text>
    </comment>
    <comment ref="AA342" authorId="0" shapeId="0">
      <text>
        <t>fires when: rank-elite</t>
      </text>
    </comment>
    <comment ref="K344" authorId="0" shapeId="0">
      <text>
        <t>raw warhead damages: 2000, 1, 2000, 1
import scales all proportionally</t>
      </text>
    </comment>
    <comment ref="K347" authorId="0" shapeId="0">
      <text>
        <t>raw warhead damages: 30000, 15
import scales all proportionally</t>
      </text>
    </comment>
    <comment ref="K348" authorId="0" shapeId="0">
      <text>
        <t>raw warhead damages: 30000, 15
import scales all proportionally</t>
      </text>
    </comment>
    <comment ref="AA348" authorId="0" shapeId="0">
      <text>
        <t>fires when: upra2aegismissiles</t>
      </text>
    </comment>
    <comment ref="K354" authorId="0" shapeId="0">
      <text>
        <t>raw warhead damages: 50000, 25, 50000, 25, 50000, 25000, 25, 50000, 25000, 25, 50000, 25000, 25, 50000, 25000, 25
import scales all proportionally</t>
      </text>
    </comment>
    <comment ref="K356" authorId="0" shapeId="0">
      <text>
        <t>raw warhead damages: 10000, 5
import scales all proportionally</t>
      </text>
    </comment>
    <comment ref="AA356" authorId="0" shapeId="0">
      <text>
        <t>fires when: !ra2_allies_upgrade_thunderboltmissiles</t>
      </text>
    </comment>
    <comment ref="K357" authorId="0" shapeId="0">
      <text>
        <t>raw warhead damages: 2000, 1, 2000, 1, 2000, 1, 2000, 1, 2000, 1, 2000, 1
import scales all proportionally</t>
      </text>
    </comment>
    <comment ref="AA357" authorId="0" shapeId="0">
      <text>
        <t>fires when: ra2_allies_upgrade_thunderboltmissiles</t>
      </text>
    </comment>
    <comment ref="AA360" authorId="0" shapeId="0">
      <text>
        <t>fires when: ra2_allies_upgrade_prismlinking</t>
      </text>
    </comment>
    <comment ref="K361" authorId="0" shapeId="0">
      <text>
        <t>raw warhead damages: 32000, 16, 600
import scales all proportionally</t>
      </text>
    </comment>
  </commentList>
</comments>
</file>

<file path=xl/comments/comment6.xml><?xml version="1.0" encoding="utf-8"?>
<comments xmlns="http://schemas.openxmlformats.org/spreadsheetml/2006/main">
  <authors>
    <author>balance-pipeline</author>
  </authors>
  <commentList>
    <comment ref="K6" authorId="0" shapeId="0">
      <text>
        <t>raw warhead damages: 4000, 2, 4000, 2
import scales all proportionally</t>
      </text>
    </comment>
    <comment ref="AA6" authorId="0" shapeId="0">
      <text>
        <t>fires when: !rank-elite</t>
      </text>
    </comment>
    <comment ref="K7" authorId="0" shapeId="0">
      <text>
        <t>raw warhead damages: 4000, 2, 4000, 2
import scales all proportionally</t>
      </text>
    </comment>
    <comment ref="AA7" authorId="0" shapeId="0">
      <text>
        <t>fires when: rank-elite</t>
      </text>
    </comment>
    <comment ref="K8" authorId="0" shapeId="0">
      <text>
        <t>raw warhead damages: 4000, 2, 4000, 2
import scales all proportionally</t>
      </text>
    </comment>
    <comment ref="AA8" authorId="0" shapeId="0">
      <text>
        <t>fires when: !canflare</t>
      </text>
    </comment>
    <comment ref="AA9" authorId="0" shapeId="0">
      <text>
        <t>fires when: canflare</t>
      </text>
    </comment>
    <comment ref="K10" authorId="0" shapeId="0">
      <text>
        <t>raw warhead damages: 4000, 2, 4000, 2
import scales all proportionally</t>
      </text>
    </comment>
    <comment ref="AA10" authorId="0" shapeId="0">
      <text>
        <t>fires when: !rank-elite</t>
      </text>
    </comment>
    <comment ref="K11" authorId="0" shapeId="0">
      <text>
        <t>raw warhead damages: 4000, 2, 4000, 2
import scales all proportionally</t>
      </text>
    </comment>
    <comment ref="AA11" authorId="0" shapeId="0">
      <text>
        <t>fires when: rank-elite</t>
      </text>
    </comment>
    <comment ref="K13" authorId="0" shapeId="0">
      <text>
        <t>raw warhead damages: 2000, 1
import scales all proportionally</t>
      </text>
    </comment>
    <comment ref="AA13" authorId="0" shapeId="0">
      <text>
        <t>fires when: !rank-elite</t>
      </text>
    </comment>
    <comment ref="K14" authorId="0" shapeId="0">
      <text>
        <t>raw warhead damages: 2000, 1
import scales all proportionally</t>
      </text>
    </comment>
    <comment ref="AA14" authorId="0" shapeId="0">
      <text>
        <t>fires when: rank-elite</t>
      </text>
    </comment>
    <comment ref="K15" authorId="0" shapeId="0">
      <text>
        <t>raw warhead damages: 2000, 1, 2000, 1
import scales all proportionally</t>
      </text>
    </comment>
    <comment ref="K20" authorId="0" shapeId="0">
      <text>
        <t>raw warhead damages: 30000, 15000, 15
import scales all proportionally</t>
      </text>
    </comment>
    <comment ref="AA20" authorId="0" shapeId="0">
      <text>
        <t>fires when: !rank-elite</t>
      </text>
    </comment>
    <comment ref="K21" authorId="0" shapeId="0">
      <text>
        <t>raw warhead damages: 30000, 15000, 15
import scales all proportionally</t>
      </text>
    </comment>
    <comment ref="AA21" authorId="0" shapeId="0">
      <text>
        <t>fires when: rank-elite</t>
      </text>
    </comment>
    <comment ref="K22" authorId="0" shapeId="0">
      <text>
        <t>raw warhead damages: 30000, 15000, 15
import scales all proportionally</t>
      </text>
    </comment>
    <comment ref="K27" authorId="0" shapeId="0">
      <text>
        <t>raw warhead damages: 8000, 4
import scales all proportionally</t>
      </text>
    </comment>
    <comment ref="AA27" authorId="0" shapeId="0">
      <text>
        <t>fires when: !rank-elite</t>
      </text>
    </comment>
    <comment ref="K28" authorId="0" shapeId="0">
      <text>
        <t>raw warhead damages: 8000, 4
import scales all proportionally</t>
      </text>
    </comment>
    <comment ref="AA28" authorId="0" shapeId="0">
      <text>
        <t>fires when: !rank-elite</t>
      </text>
    </comment>
    <comment ref="K29" authorId="0" shapeId="0">
      <text>
        <t>raw warhead damages: 8000, 4
import scales all proportionally</t>
      </text>
    </comment>
    <comment ref="AA29" authorId="0" shapeId="0">
      <text>
        <t>fires when: !rank-elite</t>
      </text>
    </comment>
    <comment ref="K30" authorId="0" shapeId="0">
      <text>
        <t>raw warhead damages: 8000, 4
import scales all proportionally</t>
      </text>
    </comment>
    <comment ref="AA30" authorId="0" shapeId="0">
      <text>
        <t>fires when: !rank-elite</t>
      </text>
    </comment>
    <comment ref="K31" authorId="0" shapeId="0">
      <text>
        <t>raw warhead damages: 8000, 4
import scales all proportionally</t>
      </text>
    </comment>
    <comment ref="AA31" authorId="0" shapeId="0">
      <text>
        <t>fires when: rank-elite</t>
      </text>
    </comment>
    <comment ref="K32" authorId="0" shapeId="0">
      <text>
        <t>raw warhead damages: 8000, 4
import scales all proportionally</t>
      </text>
    </comment>
    <comment ref="AA32" authorId="0" shapeId="0">
      <text>
        <t>fires when: rank-elite</t>
      </text>
    </comment>
    <comment ref="K33" authorId="0" shapeId="0">
      <text>
        <t>raw warhead damages: 8000, 4
import scales all proportionally</t>
      </text>
    </comment>
    <comment ref="AA33" authorId="0" shapeId="0">
      <text>
        <t>fires when: rank-elite</t>
      </text>
    </comment>
    <comment ref="K34" authorId="0" shapeId="0">
      <text>
        <t>raw warhead damages: 8000, 4
import scales all proportionally</t>
      </text>
    </comment>
    <comment ref="AA34" authorId="0" shapeId="0">
      <text>
        <t>fires when: rank-elite</t>
      </text>
    </comment>
    <comment ref="K36" authorId="0" shapeId="0">
      <text>
        <t>raw warhead damages: 24000, 12000, 12
import scales all proportionally</t>
      </text>
    </comment>
    <comment ref="AA36" authorId="0" shapeId="0">
      <text>
        <t>fires when: (!ra2_soviets_upgrade_teslaoverload &amp;&amp; !rank-elite)</t>
      </text>
    </comment>
    <comment ref="K37" authorId="0" shapeId="0">
      <text>
        <t>raw warhead damages: 24000, 12000, 12
import scales all proportionally</t>
      </text>
    </comment>
    <comment ref="AA37" authorId="0" shapeId="0">
      <text>
        <t>fires when: (ra2_soviets_upgrade_teslaoverload &amp;&amp; !rank-elite) || (!ra2_soviets_upgrade_teslaoverload &amp;&amp; rank-elite)</t>
      </text>
    </comment>
    <comment ref="K38" authorId="0" shapeId="0">
      <text>
        <t>raw warhead damages: 24000, 12000, 12
import scales all proportionally</t>
      </text>
    </comment>
    <comment ref="AA38" authorId="0" shapeId="0">
      <text>
        <t>fires when: (ra2_soviets_upgrade_teslaoverload &amp;&amp; rank-elite)</t>
      </text>
    </comment>
    <comment ref="K40" authorId="0" shapeId="0">
      <text>
        <t>raw warhead damages: 24000, 12000, 12
import scales all proportionally</t>
      </text>
    </comment>
    <comment ref="AA40" authorId="0" shapeId="0">
      <text>
        <t>fires when: (!ra2_soviets_upgrade_teslaoverload &amp;&amp; !rank-elite)</t>
      </text>
    </comment>
    <comment ref="K41" authorId="0" shapeId="0">
      <text>
        <t>raw warhead damages: 24000, 12000, 12
import scales all proportionally</t>
      </text>
    </comment>
    <comment ref="AA41" authorId="0" shapeId="0">
      <text>
        <t>fires when: (ra2_soviets_upgrade_teslaoverload &amp;&amp; !rank-elite) || (!ra2_soviets_upgrade_teslaoverload &amp;&amp; rank-elite)</t>
      </text>
    </comment>
    <comment ref="K42" authorId="0" shapeId="0">
      <text>
        <t>raw warhead damages: 24000, 12000, 12
import scales all proportionally</t>
      </text>
    </comment>
    <comment ref="AA42" authorId="0" shapeId="0">
      <text>
        <t>fires when: (ra2_soviets_upgrade_teslaoverload &amp;&amp; rank-elite)</t>
      </text>
    </comment>
    <comment ref="K45" authorId="0" shapeId="0">
      <text>
        <t>raw warhead damages: 4000, 2, 4000, 2000, 2, 4000, 2
import scales all proportionally</t>
      </text>
    </comment>
    <comment ref="AA45" authorId="0" shapeId="0">
      <text>
        <t>fires when: !rank-elite &amp;&amp; !ra2_soviets_doctrine_nuclearmunitions &amp;&amp; !ra2_soviets_doctrine_firemunitions &amp;&amp; !ra2_soviets_doctrine_teslamunitions</t>
      </text>
    </comment>
    <comment ref="K46" authorId="0" shapeId="0">
      <text>
        <t>raw warhead damages: 2000, 1000, 1, 2000, 1000, 1, 2000, 1000, 1, 2000, 1, 2000, 1000, 1, 2000, 1
import scales all proportionally</t>
      </text>
    </comment>
    <comment ref="AA46" authorId="0" shapeId="0">
      <text>
        <t>fires when: !rank-elite &amp;&amp; ra2_soviets_doctrine_nuclearmunitions</t>
      </text>
    </comment>
    <comment ref="K47" authorId="0" shapeId="0">
      <text>
        <t>raw warhead damages: 4000, 2, 4000, 2000, 2, 4000, 2
import scales all proportionally</t>
      </text>
    </comment>
    <comment ref="AA47" authorId="0" shapeId="0">
      <text>
        <t>fires when: !rank-elite &amp;&amp; ra2_soviets_doctrine_firemunitions</t>
      </text>
    </comment>
    <comment ref="K48" authorId="0" shapeId="0">
      <text>
        <t>raw warhead damages: 4000, 2, 4000, 2000, 2, 4000, 2
import scales all proportionally</t>
      </text>
    </comment>
    <comment ref="AA48" authorId="0" shapeId="0">
      <text>
        <t>fires when: !rank-elite &amp;&amp; ra2_soviets_doctrine_teslamunitions</t>
      </text>
    </comment>
    <comment ref="K49" authorId="0" shapeId="0">
      <text>
        <t>raw warhead damages: 16000, 8
import scales all proportionally</t>
      </text>
    </comment>
    <comment ref="AA49" authorId="0" shapeId="0">
      <text>
        <t>fires when: !rank-elite</t>
      </text>
    </comment>
    <comment ref="K50" authorId="0" shapeId="0">
      <text>
        <t>raw warhead damages: 4000, 2, 4000, 2000, 2, 4000, 2
import scales all proportionally</t>
      </text>
    </comment>
    <comment ref="AA50" authorId="0" shapeId="0">
      <text>
        <t>fires when: rank-elite  &amp;&amp; !ra2_soviets_doctrine_nuclearmunitions &amp;&amp; !ra2_soviets_doctrine_firemunitions &amp;&amp; !ra2_soviets_doctrine_teslamunitions</t>
      </text>
    </comment>
    <comment ref="K51" authorId="0" shapeId="0">
      <text>
        <t>raw warhead damages: 2000, 1000, 1, 2000, 1000, 1, 2000, 1000, 1, 2000, 1, 2000, 1000, 1, 2000, 1
import scales all proportionally</t>
      </text>
    </comment>
    <comment ref="AA51" authorId="0" shapeId="0">
      <text>
        <t>fires when: rank-elite &amp;&amp; ra2_soviets_doctrine_nuclearmunitions</t>
      </text>
    </comment>
    <comment ref="K52" authorId="0" shapeId="0">
      <text>
        <t>raw warhead damages: 4000, 2, 4000, 2000, 2, 4000, 2
import scales all proportionally</t>
      </text>
    </comment>
    <comment ref="AA52" authorId="0" shapeId="0">
      <text>
        <t>fires when: rank-elite &amp;&amp; ra2_soviets_doctrine_firemunitions</t>
      </text>
    </comment>
    <comment ref="K53" authorId="0" shapeId="0">
      <text>
        <t>raw warhead damages: 4000, 2, 4000, 2000, 2, 4000, 2
import scales all proportionally</t>
      </text>
    </comment>
    <comment ref="AA53" authorId="0" shapeId="0">
      <text>
        <t>fires when: rank-elite &amp;&amp; ra2_soviets_doctrine_teslamunitions</t>
      </text>
    </comment>
    <comment ref="K54" authorId="0" shapeId="0">
      <text>
        <t>raw warhead damages: 16000, 8
import scales all proportionally</t>
      </text>
    </comment>
    <comment ref="AA54" authorId="0" shapeId="0">
      <text>
        <t>fires when: rank-elite</t>
      </text>
    </comment>
    <comment ref="K56" authorId="0" shapeId="0">
      <text>
        <t>raw warhead damages: 2000, 1, 2000, 1000, 1, 2000, 1, 1000, 1
import scales all proportionally</t>
      </text>
    </comment>
    <comment ref="AA56" authorId="0" shapeId="0">
      <text>
        <t>fires when: !rank-elite</t>
      </text>
    </comment>
    <comment ref="K57" authorId="0" shapeId="0">
      <text>
        <t>raw warhead damages: 2000, 1, 2000, 1000, 1, 2000, 1, 2000, 1
import scales all proportionally</t>
      </text>
    </comment>
    <comment ref="AA57" authorId="0" shapeId="0">
      <text>
        <t>fires when: !rank-elite</t>
      </text>
    </comment>
    <comment ref="K58" authorId="0" shapeId="0">
      <text>
        <t>raw warhead damages: 2000, 1, 2000, 1000, 1, 2000, 1, 1000, 1
import scales all proportionally</t>
      </text>
    </comment>
    <comment ref="AA58" authorId="0" shapeId="0">
      <text>
        <t>fires when: rank-elite</t>
      </text>
    </comment>
    <comment ref="K59" authorId="0" shapeId="0">
      <text>
        <t>raw warhead damages: 2000, 1, 2000, 1000, 1, 2000, 1, 2000, 1
import scales all proportionally</t>
      </text>
    </comment>
    <comment ref="AA59" authorId="0" shapeId="0">
      <text>
        <t>fires when: rank-elite</t>
      </text>
    </comment>
    <comment ref="K62" authorId="0" shapeId="0">
      <text>
        <t>raw warhead damages: 10000, 5
import scales all proportionally</t>
      </text>
    </comment>
    <comment ref="AA62" authorId="0" shapeId="0">
      <text>
        <t>fires when: !rank-elite &amp;&amp; !ra2_soviets_doctrine_nuclearmunitions &amp;&amp; !ra2_soviets_doctrine_firemunitions &amp;&amp; !ra2_soviets_doctrine_teslamunitions</t>
      </text>
    </comment>
    <comment ref="K63" authorId="0" shapeId="0">
      <text>
        <t>raw warhead damages: 6000, 3000, 3, 6000, 3
import scales all proportionally</t>
      </text>
    </comment>
    <comment ref="AA63" authorId="0" shapeId="0">
      <text>
        <t>fires when: !rank-elite &amp;&amp; ra2_soviets_doctrine_nuclearmunitions</t>
      </text>
    </comment>
    <comment ref="K64" authorId="0" shapeId="0">
      <text>
        <t>raw warhead damages: 10000, 5
import scales all proportionally</t>
      </text>
    </comment>
    <comment ref="AA64" authorId="0" shapeId="0">
      <text>
        <t>fires when: !rank-elite &amp;&amp; ra2_soviets_doctrine_firemunitions</t>
      </text>
    </comment>
    <comment ref="K65" authorId="0" shapeId="0">
      <text>
        <t>raw warhead damages: 10000, 5
import scales all proportionally</t>
      </text>
    </comment>
    <comment ref="AA65" authorId="0" shapeId="0">
      <text>
        <t>fires when: !rank-elite &amp;&amp; ra2_soviets_doctrine_teslamunitions</t>
      </text>
    </comment>
    <comment ref="K66" authorId="0" shapeId="0">
      <text>
        <t>raw warhead damages: 10000, 5
import scales all proportionally</t>
      </text>
    </comment>
    <comment ref="AA66" authorId="0" shapeId="0">
      <text>
        <t>fires when: rank-elite  &amp;&amp; !ra2_soviets_doctrine_nuclearmunitions &amp;&amp; !ra2_soviets_doctrine_firemunitions &amp;&amp; !ra2_soviets_doctrine_teslamunitions</t>
      </text>
    </comment>
    <comment ref="K67" authorId="0" shapeId="0">
      <text>
        <t>raw warhead damages: 6000, 3000, 3, 6000, 3
import scales all proportionally</t>
      </text>
    </comment>
    <comment ref="AA67" authorId="0" shapeId="0">
      <text>
        <t>fires when: rank-elite &amp;&amp; ra2_soviets_doctrine_nuclearmunitions</t>
      </text>
    </comment>
    <comment ref="K68" authorId="0" shapeId="0">
      <text>
        <t>raw warhead damages: 10000, 5
import scales all proportionally</t>
      </text>
    </comment>
    <comment ref="AA68" authorId="0" shapeId="0">
      <text>
        <t>fires when: rank-elite &amp;&amp; ra2_soviets_doctrine_firemunitions</t>
      </text>
    </comment>
    <comment ref="K69" authorId="0" shapeId="0">
      <text>
        <t>raw warhead damages: 10000, 5
import scales all proportionally</t>
      </text>
    </comment>
    <comment ref="AA69" authorId="0" shapeId="0">
      <text>
        <t>fires when: rank-elite &amp;&amp; ra2_soviets_doctrine_teslamunitions</t>
      </text>
    </comment>
    <comment ref="AA71" authorId="0" shapeId="0">
      <text>
        <t>fires when: !rank-elite</t>
      </text>
    </comment>
    <comment ref="AA72" authorId="0" shapeId="0">
      <text>
        <t>fires when: rank-elite</t>
      </text>
    </comment>
    <comment ref="K74" authorId="0" shapeId="0">
      <text>
        <t>raw warhead damages: 12000, 6000, 6
import scales all proportionally</t>
      </text>
    </comment>
    <comment ref="AA74" authorId="0" shapeId="0">
      <text>
        <t>fires when: (!ra2_soviets_upgrade_teslaoverload &amp;&amp; !rank-elite)</t>
      </text>
    </comment>
    <comment ref="K75" authorId="0" shapeId="0">
      <text>
        <t>raw warhead damages: 12000, 6000, 6
import scales all proportionally</t>
      </text>
    </comment>
    <comment ref="AA75" authorId="0" shapeId="0">
      <text>
        <t>fires when: (ra2_soviets_upgrade_teslaoverload &amp;&amp; !rank-elite) || (!ra2_soviets_upgrade_teslaoverload &amp;&amp; rank-elite)</t>
      </text>
    </comment>
    <comment ref="K76" authorId="0" shapeId="0">
      <text>
        <t>raw warhead damages: 12000, 6000, 6
import scales all proportionally</t>
      </text>
    </comment>
    <comment ref="AA76" authorId="0" shapeId="0">
      <text>
        <t>fires when: (ra2_soviets_upgrade_teslaoverload &amp;&amp; rank-elite)</t>
      </text>
    </comment>
    <comment ref="AA78" authorId="0" shapeId="0">
      <text>
        <t>fires when: !rank-elite</t>
      </text>
    </comment>
    <comment ref="AA79" authorId="0" shapeId="0">
      <text>
        <t>fires when: rank-elite</t>
      </text>
    </comment>
    <comment ref="K81" authorId="0" shapeId="0">
      <text>
        <t>raw warhead damages: 4000, 2, 4000, 2
import scales all proportionally</t>
      </text>
    </comment>
    <comment ref="K84" authorId="0" shapeId="0">
      <text>
        <t>raw warhead damages: 80000, 40, 40000
import scales all proportionally</t>
      </text>
    </comment>
    <comment ref="AA84" authorId="0" shapeId="0">
      <text>
        <t>fires when: !rank-elite &amp;&amp; !ra2_soviets_doctrine_nuclearmunitions &amp;&amp; !ra2_soviets_doctrine_firemunitions &amp;&amp; !ra2_soviets_doctrine_teslamunitions &amp;&amp; !ra2_soviets_upgrade_kirovatomicbombs</t>
      </text>
    </comment>
    <comment ref="K85" authorId="0" shapeId="0">
      <text>
        <t>raw warhead damages: 48000, 24000, 24, 48000, 24, 24000
import scales all proportionally</t>
      </text>
    </comment>
    <comment ref="AA85" authorId="0" shapeId="0">
      <text>
        <t>fires when: !rank-elite &amp;&amp; ra2_soviets_doctrine_nuclearmunitions &amp;&amp; !ra2_soviets_upgrade_kirovatomicbombs</t>
      </text>
    </comment>
    <comment ref="K86" authorId="0" shapeId="0">
      <text>
        <t>raw warhead damages: 80000, 40, 40000
import scales all proportionally</t>
      </text>
    </comment>
    <comment ref="AA86" authorId="0" shapeId="0">
      <text>
        <t>fires when: !rank-elite &amp;&amp; ra2_soviets_doctrine_firemunitions &amp;&amp; !ra2_soviets_upgrade_kirovatomicbombs</t>
      </text>
    </comment>
    <comment ref="K87" authorId="0" shapeId="0">
      <text>
        <t>raw warhead damages: 80000, 40000, 40, 80000, 40, 40000
import scales all proportionally</t>
      </text>
    </comment>
    <comment ref="AA87" authorId="0" shapeId="0">
      <text>
        <t>fires when: !rank-elite &amp;&amp; ra2_soviets_doctrine_teslamunitions &amp;&amp; !ra2_soviets_upgrade_kirovatomicbombs</t>
      </text>
    </comment>
    <comment ref="K88" authorId="0" shapeId="0">
      <text>
        <t>raw warhead damages: 80000, 40, 80000, 40, 40000
import scales all proportionally</t>
      </text>
    </comment>
    <comment ref="AA88" authorId="0" shapeId="0">
      <text>
        <t>fires when: (rank-elite &amp;&amp; !ra2_soviets_upgrade_kirovatomicbombs) || (!rank-elite &amp;&amp; ra2_soviets_upgrade_kirovatomicbombs)</t>
      </text>
    </comment>
    <comment ref="K89" authorId="0" shapeId="0">
      <text>
        <t>raw warhead damages: 100000, 50, 100000, 50, 50000
import scales all proportionally</t>
      </text>
    </comment>
    <comment ref="AA89" authorId="0" shapeId="0">
      <text>
        <t>fires when: rank-elite &amp;&amp; ra2_soviets_upgrade_kirovatomicbombs</t>
      </text>
    </comment>
    <comment ref="K91" authorId="0" shapeId="0">
      <text>
        <t>raw warhead damages: 8000, 4, 8000, 4, 8000, 4, 8000, 4
import scales all proportionally</t>
      </text>
    </comment>
    <comment ref="AA91" authorId="0" shapeId="0">
      <text>
        <t>fires when: !rank-elite &amp;&amp; !ra2_soviets_doctrine_nuclearmunitions &amp;&amp; !ra2_soviets_doctrine_firemunitions &amp;&amp; !ra2_soviets_doctrine_teslamunitions</t>
      </text>
    </comment>
    <comment ref="K92" authorId="0" shapeId="0">
      <text>
        <t>raw warhead damages: 4000, 2000, 2, 4000, 2000, 2, 8000, 4, 8000, 4, 8000, 4, 8000, 4
import scales all proportionally</t>
      </text>
    </comment>
    <comment ref="AA92" authorId="0" shapeId="0">
      <text>
        <t>fires when: !rank-elite &amp;&amp; ra2_soviets_doctrine_nuclearmunitions</t>
      </text>
    </comment>
    <comment ref="K93" authorId="0" shapeId="0">
      <text>
        <t>raw warhead damages: 8000, 4, 8000, 4, 8000, 4, 8000, 4
import scales all proportionally</t>
      </text>
    </comment>
    <comment ref="AA93" authorId="0" shapeId="0">
      <text>
        <t>fires when: !rank-elite &amp;&amp; ra2_soviets_doctrine_firemunitions</t>
      </text>
    </comment>
    <comment ref="K94" authorId="0" shapeId="0">
      <text>
        <t>raw warhead damages: 8000, 4, 8000, 4, 8000, 4, 8000, 4
import scales all proportionally</t>
      </text>
    </comment>
    <comment ref="AA94" authorId="0" shapeId="0">
      <text>
        <t>fires when: !rank-elite &amp;&amp; ra2_soviets_doctrine_teslamunitions</t>
      </text>
    </comment>
    <comment ref="K95" authorId="0" shapeId="0">
      <text>
        <t>raw warhead damages: 8000, 4, 8000, 4, 8000, 4, 8000, 4
import scales all proportionally</t>
      </text>
    </comment>
    <comment ref="AA95" authorId="0" shapeId="0">
      <text>
        <t>fires when: rank-elite  &amp;&amp; !ra2_soviets_doctrine_nuclearmunitions &amp;&amp; !ra2_soviets_doctrine_firemunitions &amp;&amp; !ra2_soviets_doctrine_teslamunitions</t>
      </text>
    </comment>
    <comment ref="K96" authorId="0" shapeId="0">
      <text>
        <t>raw warhead damages: 8000, 4, 8000, 4, 8000, 4, 8000, 4
import scales all proportionally</t>
      </text>
    </comment>
    <comment ref="AA96" authorId="0" shapeId="0">
      <text>
        <t>fires when: rank-elite &amp;&amp; ra2_soviets_doctrine_teslamunitions</t>
      </text>
    </comment>
    <comment ref="K97" authorId="0" shapeId="0">
      <text>
        <t>raw warhead damages: 8000, 4, 8000, 4, 8000, 4, 8000, 4
import scales all proportionally</t>
      </text>
    </comment>
    <comment ref="AA97" authorId="0" shapeId="0">
      <text>
        <t>fires when: !rank-elite</t>
      </text>
    </comment>
    <comment ref="K98" authorId="0" shapeId="0">
      <text>
        <t>raw warhead damages: 8000, 4, 8000, 4, 8000, 4, 8000, 4
import scales all proportionally</t>
      </text>
    </comment>
    <comment ref="AA98" authorId="0" shapeId="0">
      <text>
        <t>fires when: rank-elite</t>
      </text>
    </comment>
    <comment ref="K100" authorId="0" shapeId="0">
      <text>
        <t>raw warhead damages: 2000, 1, 2000, 1
import scales all proportionally</t>
      </text>
    </comment>
    <comment ref="AA100" authorId="0" shapeId="0">
      <text>
        <t>fires when: undeployed</t>
      </text>
    </comment>
    <comment ref="AA101" authorId="0" shapeId="0">
      <text>
        <t>fires when: botmicro</t>
      </text>
    </comment>
    <comment ref="K102" authorId="0" shapeId="0">
      <text>
        <t>raw warhead damages: 60000, 30000, 30, 60000, 30000, 30
import scales all proportionally</t>
      </text>
    </comment>
    <comment ref="AA102" authorId="0" shapeId="0">
      <text>
        <t>fires when: !rank-elite &amp;&amp; !ra2_soviets_doctrine_nuclearmunitions &amp;&amp; !ra2_soviets_doctrine_firemunitions &amp;&amp; !ra2_soviets_doctrine_teslamunitions &amp;&amp; deployed</t>
      </text>
    </comment>
    <comment ref="K103" authorId="0" shapeId="0">
      <text>
        <t>raw warhead damages: 36000, 18000, 18, 36000, 18000, 18, 36000, 18000, 18, 36000, 18000, 18
import scales all proportionally</t>
      </text>
    </comment>
    <comment ref="AA103" authorId="0" shapeId="0">
      <text>
        <t>fires when: !rank-elite &amp;&amp; ra2_soviets_doctrine_nuclearmunitions &amp;&amp; deployed</t>
      </text>
    </comment>
    <comment ref="K104" authorId="0" shapeId="0">
      <text>
        <t>raw warhead damages: 60000, 30000, 30, 60000, 30000, 30
import scales all proportionally</t>
      </text>
    </comment>
    <comment ref="AA104" authorId="0" shapeId="0">
      <text>
        <t>fires when: !rank-elite &amp;&amp; ra2_soviets_doctrine_firemunitions &amp;&amp; deployed</t>
      </text>
    </comment>
    <comment ref="K105" authorId="0" shapeId="0">
      <text>
        <t>raw warhead damages: 60000, 30000, 30, 60000, 30000, 30
import scales all proportionally</t>
      </text>
    </comment>
    <comment ref="AA105" authorId="0" shapeId="0">
      <text>
        <t>fires when: !rank-elite &amp;&amp; ra2_soviets_doctrine_teslamunitions &amp;&amp; deployed</t>
      </text>
    </comment>
    <comment ref="K106" authorId="0" shapeId="0">
      <text>
        <t>raw warhead damages: 60000, 30000, 30, 60000, 30000, 30
import scales all proportionally</t>
      </text>
    </comment>
    <comment ref="AA106" authorId="0" shapeId="0">
      <text>
        <t>fires when: rank-elite &amp;&amp; !ra2_soviets_doctrine_nuclearmunitions &amp;&amp; !ra2_soviets_doctrine_firemunitions &amp;&amp; !ra2_soviets_doctrine_teslamunitions &amp;&amp; deployed</t>
      </text>
    </comment>
    <comment ref="K107" authorId="0" shapeId="0">
      <text>
        <t>raw warhead damages: 36000, 18, 36000, 18000, 18, 36000, 18000, 18, 36000, 18000, 18, 36000, 18000, 18
import scales all proportionally</t>
      </text>
    </comment>
    <comment ref="AA107" authorId="0" shapeId="0">
      <text>
        <t>fires when: rank-elite &amp;&amp; ra2_soviets_doctrine_nuclearmunitions &amp;&amp; deployed</t>
      </text>
    </comment>
    <comment ref="K108" authorId="0" shapeId="0">
      <text>
        <t>raw warhead damages: 60000, 30000, 30, 60000, 30000, 30
import scales all proportionally</t>
      </text>
    </comment>
    <comment ref="AA108" authorId="0" shapeId="0">
      <text>
        <t>fires when: rank-elite &amp;&amp; ra2_soviets_doctrine_firemunitions &amp;&amp; deployed</t>
      </text>
    </comment>
    <comment ref="K109" authorId="0" shapeId="0">
      <text>
        <t>raw warhead damages: 60000, 30000, 30, 60000, 30000, 30
import scales all proportionally</t>
      </text>
    </comment>
    <comment ref="AA109" authorId="0" shapeId="0">
      <text>
        <t>fires when: rank-elite &amp;&amp; ra2_soviets_doctrine_teslamunitions &amp;&amp; deployed</t>
      </text>
    </comment>
    <comment ref="K111" authorId="0" shapeId="0">
      <text>
        <t>raw warhead damages: 2000, 1, 2000, 1
import scales all proportionally</t>
      </text>
    </comment>
    <comment ref="K114" authorId="0" shapeId="0">
      <text>
        <t>raw warhead damages: 8000, 4
import scales all proportionally</t>
      </text>
    </comment>
    <comment ref="K115" authorId="0" shapeId="0">
      <text>
        <t>raw warhead damages: 2000, 1, 2000, 1000, 1, 2000, 1, 2000, 1
import scales all proportionally</t>
      </text>
    </comment>
    <comment ref="K120" authorId="0" shapeId="0">
      <text>
        <t>raw warhead damages: 10000, 5
import scales all proportionally</t>
      </text>
    </comment>
    <comment ref="K124" authorId="0" shapeId="0">
      <text>
        <t>raw warhead damages: 2000, 1, 2000, 1
import scales all proportionally</t>
      </text>
    </comment>
    <comment ref="K126" authorId="0" shapeId="0">
      <text>
        <t>raw warhead damages: 64000, 32000, 32
import scales all proportionally</t>
      </text>
    </comment>
    <comment ref="AA126" authorId="0" shapeId="0">
      <text>
        <t>fires when: ((!TeslaCoilCharge &amp;&amp; !unpowered) || (TeslaCoilCharge == 1 &amp;&amp; unpowered)) &amp;&amp; (!ra2_soviets_upgrade_teslaoverload &amp;&amp; !rank-elite)</t>
      </text>
    </comment>
    <comment ref="K127" authorId="0" shapeId="0">
      <text>
        <t>raw warhead damages: 64000, 32000, 32
import scales all proportionally</t>
      </text>
    </comment>
    <comment ref="AA127" authorId="0" shapeId="0">
      <text>
        <t>fires when: ((!TeslaCoilCharge &amp;&amp; !unpowered) || (TeslaCoilCharge == 1 &amp;&amp; unpowered)) &amp;&amp; (ra2_soviets_upgrade_teslaoverload &amp;&amp; !rank-elite) || (!ra2_soviets_upgrade_teslaoverload &amp;&amp; rank-elite)</t>
      </text>
    </comment>
    <comment ref="K128" authorId="0" shapeId="0">
      <text>
        <t>raw warhead damages: 64000, 32000, 32
import scales all proportionally</t>
      </text>
    </comment>
    <comment ref="AA128" authorId="0" shapeId="0">
      <text>
        <t>fires when: ((!TeslaCoilCharge &amp;&amp; !unpowered) || (TeslaCoilCharge == 1 &amp;&amp; unpowered)) &amp;&amp; (ra2_soviets_upgrade_teslaoverload &amp;&amp; rank-elite)</t>
      </text>
    </comment>
    <comment ref="K129" authorId="0" shapeId="0">
      <text>
        <t>raw warhead damages: 64000, 32000, 32
import scales all proportionally</t>
      </text>
    </comment>
    <comment ref="AA129" authorId="0" shapeId="0">
      <text>
        <t>fires when: ((TeslaCoilCharge &amp;&amp; !unpowered) || (TeslaCoilCharge &gt; 1 &amp;&amp; unpowered)) &amp;&amp; (!ra2_soviets_upgrade_teslaoverload &amp;&amp; !rank-elite)</t>
      </text>
    </comment>
    <comment ref="K130" authorId="0" shapeId="0">
      <text>
        <t>raw warhead damages: 64000, 32000, 32
import scales all proportionally</t>
      </text>
    </comment>
    <comment ref="AA130" authorId="0" shapeId="0">
      <text>
        <t>fires when: ((TeslaCoilCharge &amp;&amp; !unpowered) || (TeslaCoilCharge &gt; 1 &amp;&amp; unpowered)) &amp;&amp; (ra2_soviets_upgrade_teslaoverload &amp;&amp; !rank-elite) || (!ra2_soviets_upgrade_teslaoverload &amp;&amp; rank-elite)</t>
      </text>
    </comment>
    <comment ref="K131" authorId="0" shapeId="0">
      <text>
        <t>raw warhead damages: 64000, 32000, 32
import scales all proportionally</t>
      </text>
    </comment>
    <comment ref="AA131" authorId="0" shapeId="0">
      <text>
        <t>fires when: ((TeslaCoilCharge &amp;&amp; !unpowered) || (TeslaCoilCharge &gt; 1 &amp;&amp; unpowered)) &amp;&amp; (ra2_soviets_upgrade_teslaoverload &amp;&amp; rank-elite)</t>
      </text>
    </comment>
  </commentList>
</comments>
</file>

<file path=xl/comments/comment7.xml><?xml version="1.0" encoding="utf-8"?>
<comments xmlns="http://schemas.openxmlformats.org/spreadsheetml/2006/main">
  <authors>
    <author>balance-pipeline</author>
  </authors>
  <commentList>
    <comment ref="K4" authorId="0" shapeId="0">
      <text>
        <t>raw warhead damages: 4000, 2
import scales all proportionally</t>
      </text>
    </comment>
    <comment ref="AA4" authorId="0" shapeId="0">
      <text>
        <t>fires when: !rank-elite &amp;&amp; !yuri_upgrade_corrosiveammo</t>
      </text>
    </comment>
    <comment ref="K5" authorId="0" shapeId="0">
      <text>
        <t>raw warhead damages: 4000, 2, 4000, 2
import scales all proportionally</t>
      </text>
    </comment>
    <comment ref="AA5" authorId="0" shapeId="0">
      <text>
        <t>fires when: !rank-elite &amp;&amp; yuri_upgrade_corrosiveammo</t>
      </text>
    </comment>
    <comment ref="K6" authorId="0" shapeId="0">
      <text>
        <t>raw warhead damages: 4000, 2, 4000, 2
import scales all proportionally</t>
      </text>
    </comment>
    <comment ref="AA6" authorId="0" shapeId="0">
      <text>
        <t>fires when: rank-elite</t>
      </text>
    </comment>
    <comment ref="K7" authorId="0" shapeId="0">
      <text>
        <t>raw warhead damages: 4000, 2
import scales all proportionally</t>
      </text>
    </comment>
    <comment ref="AA7" authorId="0" shapeId="0">
      <text>
        <t>fires when: !rank-elite &amp;&amp; !yuri_upgrade_corrosiveammo</t>
      </text>
    </comment>
    <comment ref="K8" authorId="0" shapeId="0">
      <text>
        <t>raw warhead damages: 4000, 2, 4000, 2
import scales all proportionally</t>
      </text>
    </comment>
    <comment ref="AA8" authorId="0" shapeId="0">
      <text>
        <t>fires when: !rank-elite &amp;&amp; yuri_upgrade_corrosiveammo</t>
      </text>
    </comment>
    <comment ref="K9" authorId="0" shapeId="0">
      <text>
        <t>raw warhead damages: 4000, 2, 4000, 2
import scales all proportionally</t>
      </text>
    </comment>
    <comment ref="AA9" authorId="0" shapeId="0">
      <text>
        <t>fires when: rank-elite</t>
      </text>
    </comment>
    <comment ref="K11" authorId="0" shapeId="0">
      <text>
        <t>raw warhead damages: 20000, 10000, 10
import scales all proportionally</t>
      </text>
    </comment>
    <comment ref="AA11" authorId="0" shapeId="0">
      <text>
        <t>fires when: !rank-elite</t>
      </text>
    </comment>
    <comment ref="K12" authorId="0" shapeId="0">
      <text>
        <t>raw warhead damages: 20000, 10000, 10
import scales all proportionally</t>
      </text>
    </comment>
    <comment ref="AA12" authorId="0" shapeId="0">
      <text>
        <t>fires when: rank-elite</t>
      </text>
    </comment>
    <comment ref="K16" authorId="0" shapeId="0">
      <text>
        <t>raw warhead damages: 2000, 1, 1000, 2000, 1, 600, 2000, 1, 2000, 1, 2000, 1, 2000, 1
import scales all proportionally</t>
      </text>
    </comment>
    <comment ref="K21" authorId="0" shapeId="0">
      <text>
        <t>raw warhead damages: 2000, 1, 2000, 1
import scales all proportionally</t>
      </text>
    </comment>
    <comment ref="K22" authorId="0" shapeId="0">
      <text>
        <t>raw warhead damages: 2000, 1, 2000, 1
import scales all proportionally</t>
      </text>
    </comment>
    <comment ref="K24" authorId="0" shapeId="0">
      <text>
        <t>raw warhead damages: 2000, 1, 2000, 1, 2000, 1000, 1, 2000, 1
import scales all proportionally</t>
      </text>
    </comment>
    <comment ref="AA24" authorId="0" shapeId="0">
      <text>
        <t>fires when: !rank-elite</t>
      </text>
    </comment>
    <comment ref="K25" authorId="0" shapeId="0">
      <text>
        <t>raw warhead damages: 2000, 1, 2000, 1, 2000, 1000, 1, 2000, 1
import scales all proportionally</t>
      </text>
    </comment>
    <comment ref="AA25" authorId="0" shapeId="0">
      <text>
        <t>fires when: !rank-elite</t>
      </text>
    </comment>
    <comment ref="K26" authorId="0" shapeId="0">
      <text>
        <t>raw warhead damages: 2000, 1, 2000, 1, 2000, 1000, 1, 2000, 1
import scales all proportionally</t>
      </text>
    </comment>
    <comment ref="AA26" authorId="0" shapeId="0">
      <text>
        <t>fires when: rank-elite</t>
      </text>
    </comment>
    <comment ref="K27" authorId="0" shapeId="0">
      <text>
        <t>raw warhead damages: 2000, 1, 2000, 1, 2000, 1000, 1, 2000, 1
import scales all proportionally</t>
      </text>
    </comment>
    <comment ref="AA27" authorId="0" shapeId="0">
      <text>
        <t>fires when: rank-elite</t>
      </text>
    </comment>
    <comment ref="K29" authorId="0" shapeId="0">
      <text>
        <t>raw warhead damages: 12000, 6000, 6, 12000, 6
import scales all proportionally</t>
      </text>
    </comment>
    <comment ref="AA29" authorId="0" shapeId="0">
      <text>
        <t>fires when: !rank-elite &amp;&amp; !yuri_upgrade_meltingvirus</t>
      </text>
    </comment>
    <comment ref="K30" authorId="0" shapeId="0">
      <text>
        <t>raw warhead damages: 12000, 6, 12000, 6000, 6, 12000, 6
import scales all proportionally</t>
      </text>
    </comment>
    <comment ref="AA30" authorId="0" shapeId="0">
      <text>
        <t>fires when: !rank-elite &amp;&amp; yuri_upgrade_meltingvirus &amp;&amp; !yuri_upgrade_corrosiveammo</t>
      </text>
    </comment>
    <comment ref="K31" authorId="0" shapeId="0">
      <text>
        <t>raw warhead damages: 12000, 6, 12000, 6, 12000, 6000, 6, 12000, 6
import scales all proportionally</t>
      </text>
    </comment>
    <comment ref="AA31" authorId="0" shapeId="0">
      <text>
        <t>fires when: !rank-elite &amp;&amp; yuri_upgrade_corrosiveammo</t>
      </text>
    </comment>
    <comment ref="K32" authorId="0" shapeId="0">
      <text>
        <t>raw warhead damages: 12000, 6, 12000, 6, 12000, 6000, 6, 12000, 6
import scales all proportionally</t>
      </text>
    </comment>
    <comment ref="AA32" authorId="0" shapeId="0">
      <text>
        <t>fires when: rank-elite</t>
      </text>
    </comment>
    <comment ref="K33" authorId="0" shapeId="0">
      <text>
        <t>raw warhead damages: 12000, 6000, 6, 12000, 6
import scales all proportionally</t>
      </text>
    </comment>
    <comment ref="AA33" authorId="0" shapeId="0">
      <text>
        <t>fires when: !rank-elite &amp;&amp; !yuri_upgrade_meltingvirus</t>
      </text>
    </comment>
    <comment ref="K34" authorId="0" shapeId="0">
      <text>
        <t>raw warhead damages: 12000, 6, 12000, 6000, 6, 12000, 6
import scales all proportionally</t>
      </text>
    </comment>
    <comment ref="AA34" authorId="0" shapeId="0">
      <text>
        <t>fires when: !rank-elite &amp;&amp; yuri_upgrade_meltingvirus &amp;&amp; !yuri_upgrade_corrosiveammo</t>
      </text>
    </comment>
    <comment ref="K35" authorId="0" shapeId="0">
      <text>
        <t>raw warhead damages: 12000, 6, 12000, 6, 12000, 6000, 6, 12000, 6
import scales all proportionally</t>
      </text>
    </comment>
    <comment ref="AA35" authorId="0" shapeId="0">
      <text>
        <t>fires when: !rank-elite &amp;&amp; yuri_upgrade_corrosiveammo</t>
      </text>
    </comment>
    <comment ref="K36" authorId="0" shapeId="0">
      <text>
        <t>raw warhead damages: 12000, 6, 12000, 6, 12000, 6000, 6, 12000, 6
import scales all proportionally</t>
      </text>
    </comment>
    <comment ref="AA36" authorId="0" shapeId="0">
      <text>
        <t>fires when: rank-elite</t>
      </text>
    </comment>
    <comment ref="AA39" authorId="0" shapeId="0">
      <text>
        <t>fires when: !yuri_upgrade_domination</t>
      </text>
    </comment>
    <comment ref="AA40" authorId="0" shapeId="0">
      <text>
        <t>fires when: yuri_upgrade_domination</t>
      </text>
    </comment>
    <comment ref="K46" authorId="0" shapeId="0">
      <text>
        <t>raw warhead damages: 2000, 1, 2000, 1
import scales all proportionally</t>
      </text>
    </comment>
    <comment ref="AA46" authorId="0" shapeId="0">
      <text>
        <t>fires when: !gatling</t>
      </text>
    </comment>
    <comment ref="K47" authorId="0" shapeId="0">
      <text>
        <t>raw warhead damages: 2000, 1, 2000, 1
import scales all proportionally</t>
      </text>
    </comment>
    <comment ref="AA47" authorId="0" shapeId="0">
      <text>
        <t>fires when: gatling == 1</t>
      </text>
    </comment>
    <comment ref="K48" authorId="0" shapeId="0">
      <text>
        <t>raw warhead damages: 2000, 1, 2000, 1
import scales all proportionally</t>
      </text>
    </comment>
    <comment ref="AA48" authorId="0" shapeId="0">
      <text>
        <t>fires when: gatling &gt; 1</t>
      </text>
    </comment>
    <comment ref="K49" authorId="0" shapeId="0">
      <text>
        <t>raw warhead damages: 4000, 2, 4000, 2
import scales all proportionally</t>
      </text>
    </comment>
    <comment ref="AA49" authorId="0" shapeId="0">
      <text>
        <t>fires when: !gatling</t>
      </text>
    </comment>
    <comment ref="K50" authorId="0" shapeId="0">
      <text>
        <t>raw warhead damages: 4000, 2, 4000, 2
import scales all proportionally</t>
      </text>
    </comment>
    <comment ref="AA50" authorId="0" shapeId="0">
      <text>
        <t>fires when: gatling == 1</t>
      </text>
    </comment>
    <comment ref="K51" authorId="0" shapeId="0">
      <text>
        <t>raw warhead damages: 4000, 2, 4000, 2
import scales all proportionally</t>
      </text>
    </comment>
    <comment ref="AA51" authorId="0" shapeId="0">
      <text>
        <t>fires when: gatling &gt; 1</t>
      </text>
    </comment>
    <comment ref="K53" authorId="0" shapeId="0">
      <text>
        <t>raw warhead damages: 2000, 1000, 1, 2000, 1000, 1, 2000, 1000, 1, 2000, 1000, 1, 2000, 1, 2000, 1
import scales all proportionally</t>
      </text>
    </comment>
    <comment ref="AA53" authorId="0" shapeId="0">
      <text>
        <t>fires when: !yuri_doctrine_lashertoxicgasshells &amp;&amp; !yuri_doctrine_lasherlasercannon &amp;&amp; !rank-elite</t>
      </text>
    </comment>
    <comment ref="K54" authorId="0" shapeId="0">
      <text>
        <t>raw warhead damages: 2000, 1000, 1, 2000, 1000, 1, 2000, 1000, 1, 2000, 1000, 1, 2000, 1, 2000, 1
import scales all proportionally</t>
      </text>
    </comment>
    <comment ref="AA54" authorId="0" shapeId="0">
      <text>
        <t>fires when: !yuri_doctrine_lashertoxicgasshells &amp;&amp; !yuri_doctrine_lasherlasercannon &amp;&amp; rank-elite</t>
      </text>
    </comment>
    <comment ref="K55" authorId="0" shapeId="0">
      <text>
        <t>raw warhead damages: 2000, 1000, 1, 2000, 1000, 1, 2000, 1, 2000, 1000, 1, 2000, 1000, 1, 2000, 1000, 1, 2000, 1, 2000, 1, 2000, 1
import scales all proportionally</t>
      </text>
    </comment>
    <comment ref="AA55" authorId="0" shapeId="0">
      <text>
        <t>fires when: yuri_doctrine_lashertoxicgasshells &amp;&amp; !rank-elite</t>
      </text>
    </comment>
    <comment ref="K56" authorId="0" shapeId="0">
      <text>
        <t>raw warhead damages: 4000, 2000, 2, 4000, 2000, 2, 4000, 2, 4000, 2000, 2, 4000, 2000, 2, 4000, 2000, 2, 4000, 2, 4000, 2, 4000, 2
import scales all proportionally</t>
      </text>
    </comment>
    <comment ref="AA56" authorId="0" shapeId="0">
      <text>
        <t>fires when: yuri_doctrine_lashertoxicgasshells &amp;&amp; rank-elite</t>
      </text>
    </comment>
    <comment ref="K57" authorId="0" shapeId="0">
      <text>
        <t>raw warhead damages: 8000, 4, 8000, 4, 600
import scales all proportionally</t>
      </text>
    </comment>
    <comment ref="AA57" authorId="0" shapeId="0">
      <text>
        <t>fires when: yuri_doctrine_lasherlasercannon &amp;&amp; !rank-elite</t>
      </text>
    </comment>
    <comment ref="K58" authorId="0" shapeId="0">
      <text>
        <t>raw warhead damages: 16000, 8, 16000, 8, 600
import scales all proportionally</t>
      </text>
    </comment>
    <comment ref="AA58" authorId="0" shapeId="0">
      <text>
        <t>fires when: yuri_doctrine_lasherlasercannon &amp;&amp; rank-elite</t>
      </text>
    </comment>
    <comment ref="K60" authorId="0" shapeId="0">
      <text>
        <t>raw warhead damages: 2000, 1, 600
import scales all proportionally</t>
      </text>
    </comment>
    <comment ref="AA60" authorId="0" shapeId="0">
      <text>
        <t>fires when: !rank-elite &amp;&amp; !yuri_upgrade_supermagnets</t>
      </text>
    </comment>
    <comment ref="K61" authorId="0" shapeId="0">
      <text>
        <t>raw warhead damages: 2000, 1, 600
import scales all proportionally</t>
      </text>
    </comment>
    <comment ref="AA61" authorId="0" shapeId="0">
      <text>
        <t>fires when: !rank-elite &amp;&amp; yuri_upgrade_supermagnets</t>
      </text>
    </comment>
    <comment ref="K62" authorId="0" shapeId="0">
      <text>
        <t>raw warhead damages: 2000, 1, 600
import scales all proportionally</t>
      </text>
    </comment>
    <comment ref="AA62" authorId="0" shapeId="0">
      <text>
        <t>fires when: rank-elite &amp;&amp; !yuri_upgrade_supermagnets</t>
      </text>
    </comment>
    <comment ref="K63" authorId="0" shapeId="0">
      <text>
        <t>raw warhead damages: 2000, 1, 600
import scales all proportionally</t>
      </text>
    </comment>
    <comment ref="AA63" authorId="0" shapeId="0">
      <text>
        <t>fires when: rank-elite &amp;&amp; yuri_upgrade_supermagnets</t>
      </text>
    </comment>
    <comment ref="K68" authorId="0" shapeId="0">
      <text>
        <t>raw warhead damages: 4000, 2, 4000, 2
import scales all proportionally</t>
      </text>
    </comment>
    <comment ref="K71" authorId="0" shapeId="0">
      <text>
        <t>raw warhead damages: 24000, 12, 600
import scales all proportionally</t>
      </text>
    </comment>
    <comment ref="AA71" authorId="0" shapeId="0">
      <text>
        <t>fires when: !rank-elite</t>
      </text>
    </comment>
    <comment ref="K72" authorId="0" shapeId="0">
      <text>
        <t>raw warhead damages: 48000, 24, 600
import scales all proportionally</t>
      </text>
    </comment>
    <comment ref="AA72" authorId="0" shapeId="0">
      <text>
        <t>fires when: rank-elite</t>
      </text>
    </comment>
    <comment ref="K73" authorId="0" shapeId="0">
      <text>
        <t>raw warhead damages: 2000, 1, 888, 2000, 1000, 1
import scales all proportionally</t>
      </text>
    </comment>
    <comment ref="AA73" authorId="0" shapeId="0">
      <text>
        <t>fires when: yuri_upgrade_disksiphonattack</t>
      </text>
    </comment>
    <comment ref="K79" authorId="0" shapeId="0">
      <text>
        <t>raw warhead damages: 20000, 10000, 10, 20000, 10
import scales all proportionally</t>
      </text>
    </comment>
    <comment ref="K84" authorId="0" shapeId="0">
      <text>
        <t>raw warhead damages: 2000, 1, 2000, 1
import scales all proportionally</t>
      </text>
    </comment>
    <comment ref="K85" authorId="0" shapeId="0">
      <text>
        <t>raw warhead damages: 2000, 1, 2000, 1
import scales all proportionally</t>
      </text>
    </comment>
    <comment ref="K86" authorId="0" shapeId="0">
      <text>
        <t>raw warhead damages: 2000, 1, 2000, 1
import scales all proportionally</t>
      </text>
    </comment>
    <comment ref="K87" authorId="0" shapeId="0">
      <text>
        <t>raw warhead damages: 4000, 2, 4000, 2
import scales all proportionally</t>
      </text>
    </comment>
    <comment ref="K88" authorId="0" shapeId="0">
      <text>
        <t>raw warhead damages: 4000, 2, 4000, 2
import scales all proportionally</t>
      </text>
    </comment>
    <comment ref="K89" authorId="0" shapeId="0">
      <text>
        <t>raw warhead damages: 4000, 2, 4000, 2
import scales all proportionally</t>
      </text>
    </comment>
    <comment ref="K95" authorId="0" shapeId="0">
      <text>
        <t>raw warhead damages: 4000, 2, 4000, 2
import scales all proportionally</t>
      </text>
    </comment>
  </commentList>
</comments>
</file>

<file path=xl/comments/comment8.xml><?xml version="1.0" encoding="utf-8"?>
<comments xmlns="http://schemas.openxmlformats.org/spreadsheetml/2006/main">
  <authors>
    <author>balance-pipeline</author>
  </authors>
  <commentList>
    <comment ref="K4" authorId="0" shapeId="0">
      <text>
        <t>raw warhead damages: 16000, 8000, 8
import scales all proportionally</t>
      </text>
    </comment>
    <comment ref="AA4" authorId="0" shapeId="0">
      <text>
        <t>fires when: !rank-elite</t>
      </text>
    </comment>
    <comment ref="K5" authorId="0" shapeId="0">
      <text>
        <t>raw warhead damages: 16000, 8000, 8
import scales all proportionally</t>
      </text>
    </comment>
    <comment ref="AA5" authorId="0" shapeId="0">
      <text>
        <t>fires when: rank-elite</t>
      </text>
    </comment>
    <comment ref="K7" authorId="0" shapeId="0">
      <text>
        <t>raw warhead damages: 2000, 1, 2000, 1
import scales all proportionally</t>
      </text>
    </comment>
    <comment ref="AA7" authorId="0" shapeId="0">
      <text>
        <t>fires when: !asianalliance_doctrine_modernizedinfantryequipment</t>
      </text>
    </comment>
    <comment ref="K8" authorId="0" shapeId="0">
      <text>
        <t>raw warhead damages: 2000, 1, 1000, 2000, 1, 2000, 1
import scales all proportionally</t>
      </text>
    </comment>
    <comment ref="AA8" authorId="0" shapeId="0">
      <text>
        <t>fires when: asianalliance_doctrine_modernizedinfantryequipment</t>
      </text>
    </comment>
    <comment ref="AA9" authorId="0" shapeId="0">
      <text>
        <t>fires when: canflare</t>
      </text>
    </comment>
    <comment ref="K10" authorId="0" shapeId="0">
      <text>
        <t>raw warhead damages: 2000, 1, 2000, 1
import scales all proportionally</t>
      </text>
    </comment>
    <comment ref="AA10" authorId="0" shapeId="0">
      <text>
        <t>fires when: !asianalliance_doctrine_modernizedinfantryequipment</t>
      </text>
    </comment>
    <comment ref="K11" authorId="0" shapeId="0">
      <text>
        <t>raw warhead damages: 2000, 1, 1000, 2000, 1, 2000, 1
import scales all proportionally</t>
      </text>
    </comment>
    <comment ref="AA11" authorId="0" shapeId="0">
      <text>
        <t>fires when: asianalliance_doctrine_modernizedinfantryequipment</t>
      </text>
    </comment>
    <comment ref="K13" authorId="0" shapeId="0">
      <text>
        <t>raw warhead damages: 32000, 16000, 16, 32000, 16, 32000, 16, 32000, 16, 32000, 16, 32000, 16
import scales all proportionally</t>
      </text>
    </comment>
    <comment ref="K14" authorId="0" shapeId="0">
      <text>
        <t>raw warhead damages: 6000, 3, 6000, 3, 6000, 3, 6000, 3, 6000, 3
import scales all proportionally</t>
      </text>
    </comment>
    <comment ref="AA14" authorId="0" shapeId="0">
      <text>
        <t>fires when: !asianalliance_doctrine_modernizedinfantryequipment</t>
      </text>
    </comment>
    <comment ref="K15" authorId="0" shapeId="0">
      <text>
        <t>raw warhead damages: 16000, 8, 16000, 8, 16000, 8, 16000, 8, 16000, 8
import scales all proportionally</t>
      </text>
    </comment>
    <comment ref="AA15" authorId="0" shapeId="0">
      <text>
        <t>fires when: asianalliance_doctrine_modernizedinfantryequipment</t>
      </text>
    </comment>
    <comment ref="K16" authorId="0" shapeId="0">
      <text>
        <t>raw warhead damages: 6000, 3, 6000, 3, 6000, 3, 6000, 3, 6000, 3
import scales all proportionally</t>
      </text>
    </comment>
    <comment ref="AA16" authorId="0" shapeId="0">
      <text>
        <t>fires when: !asianalliance_doctrine_modernizedinfantryequipment</t>
      </text>
    </comment>
    <comment ref="K17" authorId="0" shapeId="0">
      <text>
        <t>raw warhead damages: 16000, 8, 16000, 8, 16000, 8, 16000, 8, 16000, 8
import scales all proportionally</t>
      </text>
    </comment>
    <comment ref="AA17" authorId="0" shapeId="0">
      <text>
        <t>fires when: asianalliance_doctrine_modernizedinfantryequipment</t>
      </text>
    </comment>
    <comment ref="K19" authorId="0" shapeId="0">
      <text>
        <t>raw warhead damages: 4000, 2000, 2
import scales all proportionally</t>
      </text>
    </comment>
    <comment ref="AA19" authorId="0" shapeId="0">
      <text>
        <t>fires when: !rank-elite &amp;&amp; !asianalliance_doctrine_modernizedinfantryequipment</t>
      </text>
    </comment>
    <comment ref="K20" authorId="0" shapeId="0">
      <text>
        <t>raw warhead damages: 4000, 2000, 2
import scales all proportionally</t>
      </text>
    </comment>
    <comment ref="AA20" authorId="0" shapeId="0">
      <text>
        <t>fires when: (rank-elite &amp;&amp; !asianalliance_doctrine_modernizedinfantryequipment) || (!rank-elite &amp;&amp; asianalliance_doctrine_modernizedinfantryequipment)</t>
      </text>
    </comment>
    <comment ref="K21" authorId="0" shapeId="0">
      <text>
        <t>raw warhead damages: 4000, 2000, 2
import scales all proportionally</t>
      </text>
    </comment>
    <comment ref="AA21" authorId="0" shapeId="0">
      <text>
        <t>fires when: rank-elite &amp;&amp; asianalliance_doctrine_modernizedinfantryequipment</t>
      </text>
    </comment>
    <comment ref="K22" authorId="0" shapeId="0">
      <text>
        <t>raw warhead damages: 4000, 2000, 2
import scales all proportionally</t>
      </text>
    </comment>
    <comment ref="AA22" authorId="0" shapeId="0">
      <text>
        <t>fires when: !rank-elite &amp;&amp; !asianalliance_doctrine_modernizedinfantryequipment</t>
      </text>
    </comment>
    <comment ref="K23" authorId="0" shapeId="0">
      <text>
        <t>raw warhead damages: 4000, 2000, 2
import scales all proportionally</t>
      </text>
    </comment>
    <comment ref="AA23" authorId="0" shapeId="0">
      <text>
        <t>fires when: (rank-elite &amp;&amp; !asianalliance_doctrine_modernizedinfantryequipment) || (!rank-elite &amp;&amp; asianalliance_doctrine_modernizedinfantryequipment)</t>
      </text>
    </comment>
    <comment ref="K24" authorId="0" shapeId="0">
      <text>
        <t>raw warhead damages: 4000, 2000, 2
import scales all proportionally</t>
      </text>
    </comment>
    <comment ref="AA24" authorId="0" shapeId="0">
      <text>
        <t>fires when: rank-elite &amp;&amp; asianalliance_doctrine_modernizedinfantryequipment</t>
      </text>
    </comment>
    <comment ref="K26" authorId="0" shapeId="0">
      <text>
        <t>raw warhead damages: 6000, 3
import scales all proportionally</t>
      </text>
    </comment>
    <comment ref="AA26" authorId="0" shapeId="0">
      <text>
        <t>fires when: !rank-elite</t>
      </text>
    </comment>
    <comment ref="K27" authorId="0" shapeId="0">
      <text>
        <t>raw warhead damages: 6000, 3
import scales all proportionally</t>
      </text>
    </comment>
    <comment ref="AA27" authorId="0" shapeId="0">
      <text>
        <t>fires when: rank-elite</t>
      </text>
    </comment>
    <comment ref="K28" authorId="0" shapeId="0">
      <text>
        <t>raw warhead damages: 4000, 2000, 2, 4000, 2
import scales all proportionally</t>
      </text>
    </comment>
    <comment ref="AA28" authorId="0" shapeId="0">
      <text>
        <t>fires when: asianalliance_doctrine_modernizedinfantryequipment &amp;&amp; !rank-elite</t>
      </text>
    </comment>
    <comment ref="K29" authorId="0" shapeId="0">
      <text>
        <t>raw warhead damages: 4000, 2000, 2, 4000, 2
import scales all proportionally</t>
      </text>
    </comment>
    <comment ref="AA29" authorId="0" shapeId="0">
      <text>
        <t>fires when: asianalliance_doctrine_modernizedinfantryequipment &amp;&amp; rank-elite</t>
      </text>
    </comment>
    <comment ref="K30" authorId="0" shapeId="0">
      <text>
        <t>raw warhead damages: 6000, 3
import scales all proportionally</t>
      </text>
    </comment>
    <comment ref="AA30" authorId="0" shapeId="0">
      <text>
        <t>fires when: !rank-elite</t>
      </text>
    </comment>
    <comment ref="K31" authorId="0" shapeId="0">
      <text>
        <t>raw warhead damages: 6000, 3
import scales all proportionally</t>
      </text>
    </comment>
    <comment ref="AA31" authorId="0" shapeId="0">
      <text>
        <t>fires when: rank-elite</t>
      </text>
    </comment>
    <comment ref="K32" authorId="0" shapeId="0">
      <text>
        <t>raw warhead damages: 4000, 2000, 2, 4000, 2
import scales all proportionally</t>
      </text>
    </comment>
    <comment ref="AA32" authorId="0" shapeId="0">
      <text>
        <t>fires when: asianalliance_doctrine_modernizedinfantryequipment &amp;&amp; !rank-elite</t>
      </text>
    </comment>
    <comment ref="K33" authorId="0" shapeId="0">
      <text>
        <t>raw warhead damages: 4000, 2000, 2, 4000, 2
import scales all proportionally</t>
      </text>
    </comment>
    <comment ref="AA33" authorId="0" shapeId="0">
      <text>
        <t>fires when: asianalliance_doctrine_modernizedinfantryequipment &amp;&amp; rank-elite</t>
      </text>
    </comment>
    <comment ref="K35" authorId="0" shapeId="0">
      <text>
        <t>raw warhead damages: 34000, 17
import scales all proportionally</t>
      </text>
    </comment>
    <comment ref="AA35" authorId="0" shapeId="0">
      <text>
        <t>fires when: !rank-elite &amp;&amp; !asianalliance_doctrine_modernizedinfantryequipment</t>
      </text>
    </comment>
    <comment ref="K36" authorId="0" shapeId="0">
      <text>
        <t>raw warhead damages: 34000, 17
import scales all proportionally</t>
      </text>
    </comment>
    <comment ref="AA36" authorId="0" shapeId="0">
      <text>
        <t>fires when: !rank-elite &amp;&amp; asianalliance_doctrine_modernizedinfantryequipment</t>
      </text>
    </comment>
    <comment ref="K37" authorId="0" shapeId="0">
      <text>
        <t>raw warhead damages: 68000, 34
import scales all proportionally</t>
      </text>
    </comment>
    <comment ref="AA37" authorId="0" shapeId="0">
      <text>
        <t>fires when: rank-elite &amp;&amp; !asianalliance_doctrine_modernizedinfantryequipment</t>
      </text>
    </comment>
    <comment ref="K38" authorId="0" shapeId="0">
      <text>
        <t>raw warhead damages: 68000, 34
import scales all proportionally</t>
      </text>
    </comment>
    <comment ref="AA38" authorId="0" shapeId="0">
      <text>
        <t>fires when: rank-elite &amp;&amp; asianalliance_doctrine_modernizedinfantryequipment</t>
      </text>
    </comment>
    <comment ref="K39" authorId="0" shapeId="0">
      <text>
        <t>raw warhead damages: 34000, 17
import scales all proportionally</t>
      </text>
    </comment>
    <comment ref="AA39" authorId="0" shapeId="0">
      <text>
        <t>fires when: !rank-elite &amp;&amp; !asianalliance_doctrine_modernizedinfantryequipment</t>
      </text>
    </comment>
    <comment ref="K40" authorId="0" shapeId="0">
      <text>
        <t>raw warhead damages: 34000, 17
import scales all proportionally</t>
      </text>
    </comment>
    <comment ref="AA40" authorId="0" shapeId="0">
      <text>
        <t>fires when: !rank-elite &amp;&amp; asianalliance_doctrine_modernizedinfantryequipment</t>
      </text>
    </comment>
    <comment ref="K41" authorId="0" shapeId="0">
      <text>
        <t>raw warhead damages: 68000, 34
import scales all proportionally</t>
      </text>
    </comment>
    <comment ref="AA41" authorId="0" shapeId="0">
      <text>
        <t>fires when: rank-elite &amp;&amp; !asianalliance_doctrine_modernizedinfantryequipment</t>
      </text>
    </comment>
    <comment ref="K42" authorId="0" shapeId="0">
      <text>
        <t>raw warhead damages: 68000, 34
import scales all proportionally</t>
      </text>
    </comment>
    <comment ref="AA42" authorId="0" shapeId="0">
      <text>
        <t>fires when: rank-elite &amp;&amp; asianalliance_doctrine_modernizedinfantryequipment</t>
      </text>
    </comment>
    <comment ref="K47" authorId="0" shapeId="0">
      <text>
        <t>raw warhead damages: 2000, 1, 2000, 1
import scales all proportionally</t>
      </text>
    </comment>
    <comment ref="AA47" authorId="0" shapeId="0">
      <text>
        <t>fires when: !rank-elite &amp;&amp; !asianalliance_doctrine_modernizedinfantryequipment</t>
      </text>
    </comment>
    <comment ref="K48" authorId="0" shapeId="0">
      <text>
        <t>raw warhead damages: 2000, 1, 2000, 1
import scales all proportionally</t>
      </text>
    </comment>
    <comment ref="AA48" authorId="0" shapeId="0">
      <text>
        <t>fires when: (rank-elite &amp;&amp; !asianalliance_doctrine_modernizedinfantryequipment) || (!rank-elite &amp;&amp; asianalliance_doctrine_modernizedinfantryequipment)</t>
      </text>
    </comment>
    <comment ref="K49" authorId="0" shapeId="0">
      <text>
        <t>raw warhead damages: 2000, 1, 2000, 1
import scales all proportionally</t>
      </text>
    </comment>
    <comment ref="AA49" authorId="0" shapeId="0">
      <text>
        <t>fires when: rank-elite &amp;&amp; asianalliance_doctrine_modernizedinfantryequipment</t>
      </text>
    </comment>
    <comment ref="K50" authorId="0" shapeId="0">
      <text>
        <t>raw warhead damages: 2000, 1, 2000, 1
import scales all proportionally</t>
      </text>
    </comment>
    <comment ref="AA50" authorId="0" shapeId="0">
      <text>
        <t>fires when: !rank-elite &amp;&amp; !asianalliance_doctrine_modernizedinfantryequipment</t>
      </text>
    </comment>
    <comment ref="K51" authorId="0" shapeId="0">
      <text>
        <t>raw warhead damages: 2000, 1, 2000, 1
import scales all proportionally</t>
      </text>
    </comment>
    <comment ref="AA51" authorId="0" shapeId="0">
      <text>
        <t>fires when: (rank-elite &amp;&amp; !asianalliance_doctrine_modernizedinfantryequipment) || (!rank-elite &amp;&amp; asianalliance_doctrine_modernizedinfantryequipment)</t>
      </text>
    </comment>
    <comment ref="K52" authorId="0" shapeId="0">
      <text>
        <t>raw warhead damages: 2000, 1, 2000, 1
import scales all proportionally</t>
      </text>
    </comment>
    <comment ref="AA52" authorId="0" shapeId="0">
      <text>
        <t>fires when: rank-elite &amp;&amp; asianalliance_doctrine_modernizedinfantryequipment</t>
      </text>
    </comment>
    <comment ref="K54" authorId="0" shapeId="0">
      <text>
        <t>raw warhead damages: 20000, 10000, 10
import scales all proportionally</t>
      </text>
    </comment>
    <comment ref="AA54" authorId="0" shapeId="0">
      <text>
        <t>fires when: !rank-elite &amp;&amp; !asianalliance_doctrine_modernizedinfantryequipment</t>
      </text>
    </comment>
    <comment ref="K55" authorId="0" shapeId="0">
      <text>
        <t>raw warhead damages: 20000, 10000, 10
import scales all proportionally</t>
      </text>
    </comment>
    <comment ref="AA55" authorId="0" shapeId="0">
      <text>
        <t>fires when: (rank-elite &amp;&amp; !asianalliance_doctrine_modernizedinfantryequipment) || (!rank-elite &amp;&amp; asianalliance_doctrine_modernizedinfantryequipment)</t>
      </text>
    </comment>
    <comment ref="K56" authorId="0" shapeId="0">
      <text>
        <t>raw warhead damages: 20000, 10000, 10
import scales all proportionally</t>
      </text>
    </comment>
    <comment ref="AA56" authorId="0" shapeId="0">
      <text>
        <t>fires when: rank-elite &amp;&amp; asianalliance_doctrine_modernizedinfantryequipment</t>
      </text>
    </comment>
    <comment ref="K58" authorId="0" shapeId="0">
      <text>
        <t>raw warhead damages: 2000, 1000, 1, 2000, 1000, 1, 2000, 1000, 1, 2000, 1000, 1, 2000, 1, 2000, 1000, 1, 2000, 1, 2000, 1
import scales all proportionally</t>
      </text>
    </comment>
    <comment ref="AA58" authorId="0" shapeId="0">
      <text>
        <t>fires when: !rank-elite</t>
      </text>
    </comment>
    <comment ref="K59" authorId="0" shapeId="0">
      <text>
        <t>raw warhead damages: 2000, 1000, 1, 2000, 1000, 1, 2000, 1000, 1, 2000, 1000, 1, 2000, 1, 2000, 1000, 1, 2000, 1, 2000, 1
import scales all proportionally</t>
      </text>
    </comment>
    <comment ref="AA59" authorId="0" shapeId="0">
      <text>
        <t>fires when: rank-elite</t>
      </text>
    </comment>
    <comment ref="K60" authorId="0" shapeId="0">
      <text>
        <t>raw warhead damages: 2000, 1000, 1, 2000, 1000, 1, 2000, 1000, 1, 2000, 1000, 1, 2000, 1, 2000, 1000, 1, 2000, 1, 2000, 1
import scales all proportionally</t>
      </text>
    </comment>
    <comment ref="AA60" authorId="0" shapeId="0">
      <text>
        <t>fires when: !rank-elite</t>
      </text>
    </comment>
    <comment ref="K61" authorId="0" shapeId="0">
      <text>
        <t>raw warhead damages: 2000, 1000, 1, 2000, 1000, 1, 2000, 1000, 1, 2000, 1000, 1, 2000, 1, 2000, 1000, 1, 2000, 1, 2000, 1
import scales all proportionally</t>
      </text>
    </comment>
    <comment ref="AA61" authorId="0" shapeId="0">
      <text>
        <t>fires when: rank-elite</t>
      </text>
    </comment>
    <comment ref="K63" authorId="0" shapeId="0">
      <text>
        <t>raw warhead damages: 20000, 10000, 10
import scales all proportionally</t>
      </text>
    </comment>
    <comment ref="AA63" authorId="0" shapeId="0">
      <text>
        <t>fires when: !rank-elite</t>
      </text>
    </comment>
    <comment ref="K64" authorId="0" shapeId="0">
      <text>
        <t>raw warhead damages: 20000, 10000, 10
import scales all proportionally</t>
      </text>
    </comment>
    <comment ref="AA64" authorId="0" shapeId="0">
      <text>
        <t>fires when: rank-elite</t>
      </text>
    </comment>
    <comment ref="K65" authorId="0" shapeId="0">
      <text>
        <t>raw warhead damages: 20000, 10000, 10
import scales all proportionally</t>
      </text>
    </comment>
    <comment ref="AA65" authorId="0" shapeId="0">
      <text>
        <t>fires when: !rank-elite</t>
      </text>
    </comment>
    <comment ref="K66" authorId="0" shapeId="0">
      <text>
        <t>raw warhead damages: 20000, 10000, 10
import scales all proportionally</t>
      </text>
    </comment>
    <comment ref="AA66" authorId="0" shapeId="0">
      <text>
        <t>fires when: rank-elite</t>
      </text>
    </comment>
    <comment ref="K68" authorId="0" shapeId="0">
      <text>
        <t>raw warhead damages: 2000, 1, 2000, 1, 2000, 1000, 1, 2000, 1, 888, 2000, 1000, 1, 2000, 1
import scales all proportionally</t>
      </text>
    </comment>
    <comment ref="AA68" authorId="0" shapeId="0">
      <text>
        <t>fires when: !rank-elite</t>
      </text>
    </comment>
    <comment ref="K69" authorId="0" shapeId="0">
      <text>
        <t>raw warhead damages: 2000, 1, 2000, 1, 2000, 1000, 1, 2000, 1, 888, 2000, 1000, 1, 2000, 1
import scales all proportionally</t>
      </text>
    </comment>
    <comment ref="AA69" authorId="0" shapeId="0">
      <text>
        <t>fires when: rank-elite</t>
      </text>
    </comment>
    <comment ref="K70" authorId="0" shapeId="0">
      <text>
        <t>raw warhead damages: 2000, 1, 2000, 1, 2000, 1000, 1, 2000, 1, 888, 2000, 1000, 1, 2000, 1
import scales all proportionally</t>
      </text>
    </comment>
    <comment ref="AA70" authorId="0" shapeId="0">
      <text>
        <t>fires when: !rank-elite</t>
      </text>
    </comment>
    <comment ref="K71" authorId="0" shapeId="0">
      <text>
        <t>raw warhead damages: 2000, 1, 2000, 1, 2000, 1000, 1, 2000, 1, 888, 2000, 1000, 1, 2000, 1
import scales all proportionally</t>
      </text>
    </comment>
    <comment ref="AA71" authorId="0" shapeId="0">
      <text>
        <t>fires when: rank-elite</t>
      </text>
    </comment>
    <comment ref="K74" authorId="0" shapeId="0">
      <text>
        <t>raw warhead damages: 4000, 2000, 2
import scales all proportionally</t>
      </text>
    </comment>
    <comment ref="AA74" authorId="0" shapeId="0">
      <text>
        <t>fires when: !rank-elite</t>
      </text>
    </comment>
    <comment ref="K75" authorId="0" shapeId="0">
      <text>
        <t>raw warhead damages: 4000, 2000, 2
import scales all proportionally</t>
      </text>
    </comment>
    <comment ref="AA75" authorId="0" shapeId="0">
      <text>
        <t>fires when: rank-elite</t>
      </text>
    </comment>
    <comment ref="K80" authorId="0" shapeId="0">
      <text>
        <t>raw warhead damages: 36000, 18, 1000
import scales all proportionally</t>
      </text>
    </comment>
    <comment ref="AA80" authorId="0" shapeId="0">
      <text>
        <t>fires when: !rank-elite</t>
      </text>
    </comment>
    <comment ref="K81" authorId="0" shapeId="0">
      <text>
        <t>raw warhead damages: 48000, 24, 1000
import scales all proportionally</t>
      </text>
    </comment>
    <comment ref="AA81" authorId="0" shapeId="0">
      <text>
        <t>fires when: rank-elite</t>
      </text>
    </comment>
    <comment ref="K83" authorId="0" shapeId="0">
      <text>
        <t>raw warhead damages: 20000, 10, 20000, 10
import scales all proportionally</t>
      </text>
    </comment>
    <comment ref="AA83" authorId="0" shapeId="0">
      <text>
        <t>fires when: !rank-elite</t>
      </text>
    </comment>
    <comment ref="K84" authorId="0" shapeId="0">
      <text>
        <t>raw warhead damages: 20000, 10, 20000, 10
import scales all proportionally</t>
      </text>
    </comment>
    <comment ref="AA84" authorId="0" shapeId="0">
      <text>
        <t>fires when: rank-elite</t>
      </text>
    </comment>
    <comment ref="K86" authorId="0" shapeId="0">
      <text>
        <t>raw warhead damages: 2000, 1000, 1, 2000, 1000, 1, 2000, 1000, 1, 2000, 1000, 1, 2000, 1, 2000, 1
import scales all proportionally</t>
      </text>
    </comment>
    <comment ref="AA86" authorId="0" shapeId="0">
      <text>
        <t>fires when: !rank-elite</t>
      </text>
    </comment>
    <comment ref="K87" authorId="0" shapeId="0">
      <text>
        <t>raw warhead damages: 2000, 1000, 1, 2000, 1000, 1, 2000, 1000, 1, 2000, 1000, 1, 2000, 1, 2000, 1
import scales all proportionally</t>
      </text>
    </comment>
    <comment ref="AA87" authorId="0" shapeId="0">
      <text>
        <t>fires when: rank-elite</t>
      </text>
    </comment>
    <comment ref="K88" authorId="0" shapeId="0">
      <text>
        <t>raw warhead damages: 2000, 1, 2000, 1
import scales all proportionally</t>
      </text>
    </comment>
    <comment ref="AA88" authorId="0" shapeId="0">
      <text>
        <t>fires when: asianalliance_doctrine_asianphalanx &amp;&amp; !rank-elite</t>
      </text>
    </comment>
    <comment ref="K89" authorId="0" shapeId="0">
      <text>
        <t>raw warhead damages: 2000, 1, 2000, 1
import scales all proportionally</t>
      </text>
    </comment>
    <comment ref="AA89" authorId="0" shapeId="0">
      <text>
        <t>fires when: asianalliance_doctrine_asianphalanx &amp;&amp; rank-elite</t>
      </text>
    </comment>
    <comment ref="K93" authorId="0" shapeId="0">
      <text>
        <t>raw warhead damages: 2000, 1, 2000, 1, 2000, 1
import scales all proportionally</t>
      </text>
    </comment>
    <comment ref="K94" authorId="0" shapeId="0">
      <text>
        <t>raw warhead damages: 2000, 1, 2000, 1, 2000, 1
import scales all proportionally</t>
      </text>
    </comment>
    <comment ref="AA94" authorId="0" shapeId="0">
      <text>
        <t>fires when: asianalliance_doctrine_heavypulverizerweapons</t>
      </text>
    </comment>
    <comment ref="K96" authorId="0" shapeId="0">
      <text>
        <t>raw warhead damages: 2000, 1000, 1, 2000, 1, 2000, 1, 2000, 1, 2000, 1
import scales all proportionally</t>
      </text>
    </comment>
    <comment ref="K97" authorId="0" shapeId="0">
      <text>
        <t>raw warhead damages: 2000, 1000, 1, 2000, 1, 2000, 1, 2000, 1, 2000, 1
import scales all proportionally</t>
      </text>
    </comment>
    <comment ref="AA97" authorId="0" shapeId="0">
      <text>
        <t>fires when: asianalliance_doctrine_heavypulverizerweapons</t>
      </text>
    </comment>
    <comment ref="K99" authorId="0" shapeId="0">
      <text>
        <t>raw warhead damages: 2000, 1, 2000, 1, 2000, 1000, 1, 2000, 1, 888
import scales all proportionally</t>
      </text>
    </comment>
    <comment ref="AA99" authorId="0" shapeId="0">
      <text>
        <t>fires when: !asianalliance_upgrade_celestialpower</t>
      </text>
    </comment>
    <comment ref="K100" authorId="0" shapeId="0">
      <text>
        <t>raw warhead damages: 2000, 1, 2000, 1, 2000, 1000, 1, 2000, 1, 888
import scales all proportionally</t>
      </text>
    </comment>
    <comment ref="AA100" authorId="0" shapeId="0">
      <text>
        <t>fires when: asianalliance_upgrade_celestialpower</t>
      </text>
    </comment>
    <comment ref="K101" authorId="0" shapeId="0">
      <text>
        <t>raw warhead damages: 2000, 1, 2000, 1, 2000, 1000, 1, 2000, 1, 888
import scales all proportionally</t>
      </text>
    </comment>
    <comment ref="AA101" authorId="0" shapeId="0">
      <text>
        <t>fires when: !asianalliance_upgrade_celestialpower</t>
      </text>
    </comment>
    <comment ref="K102" authorId="0" shapeId="0">
      <text>
        <t>raw warhead damages: 2000, 1, 2000, 1, 2000, 1000, 1, 2000, 1, 888
import scales all proportionally</t>
      </text>
    </comment>
    <comment ref="AA102" authorId="0" shapeId="0">
      <text>
        <t>fires when: asianalliance_upgrade_celestialpower</t>
      </text>
    </comment>
    <comment ref="K104" authorId="0" shapeId="0">
      <text>
        <t>raw warhead damages: 24000, 12, 1000
import scales all proportionally</t>
      </text>
    </comment>
    <comment ref="AA104" authorId="0" shapeId="0">
      <text>
        <t>fires when: !rank-elite</t>
      </text>
    </comment>
    <comment ref="K105" authorId="0" shapeId="0">
      <text>
        <t>raw warhead damages: 36000, 18, 1000
import scales all proportionally</t>
      </text>
    </comment>
    <comment ref="AA105" authorId="0" shapeId="0">
      <text>
        <t>fires when: rank-elite</t>
      </text>
    </comment>
    <comment ref="K107" authorId="0" shapeId="0">
      <text>
        <t>raw warhead damages: 2000, 1, 2000, 1, 2000, 1000, 1, 2000, 1
import scales all proportionally</t>
      </text>
    </comment>
    <comment ref="K109" authorId="0" shapeId="0">
      <text>
        <t>raw warhead damages: 4000, 2000, 2, 4000, 2000, 2, 4000, 2000, 2, 4000, 2, 4000, 2000, 2, 4000, 2000, 2
import scales all proportionally</t>
      </text>
    </comment>
    <comment ref="AA109" authorId="0" shapeId="0">
      <text>
        <t>fires when: !rank-elite</t>
      </text>
    </comment>
    <comment ref="K110" authorId="0" shapeId="0">
      <text>
        <t>raw warhead damages: 4000, 2000, 2, 4000, 2000, 2, 4000, 2000, 2, 4000, 2, 4000, 2000, 2, 4000, 2000, 2
import scales all proportionally</t>
      </text>
    </comment>
    <comment ref="AA110" authorId="0" shapeId="0">
      <text>
        <t>fires when: rank-elite</t>
      </text>
    </comment>
    <comment ref="K112" authorId="0" shapeId="0">
      <text>
        <t>raw warhead damages: 4000, 2000, 2, 4000, 2
import scales all proportionally</t>
      </text>
    </comment>
    <comment ref="K114" authorId="0" shapeId="0">
      <text>
        <t>raw warhead damages: 2000, 1000, 1, 2000, 1000, 1, 2000, 1000, 1, 2000, 1000, 1, 2000, 1, 2000, 1000, 1, 2000, 1, 2000, 1
import scales all proportionally</t>
      </text>
    </comment>
    <comment ref="AA114" authorId="0" shapeId="0">
      <text>
        <t>fires when: !rank-elite</t>
      </text>
    </comment>
    <comment ref="K115" authorId="0" shapeId="0">
      <text>
        <t>raw warhead damages: 2000, 1000, 1, 2000, 1000, 1, 2000, 1000, 1, 2000, 1000, 1, 2000, 1, 2000, 1000, 1, 2000, 1, 2000, 1
import scales all proportionally</t>
      </text>
    </comment>
    <comment ref="AA115" authorId="0" shapeId="0">
      <text>
        <t>fires when: rank-elite</t>
      </text>
    </comment>
    <comment ref="K118" authorId="0" shapeId="0">
      <text>
        <t>raw warhead damages: 4000, 2000, 2, 4000, 2, 4000, 2
import scales all proportionally</t>
      </text>
    </comment>
    <comment ref="AA118" authorId="0" shapeId="0">
      <text>
        <t>fires when: !rank-elite</t>
      </text>
    </comment>
    <comment ref="K119" authorId="0" shapeId="0">
      <text>
        <t>raw warhead damages: 4000, 2000, 2, 4000, 2, 4000, 2
import scales all proportionally</t>
      </text>
    </comment>
    <comment ref="AA119" authorId="0" shapeId="0">
      <text>
        <t>fires when: rank-elite</t>
      </text>
    </comment>
    <comment ref="K120" authorId="0" shapeId="0">
      <text>
        <t>raw warhead damages: 2000, 1, 2000, 1, 2000, 1
import scales all proportionally</t>
      </text>
    </comment>
    <comment ref="AA120" authorId="0" shapeId="0">
      <text>
        <t>fires when: asianalliance_doctrine_asianphalanx &amp;&amp; !rank-elite</t>
      </text>
    </comment>
    <comment ref="K121" authorId="0" shapeId="0">
      <text>
        <t>raw warhead damages: 2000, 1, 2000, 1, 2000, 1
import scales all proportionally</t>
      </text>
    </comment>
    <comment ref="AA121" authorId="0" shapeId="0">
      <text>
        <t>fires when: asianalliance_doctrine_asianphalanx &amp;&amp; rank-elite</t>
      </text>
    </comment>
    <comment ref="K123" authorId="0" shapeId="0">
      <text>
        <t>raw warhead damages: 20000, 10000, 10, 20000, 10000, 10, 20000, 10
import scales all proportionally</t>
      </text>
    </comment>
    <comment ref="AA123" authorId="0" shapeId="0">
      <text>
        <t>fires when: !rank-elite</t>
      </text>
    </comment>
    <comment ref="K124" authorId="0" shapeId="0">
      <text>
        <t>raw warhead damages: 20000, 10000, 10, 20000, 10000, 10, 20000, 10
import scales all proportionally</t>
      </text>
    </comment>
    <comment ref="AA124" authorId="0" shapeId="0">
      <text>
        <t>fires when: rank-elite</t>
      </text>
    </comment>
    <comment ref="K130" authorId="0" shapeId="0">
      <text>
        <t>raw warhead damages: 2000, 1, 2000, 1
import scales all proportionally</t>
      </text>
    </comment>
    <comment ref="K134" authorId="0" shapeId="0">
      <text>
        <t>raw warhead damages: 2000, 1, 2000, 1
import scales all proportionally</t>
      </text>
    </comment>
    <comment ref="K135" authorId="0" shapeId="0">
      <text>
        <t>raw warhead damages: 2000, 1000, 1, 2000, 1
import scales all proportionally</t>
      </text>
    </comment>
    <comment ref="K138" authorId="0" shapeId="0">
      <text>
        <t>raw warhead damages: 16000, 8
import scales all proportionally</t>
      </text>
    </comment>
    <comment ref="AA138" authorId="0" shapeId="0">
      <text>
        <t>fires when: !rank-elite</t>
      </text>
    </comment>
    <comment ref="K139" authorId="0" shapeId="0">
      <text>
        <t>raw warhead damages: 16000, 8
import scales all proportionally</t>
      </text>
    </comment>
    <comment ref="AA139" authorId="0" shapeId="0">
      <text>
        <t>fires when: rank-elite</t>
      </text>
    </comment>
    <comment ref="K140" authorId="0" shapeId="0">
      <text>
        <t>raw warhead damages: 2000, 1, 2000, 1000, 1, 2000, 1, 2000, 1
import scales all proportionally</t>
      </text>
    </comment>
    <comment ref="AA140" authorId="0" shapeId="0">
      <text>
        <t>fires when: !rank-elite</t>
      </text>
    </comment>
    <comment ref="K141" authorId="0" shapeId="0">
      <text>
        <t>raw warhead damages: 2000, 1, 2000, 1000, 1, 2000, 1, 2000, 1
import scales all proportionally</t>
      </text>
    </comment>
    <comment ref="AA141" authorId="0" shapeId="0">
      <text>
        <t>fires when: rank-elite</t>
      </text>
    </comment>
    <comment ref="K142" authorId="0" shapeId="0">
      <text>
        <t>raw warhead damages: 60000, 30000, 30
import scales all proportionally</t>
      </text>
    </comment>
    <comment ref="K143" authorId="0" shapeId="0">
      <text>
        <t>raw warhead damages: 60000, 30000, 30
import scales all proportionally</t>
      </text>
    </comment>
    <comment ref="AA143" authorId="0" shapeId="0">
      <text>
        <t>fires when: rank-elite</t>
      </text>
    </comment>
    <comment ref="K149" authorId="0" shapeId="0">
      <text>
        <t>raw warhead damages: 12000, 6000, 6, 12000, 6
import scales all proportionally</t>
      </text>
    </comment>
    <comment ref="K151" authorId="0" shapeId="0">
      <text>
        <t>raw warhead damages: 10000, 5
import scales all proportionally</t>
      </text>
    </comment>
    <comment ref="AA151" authorId="0" shapeId="0">
      <text>
        <t>fires when: !rank-elite</t>
      </text>
    </comment>
    <comment ref="K152" authorId="0" shapeId="0">
      <text>
        <t>raw warhead damages: 10000, 5
import scales all proportionally</t>
      </text>
    </comment>
    <comment ref="AA152" authorId="0" shapeId="0">
      <text>
        <t>fires when: rank-elite</t>
      </text>
    </comment>
    <comment ref="K154" authorId="0" shapeId="0">
      <text>
        <t>raw warhead damages: 2000, 1, 2000, 1, 2000, 1000, 1, 2000, 1, 888
import scales all proportionally</t>
      </text>
    </comment>
    <comment ref="AA154" authorId="0" shapeId="0">
      <text>
        <t>fires when: !asianalliance_upgrade_celestialpower</t>
      </text>
    </comment>
    <comment ref="K155" authorId="0" shapeId="0">
      <text>
        <t>raw warhead damages: 2000, 1, 2000, 1, 2000, 1000, 1, 2000, 1, 888
import scales all proportionally</t>
      </text>
    </comment>
    <comment ref="AA155" authorId="0" shapeId="0">
      <text>
        <t>fires when: asianalliance_upgrade_celestialpower</t>
      </text>
    </comment>
    <comment ref="K156" authorId="0" shapeId="0">
      <text>
        <t>raw warhead damages: 2000, 1, 2000, 1, 2000, 1000, 1, 2000, 1, 888
import scales all proportionally</t>
      </text>
    </comment>
    <comment ref="AA156" authorId="0" shapeId="0">
      <text>
        <t>fires when: !asianalliance_upgrade_celestialpower</t>
      </text>
    </comment>
    <comment ref="K157" authorId="0" shapeId="0">
      <text>
        <t>raw warhead damages: 2000, 1, 2000, 1, 2000, 1000, 1, 2000, 1, 888
import scales all proportionally</t>
      </text>
    </comment>
    <comment ref="AA157" authorId="0" shapeId="0">
      <text>
        <t>fires when: asianalliance_upgrade_celestialpower</t>
      </text>
    </comment>
    <comment ref="K170" authorId="0" shapeId="0">
      <text>
        <t>raw warhead damages: 4000, 2000, 2
import scales all proportionally</t>
      </text>
    </comment>
    <comment ref="K178" authorId="0" shapeId="0">
      <text>
        <t>raw warhead damages: 2000, 1, 600
import scales all proportionally</t>
      </text>
    </comment>
    <comment ref="K181" authorId="0" shapeId="0">
      <text>
        <t>raw warhead damages: 2000, 1000, 1, 2000, 1000, 1, 2000, 1000, 1, 2000, 1000, 1, 2000, 1, 2000, 1000, 1, 2000, 1, 2000, 1
import scales all proportionally</t>
      </text>
    </comment>
    <comment ref="K183" authorId="0" shapeId="0">
      <text>
        <t>raw warhead damages: 2000, 1, 2000, 1, 2000, 1000, 1, 2000, 1, 888
import scales all proportionally</t>
      </text>
    </comment>
    <comment ref="AA183" authorId="0" shapeId="0">
      <text>
        <t>fires when: !asianalliance_upgrade_celestialpower</t>
      </text>
    </comment>
    <comment ref="K184" authorId="0" shapeId="0">
      <text>
        <t>raw warhead damages: 2000, 1, 2000, 1, 2000, 1000, 1, 2000, 1, 888
import scales all proportionally</t>
      </text>
    </comment>
    <comment ref="AA184" authorId="0" shapeId="0">
      <text>
        <t>fires when: asianalliance_upgrade_celestialpower</t>
      </text>
    </comment>
    <comment ref="K186" authorId="0" shapeId="0">
      <text>
        <t>raw warhead damages: 30000, 15, 1000
import scales all proportionally</t>
      </text>
    </comment>
    <comment ref="K189" authorId="0" shapeId="0">
      <text>
        <t>raw warhead damages: 2000, 1, 2000, 1, 2000, 1000, 1, 2000, 1, 888
import scales all proportionally</t>
      </text>
    </comment>
    <comment ref="AA189" authorId="0" shapeId="0">
      <text>
        <t>fires when: !asianalliance_upgrade_celestialpower</t>
      </text>
    </comment>
    <comment ref="K190" authorId="0" shapeId="0">
      <text>
        <t>raw warhead damages: 2000, 1, 2000, 1, 2000, 1000, 1, 2000, 1, 888
import scales all proportionally</t>
      </text>
    </comment>
    <comment ref="AA190" authorId="0" shapeId="0">
      <text>
        <t>fires when: asianalliance_upgrade_celestialpower</t>
      </text>
    </comment>
  </commentList>
</comments>
</file>

<file path=xl/comments/comment9.xml><?xml version="1.0" encoding="utf-8"?>
<comments xmlns="http://schemas.openxmlformats.org/spreadsheetml/2006/main">
  <authors>
    <author>balance-pipeline</author>
  </authors>
  <commentList>
    <comment ref="K4" authorId="0" shapeId="0">
      <text>
        <t>raw warhead damages: 2000, 1, 2000, 1, 2000, 1
import scales all proportionally</t>
      </text>
    </comment>
    <comment ref="AA4" authorId="0" shapeId="0">
      <text>
        <t>fires when: !rank-elite</t>
      </text>
    </comment>
    <comment ref="K5" authorId="0" shapeId="0">
      <text>
        <t>raw warhead damages: 2000, 1, 2000, 1, 2000, 1
import scales all proportionally</t>
      </text>
    </comment>
    <comment ref="AA5" authorId="0" shapeId="0">
      <text>
        <t>fires when: rank-elite</t>
      </text>
    </comment>
    <comment ref="K6" authorId="0" shapeId="0">
      <text>
        <t>raw warhead damages: 2000, 1, 2000, 1, 2000, 1
import scales all proportionally</t>
      </text>
    </comment>
    <comment ref="AA6" authorId="0" shapeId="0">
      <text>
        <t>fires when: !rank-elite</t>
      </text>
    </comment>
    <comment ref="K7" authorId="0" shapeId="0">
      <text>
        <t>raw warhead damages: 2000, 1, 2000, 1, 2000, 1
import scales all proportionally</t>
      </text>
    </comment>
    <comment ref="AA7" authorId="0" shapeId="0">
      <text>
        <t>fires when: rank-elite</t>
      </text>
    </comment>
    <comment ref="K8" authorId="0" shapeId="0">
      <text>
        <t>raw warhead damages: 2000, 1, 2000, 1, 2000, 1
import scales all proportionally</t>
      </text>
    </comment>
    <comment ref="AA8" authorId="0" shapeId="0">
      <text>
        <t>fires when: !rank-elite &amp;&amp; steelconsortium_upgrade_resonanceammo</t>
      </text>
    </comment>
    <comment ref="K9" authorId="0" shapeId="0">
      <text>
        <t>raw warhead damages: 2000, 1, 2000, 1, 2000, 1
import scales all proportionally</t>
      </text>
    </comment>
    <comment ref="AA9" authorId="0" shapeId="0">
      <text>
        <t>fires when: rank-elite &amp;&amp; steelconsortium_upgrade_resonanceammo</t>
      </text>
    </comment>
    <comment ref="K10" authorId="0" shapeId="0">
      <text>
        <t>raw warhead damages: 2000, 1, 2000, 1, 2000, 1
import scales all proportionally</t>
      </text>
    </comment>
    <comment ref="AA10" authorId="0" shapeId="0">
      <text>
        <t>fires when: !rank-elite &amp;&amp; steelconsortium_upgrade_resonanceammo</t>
      </text>
    </comment>
    <comment ref="K11" authorId="0" shapeId="0">
      <text>
        <t>raw warhead damages: 2000, 1, 2000, 1, 2000, 1
import scales all proportionally</t>
      </text>
    </comment>
    <comment ref="AA11" authorId="0" shapeId="0">
      <text>
        <t>fires when: rank-elite &amp;&amp; steelconsortium_upgrade_resonanceammo</t>
      </text>
    </comment>
    <comment ref="K16" authorId="0" shapeId="0">
      <text>
        <t>raw warhead damages: 2000, 1000, 1, 2000, 1000, 1, 2000, 1, 1000, 2000, 1
import scales all proportionally</t>
      </text>
    </comment>
    <comment ref="AA16" authorId="0" shapeId="0">
      <text>
        <t>fires when: !rank-elite &amp;&amp; !steelconsortium_upgrade_quantumweaponpower</t>
      </text>
    </comment>
    <comment ref="K17" authorId="0" shapeId="0">
      <text>
        <t>raw warhead damages: 2000, 1000, 1, 2000, 1000, 1, 2000, 1, 1000, 2000, 1
import scales all proportionally</t>
      </text>
    </comment>
    <comment ref="AA17" authorId="0" shapeId="0">
      <text>
        <t>fires when: rank-elite &amp;&amp; !steelconsortium_upgrade_quantumweaponpower</t>
      </text>
    </comment>
    <comment ref="K18" authorId="0" shapeId="0">
      <text>
        <t>raw warhead damages: 2000, 1000, 1, 2000, 1000, 1, 2000, 1, 1000, 2000, 1
import scales all proportionally</t>
      </text>
    </comment>
    <comment ref="AA18" authorId="0" shapeId="0">
      <text>
        <t>fires when: !rank-elite &amp;&amp; !steelconsortium_upgrade_quantumweaponpower</t>
      </text>
    </comment>
    <comment ref="K19" authorId="0" shapeId="0">
      <text>
        <t>raw warhead damages: 2000, 1000, 1, 2000, 1000, 1, 2000, 1, 1000, 2000, 1
import scales all proportionally</t>
      </text>
    </comment>
    <comment ref="AA19" authorId="0" shapeId="0">
      <text>
        <t>fires when: rank-elite &amp;&amp; !steelconsortium_upgrade_quantumweaponpower</t>
      </text>
    </comment>
    <comment ref="K20" authorId="0" shapeId="0">
      <text>
        <t>raw warhead damages: 2000, 1000, 1, 2000, 1000, 1, 2000, 1000, 1, 2000, 1000, 1, 2000, 1, 1000, 2000, 1
import scales all proportionally</t>
      </text>
    </comment>
    <comment ref="AA20" authorId="0" shapeId="0">
      <text>
        <t>fires when: !rank-elite &amp;&amp; steelconsortium_upgrade_quantumweaponpower</t>
      </text>
    </comment>
    <comment ref="K21" authorId="0" shapeId="0">
      <text>
        <t>raw warhead damages: 2000, 1000, 1, 2000, 1000, 1, 2000, 1000, 1, 2000, 1000, 1, 2000, 1, 1000, 2000, 1
import scales all proportionally</t>
      </text>
    </comment>
    <comment ref="AA21" authorId="0" shapeId="0">
      <text>
        <t>fires when: rank-elite &amp;&amp; steelconsortium_upgrade_quantumweaponpower</t>
      </text>
    </comment>
    <comment ref="K22" authorId="0" shapeId="0">
      <text>
        <t>raw warhead damages: 2000, 1000, 1, 2000, 1000, 1, 2000, 1000, 1, 2000, 1000, 1, 2000, 1, 1000, 2000, 1
import scales all proportionally</t>
      </text>
    </comment>
    <comment ref="AA22" authorId="0" shapeId="0">
      <text>
        <t>fires when: !rank-elite &amp;&amp; steelconsortium_upgrade_quantumweaponpower</t>
      </text>
    </comment>
    <comment ref="K23" authorId="0" shapeId="0">
      <text>
        <t>raw warhead damages: 2000, 1000, 1, 2000, 1000, 1, 2000, 1000, 1, 2000, 1000, 1, 2000, 1, 1000, 2000, 1
import scales all proportionally</t>
      </text>
    </comment>
    <comment ref="AA23" authorId="0" shapeId="0">
      <text>
        <t>fires when: rank-elite &amp;&amp; steelconsortium_upgrade_quantumweaponpower</t>
      </text>
    </comment>
    <comment ref="K25" authorId="0" shapeId="0">
      <text>
        <t>raw warhead damages: 4000, 2, 1000, 4000, 2, 4000, 2, 4000, 2
import scales all proportionally</t>
      </text>
    </comment>
    <comment ref="AA25" authorId="0" shapeId="0">
      <text>
        <t>fires when: !deployed &amp;&amp; !rank-elite &amp;&amp; !steelconsortium_upgrade_quantumweaponpower</t>
      </text>
    </comment>
    <comment ref="K26" authorId="0" shapeId="0">
      <text>
        <t>raw warhead damages: 4000, 2, 1000, 4000, 2, 4000, 2, 4000, 2
import scales all proportionally</t>
      </text>
    </comment>
    <comment ref="AA26" authorId="0" shapeId="0">
      <text>
        <t>fires when: !deployed &amp;&amp; rank-elite &amp;&amp; !steelconsortium_upgrade_quantumweaponpower</t>
      </text>
    </comment>
    <comment ref="K27" authorId="0" shapeId="0">
      <text>
        <t>raw warhead damages: 2000, 1000, 1, 2000, 1000, 1, 2000, 1000, 1, 2000, 1000, 1, 2000, 1, 2000, 1000, 1, 2000, 1, 1000, 2000, 1, 2000, 1, 2000, 1
import scales all proportionally</t>
      </text>
    </comment>
    <comment ref="AA27" authorId="0" shapeId="0">
      <text>
        <t>fires when: !deployed &amp;&amp; !rank-elite &amp;&amp; steelconsortium_upgrade_quantumweaponpower</t>
      </text>
    </comment>
    <comment ref="K28" authorId="0" shapeId="0">
      <text>
        <t>raw warhead damages: 2000, 1000, 1, 2000, 1000, 1, 2000, 1000, 1, 2000, 1000, 1, 2000, 1, 2000, 1000, 1, 2000, 1, 1000, 2000, 1, 2000, 1, 2000, 1
import scales all proportionally</t>
      </text>
    </comment>
    <comment ref="AA28" authorId="0" shapeId="0">
      <text>
        <t>fires when: !deployed &amp;&amp; rank-elite &amp;&amp; steelconsortium_upgrade_quantumweaponpower</t>
      </text>
    </comment>
    <comment ref="AA29" authorId="0" shapeId="0">
      <text>
        <t>fires when: botmicro</t>
      </text>
    </comment>
    <comment ref="K30" authorId="0" shapeId="0">
      <text>
        <t>raw warhead damages: 4000, 2, 1000, 4000, 2, 4000, 2, 4000, 2
import scales all proportionally</t>
      </text>
    </comment>
    <comment ref="AA30" authorId="0" shapeId="0">
      <text>
        <t>fires when: deployed &amp;&amp; !rank-elite &amp;&amp; !steelconsortium_upgrade_quantumweaponpower</t>
      </text>
    </comment>
    <comment ref="K31" authorId="0" shapeId="0">
      <text>
        <t>raw warhead damages: 4000, 2, 1000, 4000, 2, 4000, 2, 4000, 2
import scales all proportionally</t>
      </text>
    </comment>
    <comment ref="AA31" authorId="0" shapeId="0">
      <text>
        <t>fires when: deployed &amp;&amp; rank-elite &amp;&amp; !steelconsortium_upgrade_quantumweaponpower</t>
      </text>
    </comment>
    <comment ref="K32" authorId="0" shapeId="0">
      <text>
        <t>raw warhead damages: 2000, 1000, 1, 2000, 1000, 1, 2000, 1000, 1, 2000, 1000, 1, 2000, 1, 2000, 1000, 1, 2000, 1, 1000, 2000, 1, 2000, 1, 2000, 1
import scales all proportionally</t>
      </text>
    </comment>
    <comment ref="AA32" authorId="0" shapeId="0">
      <text>
        <t>fires when: deployed &amp;&amp; !rank-elite &amp;&amp; steelconsortium_upgrade_quantumweaponpower</t>
      </text>
    </comment>
    <comment ref="K33" authorId="0" shapeId="0">
      <text>
        <t>raw warhead damages: 2000, 1000, 1, 2000, 1000, 1, 2000, 1000, 1, 2000, 1000, 1, 2000, 1, 2000, 1000, 1, 2000, 1, 1000, 2000, 1, 2000, 1, 2000, 1
import scales all proportionally</t>
      </text>
    </comment>
    <comment ref="AA33" authorId="0" shapeId="0">
      <text>
        <t>fires when: deployed &amp;&amp; rank-elite &amp;&amp; steelconsortium_upgrade_quantumweaponpower</t>
      </text>
    </comment>
    <comment ref="K34" authorId="0" shapeId="0">
      <text>
        <t>raw warhead damages: 4000, 2, 1000, 4000, 2, 4000, 2, 4000, 2
import scales all proportionally</t>
      </text>
    </comment>
    <comment ref="AA34" authorId="0" shapeId="0">
      <text>
        <t>fires when: !rank-elite &amp;&amp; !steelconsortium_upgrade_quantumweaponpower</t>
      </text>
    </comment>
    <comment ref="K35" authorId="0" shapeId="0">
      <text>
        <t>raw warhead damages: 4000, 2, 1000, 4000, 2, 4000, 2, 4000, 2
import scales all proportionally</t>
      </text>
    </comment>
    <comment ref="AA35" authorId="0" shapeId="0">
      <text>
        <t>fires when: rank-elite &amp;&amp; !steelconsortium_upgrade_quantumweaponpower</t>
      </text>
    </comment>
    <comment ref="K36" authorId="0" shapeId="0">
      <text>
        <t>raw warhead damages: 2000, 1000, 1, 2000, 1000, 1, 2000, 1000, 1, 2000, 1000, 1, 2000, 1, 2000, 1000, 1, 2000, 1, 1000, 2000, 1, 2000, 1, 2000, 1
import scales all proportionally</t>
      </text>
    </comment>
    <comment ref="AA36" authorId="0" shapeId="0">
      <text>
        <t>fires when: !rank-elite &amp;&amp; steelconsortium_upgrade_quantumweaponpower</t>
      </text>
    </comment>
    <comment ref="K37" authorId="0" shapeId="0">
      <text>
        <t>raw warhead damages: 2000, 1000, 1, 2000, 1000, 1, 2000, 1000, 1, 2000, 1000, 1, 2000, 1, 2000, 1000, 1, 2000, 1, 1000, 2000, 1, 2000, 1, 2000, 1
import scales all proportionally</t>
      </text>
    </comment>
    <comment ref="AA37" authorId="0" shapeId="0">
      <text>
        <t>fires when: rank-elite &amp;&amp; steelconsortium_upgrade_quantumweaponpower</t>
      </text>
    </comment>
    <comment ref="K39" authorId="0" shapeId="0">
      <text>
        <t>raw warhead damages: 4000, 2000, 2, 4000, 2, 600, 4000, 2, 1000
import scales all proportionally</t>
      </text>
    </comment>
    <comment ref="AA39" authorId="0" shapeId="0">
      <text>
        <t>fires when: !rank-elite</t>
      </text>
    </comment>
    <comment ref="K40" authorId="0" shapeId="0">
      <text>
        <t>raw warhead damages: 4000, 2000, 2, 4000, 2, 600, 4000, 2, 1000
import scales all proportionally</t>
      </text>
    </comment>
    <comment ref="AA40" authorId="0" shapeId="0">
      <text>
        <t>fires when: rank-elite</t>
      </text>
    </comment>
    <comment ref="K41" authorId="0" shapeId="0">
      <text>
        <t>raw warhead damages: 4000, 2000, 2, 4000, 2, 600, 4000, 2, 1000
import scales all proportionally</t>
      </text>
    </comment>
    <comment ref="AA41" authorId="0" shapeId="0">
      <text>
        <t>fires when: !rank-elite</t>
      </text>
    </comment>
    <comment ref="K42" authorId="0" shapeId="0">
      <text>
        <t>raw warhead damages: 4000, 2000, 2, 4000, 2, 600, 4000, 2, 1000
import scales all proportionally</t>
      </text>
    </comment>
    <comment ref="AA42" authorId="0" shapeId="0">
      <text>
        <t>fires when: rank-elite</t>
      </text>
    </comment>
    <comment ref="K43" authorId="0" shapeId="0">
      <text>
        <t>raw warhead damages: 4000, 2000, 2, 4000, 2, 600, 4000, 2, 1000
import scales all proportionally</t>
      </text>
    </comment>
    <comment ref="AA43" authorId="0" shapeId="0">
      <text>
        <t>fires when: !rank-elite &amp;&amp; steelconsortium_upgrade_resonanceammo</t>
      </text>
    </comment>
    <comment ref="K44" authorId="0" shapeId="0">
      <text>
        <t>raw warhead damages: 4000, 2000, 2, 4000, 2, 600, 4000, 2, 1000
import scales all proportionally</t>
      </text>
    </comment>
    <comment ref="AA44" authorId="0" shapeId="0">
      <text>
        <t>fires when: rank-elite &amp;&amp; steelconsortium_upgrade_resonanceammo</t>
      </text>
    </comment>
    <comment ref="K45" authorId="0" shapeId="0">
      <text>
        <t>raw warhead damages: 4000, 2000, 2, 4000, 2, 600, 4000, 2, 1000
import scales all proportionally</t>
      </text>
    </comment>
    <comment ref="AA45" authorId="0" shapeId="0">
      <text>
        <t>fires when: !rank-elite &amp;&amp; steelconsortium_upgrade_resonanceammo</t>
      </text>
    </comment>
    <comment ref="K46" authorId="0" shapeId="0">
      <text>
        <t>raw warhead damages: 4000, 2000, 2, 4000, 2, 600, 4000, 2, 1000
import scales all proportionally</t>
      </text>
    </comment>
    <comment ref="AA46" authorId="0" shapeId="0">
      <text>
        <t>fires when: rank-elite &amp;&amp; steelconsortium_upgrade_resonanceammo</t>
      </text>
    </comment>
    <comment ref="K49" authorId="0" shapeId="0">
      <text>
        <t>raw warhead damages: 2000, 1000, 1, 2000, 1000, 1, 2000, 1000, 1, 2000, 1, 600, 2000, 1, 1000, 2000, 1
import scales all proportionally</t>
      </text>
    </comment>
    <comment ref="K50" authorId="0" shapeId="0">
      <text>
        <t>raw warhead damages: 2000, 1000, 1, 2000, 1000, 1, 2000, 1000, 1, 2000, 1, 600, 2000, 1, 1000, 2000, 1
import scales all proportionally</t>
      </text>
    </comment>
    <comment ref="K52" authorId="0" shapeId="0">
      <text>
        <t>raw warhead damages: 2000, 1, 2000, 1, 2000, 1
import scales all proportionally</t>
      </text>
    </comment>
    <comment ref="K54" authorId="0" shapeId="0">
      <text>
        <t>raw warhead damages: 4000, 2, 4000, 2
import scales all proportionally</t>
      </text>
    </comment>
    <comment ref="K56" authorId="0" shapeId="0">
      <text>
        <t>raw warhead damages: 12000, 6000, 6, 12000, 6, 600, 12000, 6, 1000
import scales all proportionally</t>
      </text>
    </comment>
    <comment ref="K58" authorId="0" shapeId="0">
      <text>
        <t>raw warhead damages: 2000, 1, 2000, 1
import scales all proportionally</t>
      </text>
    </comment>
    <comment ref="K59" authorId="0" shapeId="0">
      <text>
        <t>raw warhead damages: 2000, 1, 2000, 1
import scales all proportionally</t>
      </text>
    </comment>
    <comment ref="K60" authorId="0" shapeId="0">
      <text>
        <t>raw warhead damages: 2000, 1, 2000, 1, 2000, 1
import scales all proportionally</t>
      </text>
    </comment>
    <comment ref="K61" authorId="0" shapeId="0">
      <text>
        <t>raw warhead damages: 2000, 1, 2000, 1, 2000, 1
import scales all proportionally</t>
      </text>
    </comment>
    <comment ref="K62" authorId="0" shapeId="0">
      <text>
        <t>raw warhead damages: 2000, 1, 2000, 1
import scales all proportionally</t>
      </text>
    </comment>
    <comment ref="AA62" authorId="0" shapeId="0">
      <text>
        <t>fires when: steelconsortium_upgrade_resonanceammo</t>
      </text>
    </comment>
    <comment ref="K63" authorId="0" shapeId="0">
      <text>
        <t>raw warhead damages: 2000, 1, 2000, 1
import scales all proportionally</t>
      </text>
    </comment>
    <comment ref="AA63" authorId="0" shapeId="0">
      <text>
        <t>fires when: steelconsortium_upgrade_resonanceammo</t>
      </text>
    </comment>
    <comment ref="K64" authorId="0" shapeId="0">
      <text>
        <t>raw warhead damages: 2000, 1, 2000, 1, 2000, 1
import scales all proportionally</t>
      </text>
    </comment>
    <comment ref="AA64" authorId="0" shapeId="0">
      <text>
        <t>fires when: steelconsortium_upgrade_resonanceammo</t>
      </text>
    </comment>
    <comment ref="K65" authorId="0" shapeId="0">
      <text>
        <t>raw warhead damages: 2000, 1, 2000, 1, 2000, 1
import scales all proportionally</t>
      </text>
    </comment>
    <comment ref="AA65" authorId="0" shapeId="0">
      <text>
        <t>fires when: steelconsortium_upgrade_resonanceammo</t>
      </text>
    </comment>
    <comment ref="K69" authorId="0" shapeId="0">
      <text>
        <t>raw warhead damages: 2000, 1000, 1, 2000, 1000, 1, 2000, 1000, 1, 2000, 1
import scales all proportionally</t>
      </text>
    </comment>
    <comment ref="AA69" authorId="0" shapeId="0">
      <text>
        <t>fires when: !rank-elite</t>
      </text>
    </comment>
    <comment ref="K70" authorId="0" shapeId="0">
      <text>
        <t>raw warhead damages: 2000, 1000, 1, 2000, 1000, 1, 2000, 1000, 1, 2000, 1
import scales all proportionally</t>
      </text>
    </comment>
    <comment ref="AA70" authorId="0" shapeId="0">
      <text>
        <t>fires when: rank-elite</t>
      </text>
    </comment>
    <comment ref="K72" authorId="0" shapeId="0">
      <text>
        <t>raw warhead damages: 4000, 2, 1000, 4000, 2, 4000, 2, 4000, 2
import scales all proportionally</t>
      </text>
    </comment>
    <comment ref="AA72" authorId="0" shapeId="0">
      <text>
        <t>fires when: !rank-elite &amp;&amp; !steelconsortium_upgrade_quantumweaponpower</t>
      </text>
    </comment>
    <comment ref="K73" authorId="0" shapeId="0">
      <text>
        <t>raw warhead damages: 4000, 2, 1000, 4000, 2, 4000, 2, 4000, 2
import scales all proportionally</t>
      </text>
    </comment>
    <comment ref="AA73" authorId="0" shapeId="0">
      <text>
        <t>fires when: rank-elite &amp;&amp; !steelconsortium_upgrade_quantumweaponpower</t>
      </text>
    </comment>
    <comment ref="K74" authorId="0" shapeId="0">
      <text>
        <t>raw warhead damages: 2000, 1000, 1, 2000, 1000, 1, 2000, 1000, 1, 2000, 1000, 1, 2000, 1, 2000, 1000, 1, 2000, 1, 1000, 2000, 1, 2000, 1, 2000, 1
import scales all proportionally</t>
      </text>
    </comment>
    <comment ref="AA74" authorId="0" shapeId="0">
      <text>
        <t>fires when: !rank-elite &amp;&amp; steelconsortium_upgrade_quantumweaponpower</t>
      </text>
    </comment>
    <comment ref="K75" authorId="0" shapeId="0">
      <text>
        <t>raw warhead damages: 2000, 1000, 1, 2000, 1000, 1, 2000, 1000, 1, 2000, 1000, 1, 2000, 1, 2000, 1000, 1, 2000, 1, 1000, 2000, 1, 2000, 1, 2000, 1
import scales all proportionally</t>
      </text>
    </comment>
    <comment ref="AA75" authorId="0" shapeId="0">
      <text>
        <t>fires when: rank-elite &amp;&amp; steelconsortium_upgrade_quantumweaponpower</t>
      </text>
    </comment>
    <comment ref="K77" authorId="0" shapeId="0">
      <text>
        <t>raw warhead damages: 24000, 12
import scales all proportionally</t>
      </text>
    </comment>
    <comment ref="AA77" authorId="0" shapeId="0">
      <text>
        <t>fires when: undeployed</t>
      </text>
    </comment>
    <comment ref="K78" authorId="0" shapeId="0">
      <text>
        <t>raw warhead damages: 11111, 11111, 11, 11111, 11, 11111, 11
import scales all proportionally</t>
      </text>
    </comment>
    <comment ref="AA78" authorId="0" shapeId="0">
      <text>
        <t>fires when: deployed</t>
      </text>
    </comment>
    <comment ref="AA79" authorId="0" shapeId="0">
      <text>
        <t>fires when: botmicro</t>
      </text>
    </comment>
    <comment ref="K81" authorId="0" shapeId="0">
      <text>
        <t>raw warhead damages: 10000, 5000, 5, 10000, 5000, 5, 10000, 5
import scales all proportionally</t>
      </text>
    </comment>
    <comment ref="AA81" authorId="0" shapeId="0">
      <text>
        <t>fires when: !rank-elite &amp;&amp; !steelconsortium_upgrade_quantumweaponpower</t>
      </text>
    </comment>
    <comment ref="K82" authorId="0" shapeId="0">
      <text>
        <t>raw warhead damages: 10000, 5000, 5, 10000, 5000, 5, 10000, 5
import scales all proportionally</t>
      </text>
    </comment>
    <comment ref="AA82" authorId="0" shapeId="0">
      <text>
        <t>fires when: rank-elite &amp;&amp; !steelconsortium_upgrade_quantumweaponpower</t>
      </text>
    </comment>
    <comment ref="K83" authorId="0" shapeId="0">
      <text>
        <t>raw warhead damages: 10000, 5, 10000, 5000, 5, 10000, 5000, 5, 10000, 5000, 5, 10000, 5
import scales all proportionally</t>
      </text>
    </comment>
    <comment ref="AA83" authorId="0" shapeId="0">
      <text>
        <t>fires when: !rank-elite &amp;&amp; steelconsortium_upgrade_quantumweaponpower</t>
      </text>
    </comment>
    <comment ref="K84" authorId="0" shapeId="0">
      <text>
        <t>raw warhead damages: 10000, 5, 10000, 5000, 5, 10000, 5000, 5, 10000, 5000, 5, 10000, 5
import scales all proportionally</t>
      </text>
    </comment>
    <comment ref="AA84" authorId="0" shapeId="0">
      <text>
        <t>fires when: rank-elite &amp;&amp; steelconsortium_upgrade_quantumweaponpower</t>
      </text>
    </comment>
    <comment ref="K86" authorId="0" shapeId="0">
      <text>
        <t>raw warhead damages: 2000, 1000, 1, 2000, 1000, 1, 2000, 1, 1000, 2000, 1
import scales all proportionally</t>
      </text>
    </comment>
    <comment ref="AA86" authorId="0" shapeId="0">
      <text>
        <t>fires when: !rank-elite &amp;&amp; !steelconsortium_upgrade_quantumweaponpower</t>
      </text>
    </comment>
    <comment ref="K87" authorId="0" shapeId="0">
      <text>
        <t>raw warhead damages: 2000, 1000, 1, 2000, 1000, 1, 2000, 1, 1000, 2000, 1
import scales all proportionally</t>
      </text>
    </comment>
    <comment ref="AA87" authorId="0" shapeId="0">
      <text>
        <t>fires when: rank-elite &amp;&amp; !steelconsortium_upgrade_quantumweaponpower</t>
      </text>
    </comment>
    <comment ref="K88" authorId="0" shapeId="0">
      <text>
        <t>raw warhead damages: 2000, 1000, 1, 2000, 1000, 1, 2000, 1000, 1, 2000, 1000, 1, 2000, 1, 1000, 2000, 1
import scales all proportionally</t>
      </text>
    </comment>
    <comment ref="AA88" authorId="0" shapeId="0">
      <text>
        <t>fires when: !rank-elite &amp;&amp; steelconsortium_upgrade_quantumweaponpower</t>
      </text>
    </comment>
    <comment ref="K89" authorId="0" shapeId="0">
      <text>
        <t>raw warhead damages: 2000, 1000, 1, 2000, 1000, 1, 2000, 1000, 1, 2000, 1000, 1, 2000, 1, 1000, 2000, 1
import scales all proportionally</t>
      </text>
    </comment>
    <comment ref="AA89" authorId="0" shapeId="0">
      <text>
        <t>fires when: rank-elite &amp;&amp; steelconsortium_upgrade_quantumweaponpower</t>
      </text>
    </comment>
    <comment ref="K91" authorId="0" shapeId="0">
      <text>
        <t>raw warhead damages: 2000, 1, 2000, 1, 2000, 1, 2000, 1
import scales all proportionally</t>
      </text>
    </comment>
    <comment ref="K92" authorId="0" shapeId="0">
      <text>
        <t>raw warhead damages: 2000, 1, 2000, 1, 2000, 1, 2000, 1
import scales all proportionally</t>
      </text>
    </comment>
    <comment ref="K93" authorId="0" shapeId="0">
      <text>
        <t>raw warhead damages: 2000, 1, 2000, 1, 2000, 1, 2000, 1
import scales all proportionally</t>
      </text>
    </comment>
    <comment ref="K94" authorId="0" shapeId="0">
      <text>
        <t>raw warhead damages: 2000, 1, 2000, 1, 2000, 1, 2000, 1
import scales all proportionally</t>
      </text>
    </comment>
    <comment ref="K95" authorId="0" shapeId="0">
      <text>
        <t>raw warhead damages: 2000, 1, 2000, 1, 2000, 1, 2000, 1
import scales all proportionally</t>
      </text>
    </comment>
    <comment ref="AA95" authorId="0" shapeId="0">
      <text>
        <t>fires when: steelconsortium_upgrade_resonanceammo</t>
      </text>
    </comment>
    <comment ref="K96" authorId="0" shapeId="0">
      <text>
        <t>raw warhead damages: 2000, 1, 2000, 1, 2000, 1, 2000, 1
import scales all proportionally</t>
      </text>
    </comment>
    <comment ref="AA96" authorId="0" shapeId="0">
      <text>
        <t>fires when: steelconsortium_upgrade_resonanceammo</t>
      </text>
    </comment>
    <comment ref="K97" authorId="0" shapeId="0">
      <text>
        <t>raw warhead damages: 2000, 1, 2000, 1, 2000, 1, 2000, 1
import scales all proportionally</t>
      </text>
    </comment>
    <comment ref="AA97" authorId="0" shapeId="0">
      <text>
        <t>fires when: steelconsortium_upgrade_resonanceammo</t>
      </text>
    </comment>
    <comment ref="K98" authorId="0" shapeId="0">
      <text>
        <t>raw warhead damages: 2000, 1, 2000, 1, 2000, 1, 2000, 1
import scales all proportionally</t>
      </text>
    </comment>
    <comment ref="AA98" authorId="0" shapeId="0">
      <text>
        <t>fires when: steelconsortium_upgrade_resonanceammo</t>
      </text>
    </comment>
    <comment ref="K100" authorId="0" shapeId="0">
      <text>
        <t>raw warhead damages: 20000, 10000, 10, 20000, 10, 600, 20000, 10000, 10
import scales all proportionally</t>
      </text>
    </comment>
    <comment ref="AA100" authorId="0" shapeId="0">
      <text>
        <t>fires when: !rank-elite</t>
      </text>
    </comment>
    <comment ref="K101" authorId="0" shapeId="0">
      <text>
        <t>raw warhead damages: 30000, 15000, 15, 30000, 15, 600, 30000, 15000, 15
import scales all proportionally</t>
      </text>
    </comment>
    <comment ref="AA101" authorId="0" shapeId="0">
      <text>
        <t>fires when: !rank-elite &amp;&amp; steelconsortium_upgrade_quantumweaponpower</t>
      </text>
    </comment>
    <comment ref="K102" authorId="0" shapeId="0">
      <text>
        <t>raw warhead damages: 30000, 15, 1000, 30000, 15000, 15, 30000, 15, 600, 30000, 15000, 15
import scales all proportionally</t>
      </text>
    </comment>
    <comment ref="AA102" authorId="0" shapeId="0">
      <text>
        <t>fires when: rank-elite</t>
      </text>
    </comment>
    <comment ref="K104" authorId="0" shapeId="0">
      <text>
        <t>raw warhead damages: 14000, 7
import scales all proportionally</t>
      </text>
    </comment>
    <comment ref="K106" authorId="0" shapeId="0">
      <text>
        <t>raw warhead damages: 12000, 6, 600, 12000, 6, 1000
import scales all proportionally</t>
      </text>
    </comment>
    <comment ref="AA106" authorId="0" shapeId="0">
      <text>
        <t>fires when: !rank-elite &amp;&amp; !steelconsortium_upgrade_quantumweaponpower</t>
      </text>
    </comment>
    <comment ref="K107" authorId="0" shapeId="0">
      <text>
        <t>raw warhead damages: 8000, 4000, 4, 8000, 4, 600, 8000, 4, 1000
import scales all proportionally</t>
      </text>
    </comment>
    <comment ref="AA107" authorId="0" shapeId="0">
      <text>
        <t>fires when: !rank-elite &amp;&amp; steelconsortium_upgrade_quantumweaponpower</t>
      </text>
    </comment>
    <comment ref="K108" authorId="0" shapeId="0">
      <text>
        <t>raw warhead damages: 12000, 6000, 6, 12000, 6, 600, 12000, 6, 1000
import scales all proportionally</t>
      </text>
    </comment>
    <comment ref="AA108" authorId="0" shapeId="0">
      <text>
        <t>fires when: rank-elite</t>
      </text>
    </comment>
    <comment ref="K110" authorId="0" shapeId="0">
      <text>
        <t>raw warhead damages: 60000, 30, 600, 60000, 30, 1000
import scales all proportionally</t>
      </text>
    </comment>
    <comment ref="AA110" authorId="0" shapeId="0">
      <text>
        <t>fires when: !rank-elite &amp;&amp; !steelconsortium_upgrade_quantumweaponpower</t>
      </text>
    </comment>
    <comment ref="K111" authorId="0" shapeId="0">
      <text>
        <t>raw warhead damages: 40000, 20000, 20, 40000, 20, 600, 40000, 20, 1000
import scales all proportionally</t>
      </text>
    </comment>
    <comment ref="AA111" authorId="0" shapeId="0">
      <text>
        <t>fires when: !rank-elite &amp;&amp; steelconsortium_upgrade_quantumweaponpower</t>
      </text>
    </comment>
    <comment ref="K112" authorId="0" shapeId="0">
      <text>
        <t>raw warhead damages: 60000, 30000, 30, 60000, 30, 600, 60000, 30, 1000
import scales all proportionally</t>
      </text>
    </comment>
    <comment ref="AA112" authorId="0" shapeId="0">
      <text>
        <t>fires when: rank-elite</t>
      </text>
    </comment>
    <comment ref="K116" authorId="0" shapeId="0">
      <text>
        <t>raw warhead damages: 4000, 2, 4000, 2, 4000, 2, 4000, 2, 4000, 2
import scales all proportionally</t>
      </text>
    </comment>
    <comment ref="K119" authorId="0" shapeId="0">
      <text>
        <t>raw warhead damages: 2000, 1, 600, 2000, 1, 1000, 2000, 1, 2000, 1, 2000, 1
import scales all proportionally</t>
      </text>
    </comment>
    <comment ref="K120" authorId="0" shapeId="0">
      <text>
        <t>raw warhead damages: 2000, 1000, 1, 2000, 1000, 1, 2000, 1000, 1, 2000, 1000, 1, 2000, 1, 1000, 2000, 1
import scales all proportionally</t>
      </text>
    </comment>
    <comment ref="AA120" authorId="0" shapeId="0">
      <text>
        <t>fires when: steelconsortium_upgrade_quantumweaponpower</t>
      </text>
    </comment>
    <comment ref="K122" authorId="0" shapeId="0">
      <text>
        <t>raw warhead damages: 4000, 2, 1000, 4000, 2, 4000, 2, 4000, 2
import scales all proportionally</t>
      </text>
    </comment>
    <comment ref="AA122" authorId="0" shapeId="0">
      <text>
        <t>fires when: !steelconsortium_upgrade_quantumweaponpower</t>
      </text>
    </comment>
    <comment ref="K123" authorId="0" shapeId="0">
      <text>
        <t>raw warhead damages: 2000, 1000, 1, 2000, 1000, 1, 2000, 1000, 1, 2000, 1000, 1, 2000, 1, 2000, 1000, 1, 2000, 1, 1000, 2000, 1, 2000, 1, 2000, 1
import scales all proportionally</t>
      </text>
    </comment>
    <comment ref="AA123" authorId="0" shapeId="0">
      <text>
        <t>fires when: steelconsortium_upgrade_quantumweaponpower</t>
      </text>
    </comment>
    <comment ref="K125" authorId="0" shapeId="0">
      <text>
        <t>raw warhead damages: 2000, 1, 2000, 1, 2000, 1, 2000, 1
import scales all proportionally</t>
      </text>
    </comment>
    <comment ref="K127" authorId="0" shapeId="0">
      <text>
        <t>raw warhead damages: 2000, 1000, 1, 2000, 1000, 1, 2000, 1000, 1, 2000, 1, 600, 2000, 1, 1000, 2000, 1
import scales all proportionally</t>
      </text>
    </comment>
    <comment ref="AA127" authorId="0" shapeId="0">
      <text>
        <t>fires when: !steelconsortium_upgrade_quantumweaponpower</t>
      </text>
    </comment>
    <comment ref="K128" authorId="0" shapeId="0">
      <text>
        <t>raw warhead damages: 2000, 1000, 1, 2000, 1000, 1, 2000, 1000, 1, 2000, 1, 600, 2000, 1, 1000, 2000, 1
import scales all proportionally</t>
      </text>
    </comment>
    <comment ref="AA128" authorId="0" shapeId="0">
      <text>
        <t>fires when: steelconsortium_upgrade_quantumweaponpower</t>
      </text>
    </comment>
    <comment ref="K130" authorId="0" shapeId="0">
      <text>
        <t>raw warhead damages: 2000, 1, 2000, 1
import scales all proportionally</t>
      </text>
    </comment>
    <comment ref="K132" authorId="0" shapeId="0">
      <text>
        <t>raw warhead damages: 2000, 1, 2000, 1, 2000, 1, 2000, 1
import scales all proportionally</t>
      </text>
    </comment>
    <comment ref="AA132" authorId="0" shapeId="0">
      <text>
        <t>fires when: !rank-elite</t>
      </text>
    </comment>
    <comment ref="K133" authorId="0" shapeId="0">
      <text>
        <t>raw warhead damages: 2000, 1, 2000, 1, 2000, 1, 2000, 1
import scales all proportionally</t>
      </text>
    </comment>
    <comment ref="AA133" authorId="0" shapeId="0">
      <text>
        <t>fires when: rank-elite</t>
      </text>
    </comment>
    <comment ref="K134" authorId="0" shapeId="0">
      <text>
        <t>raw warhead damages: 16000, 8, 16000, 8000, 8
import scales all proportionally</t>
      </text>
    </comment>
    <comment ref="AA134" authorId="0" shapeId="0">
      <text>
        <t>fires when: steelconsortium_upgrade_quantumweaponpower &amp;&amp; !rank-elite</t>
      </text>
    </comment>
    <comment ref="K135" authorId="0" shapeId="0">
      <text>
        <t>raw warhead damages: 16000, 8, 16000, 8000, 8
import scales all proportionally</t>
      </text>
    </comment>
    <comment ref="AA135" authorId="0" shapeId="0">
      <text>
        <t>fires when: steelconsortium_upgrade_quantumweaponpower &amp;&amp; rank-elite</t>
      </text>
    </comment>
    <comment ref="K137" authorId="0" shapeId="0">
      <text>
        <t>raw warhead damages: 100000, 50000, 50, 100000, 50000, 50, 50000, 25
import scales all proportionally</t>
      </text>
    </comment>
    <comment ref="K139" authorId="0" shapeId="0">
      <text>
        <t>raw warhead damages: 24000, 12, 600, 24000, 12, 1000
import scales all proportionally</t>
      </text>
    </comment>
    <comment ref="AA139" authorId="0" shapeId="0">
      <text>
        <t>fires when: !rank-elite</t>
      </text>
    </comment>
    <comment ref="K140" authorId="0" shapeId="0">
      <text>
        <t>raw warhead damages: 16000, 8000, 8, 16000, 8, 600, 16000, 8, 1000
import scales all proportionally</t>
      </text>
    </comment>
    <comment ref="AA140" authorId="0" shapeId="0">
      <text>
        <t>fires when: !rank-elite &amp;&amp; steelconsortium_upgrade_quantumweaponpower</t>
      </text>
    </comment>
    <comment ref="K141" authorId="0" shapeId="0">
      <text>
        <t>raw warhead damages: 24000, 12000, 12, 24000, 12, 600, 24000, 12, 1000
import scales all proportionally</t>
      </text>
    </comment>
    <comment ref="AA141" authorId="0" shapeId="0">
      <text>
        <t>fires when: rank-elite</t>
      </text>
    </comment>
    <comment ref="K143" authorId="0" shapeId="0">
      <text>
        <t>raw warhead damages: 2000, 1000, 1, 2000, 1000, 1, 2000, 1, 2000, 1, 2000, 1
import scales all proportionally</t>
      </text>
    </comment>
    <comment ref="AA143" authorId="0" shapeId="0">
      <text>
        <t>fires when: !rank-elite</t>
      </text>
    </comment>
    <comment ref="K144" authorId="0" shapeId="0">
      <text>
        <t>raw warhead damages: 2000, 1000, 1, 2000, 1000, 1, 2000, 1, 2000, 1, 2000, 1
import scales all proportionally</t>
      </text>
    </comment>
    <comment ref="AA144" authorId="0" shapeId="0">
      <text>
        <t>fires when: rank-elite</t>
      </text>
    </comment>
    <comment ref="AA147" authorId="0" shapeId="0">
      <text>
        <t>fires when: steelconsortium_upgrade_scalpeldefenders</t>
      </text>
    </comment>
    <comment ref="K148" authorId="0" shapeId="0">
      <text>
        <t>raw warhead damages: 6000, 3000, 3, 6000, 3, 6000, 3, 6000, 3
import scales all proportionally</t>
      </text>
    </comment>
    <comment ref="AA148" authorId="0" shapeId="0">
      <text>
        <t>fires when: !steelconsortium_upgrade_quantumweaponpower</t>
      </text>
    </comment>
    <comment ref="K149" authorId="0" shapeId="0">
      <text>
        <t>raw warhead damages: 6000, 3000, 3, 6000, 3, 6000, 3, 6000, 3
import scales all proportionally</t>
      </text>
    </comment>
    <comment ref="AA149" authorId="0" shapeId="0">
      <text>
        <t>fires when: steelconsortium_upgrade_quantumweaponpower</t>
      </text>
    </comment>
    <comment ref="K152" authorId="0" shapeId="0">
      <text>
        <t>raw warhead damages: 250000, 125000, 125, 250000, 125, 888, 250000, 125, 600, 250000, 125, 1000
import scales all proportionally</t>
      </text>
    </comment>
    <comment ref="K154" authorId="0" shapeId="0">
      <text>
        <t>raw warhead damages: 250000, 125000, 125, 250000, 125, 888, 250000, 125, 600, 250000, 125, 1000
import scales all proportionally</t>
      </text>
    </comment>
    <comment ref="AA163" authorId="0" shapeId="0">
      <text>
        <t>fires when: steelconsortium_upgrade_scalpeldefenders</t>
      </text>
    </comment>
    <comment ref="K164" authorId="0" shapeId="0">
      <text>
        <t>raw warhead damages: 2000, 1, 2000, 1, 2000, 1
import scales all proportionally</t>
      </text>
    </comment>
    <comment ref="K165" authorId="0" shapeId="0">
      <text>
        <t>raw warhead damages: 2000, 1, 2000, 1, 2000, 1
import scales all proportionally</t>
      </text>
    </comment>
    <comment ref="AA165" authorId="0" shapeId="0">
      <text>
        <t>fires when: steelconsortium_upgrade_resonanceammo</t>
      </text>
    </comment>
    <comment ref="AA170" authorId="0" shapeId="0">
      <text>
        <t>fires when: steelconsortium_upgrade_scalpeldefenders</t>
      </text>
    </comment>
    <comment ref="K171" authorId="0" shapeId="0">
      <text>
        <t>raw warhead damages: 2000, 1000, 1, 2000, 1000, 1, 2000, 1000, 1, 2000, 1, 600, 2000, 1, 1000, 2000, 1
import scales all proportionally</t>
      </text>
    </comment>
    <comment ref="AA171" authorId="0" shapeId="0">
      <text>
        <t>fires when: !steelconsortium_upgrade_quantumweaponpower</t>
      </text>
    </comment>
    <comment ref="K172" authorId="0" shapeId="0">
      <text>
        <t>raw warhead damages: 2000, 1000, 1, 2000, 1000, 1, 2000, 1000, 1, 2000, 1, 600, 2000, 1, 1000, 2000, 1
import scales all proportionally</t>
      </text>
    </comment>
    <comment ref="AA172" authorId="0" shapeId="0">
      <text>
        <t>fires when: !steelconsortium_upgrade_quantumweaponpower</t>
      </text>
    </comment>
    <comment ref="K173" authorId="0" shapeId="0">
      <text>
        <t>raw warhead damages: 2000, 1000, 1, 2000, 1000, 1, 2000, 1000, 1, 2000, 1, 600, 2000, 1, 1000, 2000, 1
import scales all proportionally</t>
      </text>
    </comment>
    <comment ref="AA173" authorId="0" shapeId="0">
      <text>
        <t>fires when: steelconsortium_upgrade_quantumweaponpower</t>
      </text>
    </comment>
    <comment ref="K174" authorId="0" shapeId="0">
      <text>
        <t>raw warhead damages: 2000, 1000, 1, 2000, 1000, 1, 2000, 1000, 1, 2000, 1, 600, 2000, 1, 1000, 2000, 1
import scales all proportionally</t>
      </text>
    </comment>
    <comment ref="AA174" authorId="0" shapeId="0">
      <text>
        <t>fires when: steelconsortium_upgrade_quantumweaponpower</t>
      </text>
    </comment>
  </commentList>
</comments>
</file>

<file path=xl/comments/comment10.xml><?xml version="1.0" encoding="utf-8"?>
<comments xmlns="http://schemas.openxmlformats.org/spreadsheetml/2006/main">
  <authors>
    <author>balance-pipeline</author>
  </authors>
  <commentList>
    <comment ref="K4" authorId="0" shapeId="0">
      <text>
        <t>raw warhead damages: 10000, 5
import scales all proportionally</t>
      </text>
    </comment>
    <comment ref="AA4" authorId="0" shapeId="0">
      <text>
        <t>fires when: !rank-elite</t>
      </text>
    </comment>
    <comment ref="K5" authorId="0" shapeId="0">
      <text>
        <t>raw warhead damages: 10000, 5
import scales all proportionally</t>
      </text>
    </comment>
    <comment ref="AA5" authorId="0" shapeId="0">
      <text>
        <t>fires when: rank-elite</t>
      </text>
    </comment>
    <comment ref="K6" authorId="0" shapeId="0">
      <text>
        <t>raw warhead damages: 10000, 5
import scales all proportionally</t>
      </text>
    </comment>
    <comment ref="AA6" authorId="0" shapeId="0">
      <text>
        <t>fires when: !rank-elite</t>
      </text>
    </comment>
    <comment ref="K7" authorId="0" shapeId="0">
      <text>
        <t>raw warhead damages: 10000, 5
import scales all proportionally</t>
      </text>
    </comment>
    <comment ref="AA7" authorId="0" shapeId="0">
      <text>
        <t>fires when: rank-elite</t>
      </text>
    </comment>
    <comment ref="K10" authorId="0" shapeId="0">
      <text>
        <t>raw warhead damages: 2000, 1, 2000, 1000, 1, 2000, 1, 1000, 2000, 1
import scales all proportionally</t>
      </text>
    </comment>
    <comment ref="AA10" authorId="0" shapeId="0">
      <text>
        <t>fires when: !rank-elite</t>
      </text>
    </comment>
    <comment ref="K11" authorId="0" shapeId="0">
      <text>
        <t>raw warhead damages: 2000, 1, 2000, 1000, 1, 2000, 1, 1000, 2000, 1
import scales all proportionally</t>
      </text>
    </comment>
    <comment ref="AA11" authorId="0" shapeId="0">
      <text>
        <t>fires when: rank-elite</t>
      </text>
    </comment>
    <comment ref="K13" authorId="0" shapeId="0">
      <text>
        <t>raw warhead damages: 2000, 1, 2000, 1, 2000, 1, 2000, 1, 2000, 1000, 1, 2000, 1, 600
import scales all proportionally</t>
      </text>
    </comment>
    <comment ref="K14" authorId="0" shapeId="0">
      <text>
        <t>raw warhead damages: 2000, 1, 2000, 1, 2000, 1, 2000, 1, 2000, 1000, 1, 2000, 1, 600
import scales all proportionally</t>
      </text>
    </comment>
    <comment ref="K16" authorId="0" shapeId="0">
      <text>
        <t>raw warhead damages: 2000, 1000, 1, 2000, 1000, 1, 2000, 1, 2000, 1, 2000, 1, 2000, 1
import scales all proportionally</t>
      </text>
    </comment>
    <comment ref="AA16" authorId="0" shapeId="0">
      <text>
        <t>fires when: !deployed &amp;&amp; !rank-elite</t>
      </text>
    </comment>
    <comment ref="K17" authorId="0" shapeId="0">
      <text>
        <t>raw warhead damages: 2000, 1000, 1, 2000, 1000, 1, 2000, 1, 2000, 1, 2000, 1, 2000, 1
import scales all proportionally</t>
      </text>
    </comment>
    <comment ref="AA17" authorId="0" shapeId="0">
      <text>
        <t>fires when: deployed &amp;&amp; !rank-elite</t>
      </text>
    </comment>
    <comment ref="K18" authorId="0" shapeId="0">
      <text>
        <t>raw warhead damages: 2000, 1000, 1, 2000, 1000, 1, 2000, 1, 2000, 1, 2000, 1, 2000, 1
import scales all proportionally</t>
      </text>
    </comment>
    <comment ref="AA18" authorId="0" shapeId="0">
      <text>
        <t>fires when: !rank-elite</t>
      </text>
    </comment>
    <comment ref="K19" authorId="0" shapeId="0">
      <text>
        <t>raw warhead damages: 2000, 1000, 1, 2000, 1000, 1, 2000, 1, 2000, 1, 2000, 1, 2000, 1
import scales all proportionally</t>
      </text>
    </comment>
    <comment ref="AA19" authorId="0" shapeId="0">
      <text>
        <t>fires when: !deployed &amp;&amp; rank-elite</t>
      </text>
    </comment>
    <comment ref="K20" authorId="0" shapeId="0">
      <text>
        <t>raw warhead damages: 2000, 1000, 1, 2000, 1000, 1, 2000, 1, 2000, 1, 2000, 1, 2000, 1
import scales all proportionally</t>
      </text>
    </comment>
    <comment ref="AA20" authorId="0" shapeId="0">
      <text>
        <t>fires when: deployed &amp;&amp; rank-elite</t>
      </text>
    </comment>
    <comment ref="K21" authorId="0" shapeId="0">
      <text>
        <t>raw warhead damages: 2000, 1000, 1, 2000, 1000, 1, 2000, 1, 2000, 1, 2000, 1, 2000, 1
import scales all proportionally</t>
      </text>
    </comment>
    <comment ref="AA21" authorId="0" shapeId="0">
      <text>
        <t>fires when: rank-elite</t>
      </text>
    </comment>
    <comment ref="AA22" authorId="0" shapeId="0">
      <text>
        <t>fires when: botmicro</t>
      </text>
    </comment>
    <comment ref="K27" authorId="0" shapeId="0">
      <text>
        <t>raw warhead damages: 2000, 1, 2000, 1, 2000, 1, 2000, 1000, 1, 2000, 1
import scales all proportionally</t>
      </text>
    </comment>
    <comment ref="AA27" authorId="0" shapeId="0">
      <text>
        <t>fires when: !deployed &amp;&amp; !rank-elite</t>
      </text>
    </comment>
    <comment ref="K28" authorId="0" shapeId="0">
      <text>
        <t>raw warhead damages: 2000, 1, 2000, 1, 2000, 1, 2000, 1000, 1, 2000, 1
import scales all proportionally</t>
      </text>
    </comment>
    <comment ref="AA28" authorId="0" shapeId="0">
      <text>
        <t>fires when: deployed &amp;&amp; !rank-elite</t>
      </text>
    </comment>
    <comment ref="K29" authorId="0" shapeId="0">
      <text>
        <t>raw warhead damages: 2000, 1, 2000, 1, 2000, 1, 2000, 1000, 1, 2000, 1
import scales all proportionally</t>
      </text>
    </comment>
    <comment ref="AA29" authorId="0" shapeId="0">
      <text>
        <t>fires when: !rank-elite</t>
      </text>
    </comment>
    <comment ref="K30" authorId="0" shapeId="0">
      <text>
        <t>raw warhead damages: 2000, 1, 2000, 1, 2000, 1, 2000, 1000, 1, 2000, 1
import scales all proportionally</t>
      </text>
    </comment>
    <comment ref="AA30" authorId="0" shapeId="0">
      <text>
        <t>fires when: !deployed &amp;&amp; rank-elite</t>
      </text>
    </comment>
    <comment ref="K31" authorId="0" shapeId="0">
      <text>
        <t>raw warhead damages: 2000, 1, 2000, 1, 2000, 1, 2000, 1000, 1, 2000, 1
import scales all proportionally</t>
      </text>
    </comment>
    <comment ref="AA31" authorId="0" shapeId="0">
      <text>
        <t>fires when: deployed &amp;&amp; rank-elite</t>
      </text>
    </comment>
    <comment ref="K32" authorId="0" shapeId="0">
      <text>
        <t>raw warhead damages: 2000, 1, 2000, 1, 2000, 1, 2000, 1000, 1, 2000, 1
import scales all proportionally</t>
      </text>
    </comment>
    <comment ref="AA32" authorId="0" shapeId="0">
      <text>
        <t>fires when: rank-elite</t>
      </text>
    </comment>
    <comment ref="AA33" authorId="0" shapeId="0">
      <text>
        <t>fires when: botmicro</t>
      </text>
    </comment>
    <comment ref="K35" authorId="0" shapeId="0">
      <text>
        <t>raw warhead damages: 12000, 6, 12000, 6
import scales all proportionally</t>
      </text>
    </comment>
    <comment ref="AA35" authorId="0" shapeId="0">
      <text>
        <t>fires when: !rank-elite</t>
      </text>
    </comment>
    <comment ref="K36" authorId="0" shapeId="0">
      <text>
        <t>raw warhead damages: 12000, 6, 12000, 6
import scales all proportionally</t>
      </text>
    </comment>
    <comment ref="AA36" authorId="0" shapeId="0">
      <text>
        <t>fires when: rank-elite</t>
      </text>
    </comment>
    <comment ref="K38" authorId="0" shapeId="0">
      <text>
        <t>raw warhead damages: -2000, -1000, -1
import scales all proportionally</t>
      </text>
    </comment>
    <comment ref="K40" authorId="0" shapeId="0">
      <text>
        <t>raw warhead damages: 2000, 1, 2000, 1
import scales all proportionally</t>
      </text>
    </comment>
    <comment ref="AA40" authorId="0" shapeId="0">
      <text>
        <t>fires when: !rank-elite</t>
      </text>
    </comment>
    <comment ref="K41" authorId="0" shapeId="0">
      <text>
        <t>raw warhead damages: 2000, 1, 1000, 1
import scales all proportionally</t>
      </text>
    </comment>
    <comment ref="AA41" authorId="0" shapeId="0">
      <text>
        <t>fires when: rank-elite</t>
      </text>
    </comment>
    <comment ref="K43" authorId="0" shapeId="0">
      <text>
        <t>raw warhead damages: 2000, 1000, 1, 2000, 1000, 1, 2000, 1, 2000, 1, 2000, 1, 2000, 1
import scales all proportionally</t>
      </text>
    </comment>
    <comment ref="AA43" authorId="0" shapeId="0">
      <text>
        <t>fires when: !rank-elite</t>
      </text>
    </comment>
    <comment ref="K44" authorId="0" shapeId="0">
      <text>
        <t>raw warhead damages: 2000, 1000, 1, 2000, 1000, 1, 2000, 1, 2000, 1, 2000, 1, 1000, 1
import scales all proportionally</t>
      </text>
    </comment>
    <comment ref="AA44" authorId="0" shapeId="0">
      <text>
        <t>fires when: rank-elite</t>
      </text>
    </comment>
    <comment ref="K45" authorId="0" shapeId="0">
      <text>
        <t>raw warhead damages: 2000, 1000, 1, 2000, 1000, 1, 2000, 1, 2000, 1, 2000, 1, 2000, 1
import scales all proportionally</t>
      </text>
    </comment>
    <comment ref="AA45" authorId="0" shapeId="0">
      <text>
        <t>fires when: !rank-elite</t>
      </text>
    </comment>
    <comment ref="K46" authorId="0" shapeId="0">
      <text>
        <t>raw warhead damages: 2000, 1000, 1, 2000, 1000, 1, 2000, 1, 2000, 1, 2000, 1, 1000, 1
import scales all proportionally</t>
      </text>
    </comment>
    <comment ref="AA46" authorId="0" shapeId="0">
      <text>
        <t>fires when: rank-elite</t>
      </text>
    </comment>
    <comment ref="K50" authorId="0" shapeId="0">
      <text>
        <t>raw warhead damages: 32000, 16, 32000, 16, 32000, 16, 32000, 16, 32000, 1000, 16, 32000, 16, 600
import scales all proportionally</t>
      </text>
    </comment>
    <comment ref="AA50" authorId="0" shapeId="0">
      <text>
        <t>fires when: athena-charged == 1</t>
      </text>
    </comment>
    <comment ref="K55" authorId="0" shapeId="0">
      <text>
        <t>raw warhead damages: 50000, 25000, 25
import scales all proportionally</t>
      </text>
    </comment>
    <comment ref="K58" authorId="0" shapeId="0">
      <text>
        <t>raw warhead damages: 100000, 50000, 50, 100000, 50000, 50, 100000, 50000, 50, 100000, 50000, 50, 100000, 50, 888, 100000, 50
import scales all proportionally</t>
      </text>
    </comment>
    <comment ref="AA58" authorId="0" shapeId="0">
      <text>
        <t>fires when: !rank-elite</t>
      </text>
    </comment>
    <comment ref="K59" authorId="0" shapeId="0">
      <text>
        <t>raw warhead damages: 100000, 50000, 50, 100000, 50000, 50, 100000, 50000, 50, 100000, 50000, 50, 100000, 50, 888, 100000, 50
import scales all proportionally</t>
      </text>
    </comment>
    <comment ref="AA59" authorId="0" shapeId="0">
      <text>
        <t>fires when: rank-elite</t>
      </text>
    </comment>
    <comment ref="K61" authorId="0" shapeId="0">
      <text>
        <t>raw warhead damages: 12000, 6
import scales all proportionally</t>
      </text>
    </comment>
    <comment ref="AA61" authorId="0" shapeId="0">
      <text>
        <t>fires when: !deployed &amp;&amp; !rank-elite</t>
      </text>
    </comment>
    <comment ref="K62" authorId="0" shapeId="0">
      <text>
        <t>raw warhead damages: 12000, 6
import scales all proportionally</t>
      </text>
    </comment>
    <comment ref="AA62" authorId="0" shapeId="0">
      <text>
        <t>fires when: !deployed &amp;&amp; rank-elite</t>
      </text>
    </comment>
    <comment ref="AA63" authorId="0" shapeId="0">
      <text>
        <t>fires when: deployed &amp;&amp; !rank-elite</t>
      </text>
    </comment>
    <comment ref="AA64" authorId="0" shapeId="0">
      <text>
        <t>fires when: deployed &amp;&amp; rank-elite</t>
      </text>
    </comment>
    <comment ref="K66" authorId="0" shapeId="0">
      <text>
        <t>raw warhead damages: 2000, 1, 2000, 1, 2000, 1, 2000, 1
import scales all proportionally</t>
      </text>
    </comment>
    <comment ref="K69" authorId="0" shapeId="0">
      <text>
        <t>raw warhead damages: 30000, 15, 1000, 30000, 15
import scales all proportionally</t>
      </text>
    </comment>
    <comment ref="AA69" authorId="0" shapeId="0">
      <text>
        <t>fires when: !rank-elite</t>
      </text>
    </comment>
    <comment ref="K70" authorId="0" shapeId="0">
      <text>
        <t>raw warhead damages: 60000, 30, 1000, 60000, 30
import scales all proportionally</t>
      </text>
    </comment>
    <comment ref="AA70" authorId="0" shapeId="0">
      <text>
        <t>fires when: rank-elite</t>
      </text>
    </comment>
    <comment ref="K72" authorId="0" shapeId="0">
      <text>
        <t>raw warhead damages: 2000, 1000, 1, 2000, 1000, 1, 2000, 1000, 1, 2000, 1
import scales all proportionally</t>
      </text>
    </comment>
    <comment ref="K73" authorId="0" shapeId="0">
      <text>
        <t>raw warhead damages: 2000, 1000, 1, 2000, 1000, 1, 2000, 1000, 1, 2000, 1
import scales all proportionally</t>
      </text>
    </comment>
    <comment ref="AA73" authorId="0" shapeId="0">
      <text>
        <t>fires when: rank-elite</t>
      </text>
    </comment>
    <comment ref="K74" authorId="0" shapeId="0">
      <text>
        <t>raw warhead damages: 6000, 3000, 6, 6000, 6
import scales all proportionally</t>
      </text>
    </comment>
    <comment ref="K76" authorId="0" shapeId="0">
      <text>
        <t>raw warhead damages: 10000, 5000, 5, 10000, 5000, 5, 10000, 5
import scales all proportionally</t>
      </text>
    </comment>
    <comment ref="AA76" authorId="0" shapeId="0">
      <text>
        <t>fires when: !rank-elite</t>
      </text>
    </comment>
    <comment ref="K77" authorId="0" shapeId="0">
      <text>
        <t>raw warhead damages: 10000, 5000, 5, 10000, 5000, 5, 10000, 5
import scales all proportionally</t>
      </text>
    </comment>
    <comment ref="AA77" authorId="0" shapeId="0">
      <text>
        <t>fires when: rank-elite</t>
      </text>
    </comment>
    <comment ref="K81" authorId="0" shapeId="0">
      <text>
        <t>raw warhead damages: 2000, 1, 2000, 1
import scales all proportionally</t>
      </text>
    </comment>
    <comment ref="K82" authorId="0" shapeId="0">
      <text>
        <t>raw warhead damages: 6000, 3000, 6, 6000, 6
import scales all proportionally</t>
      </text>
    </comment>
    <comment ref="AA82" authorId="0" shapeId="0">
      <text>
        <t>fires when: inwater</t>
      </text>
    </comment>
    <comment ref="K84" authorId="0" shapeId="0">
      <text>
        <t>raw warhead damages: 8000, 4000, 4, 8000, 4, 600, 8000, 4, 1000
import scales all proportionally</t>
      </text>
    </comment>
    <comment ref="AA84" authorId="0" shapeId="0">
      <text>
        <t>fires when: !rank-elite</t>
      </text>
    </comment>
    <comment ref="K85" authorId="0" shapeId="0">
      <text>
        <t>raw warhead damages: 8000, 4000, 4, 8000, 4, 600, 8000, 4, 1000
import scales all proportionally</t>
      </text>
    </comment>
    <comment ref="AA85" authorId="0" shapeId="0">
      <text>
        <t>fires when: rank-elite</t>
      </text>
    </comment>
    <comment ref="K87" authorId="0" shapeId="0">
      <text>
        <t>raw warhead damages: 2000, 1, 2000, 1
import scales all proportionally</t>
      </text>
    </comment>
    <comment ref="AA87" authorId="0" shapeId="0">
      <text>
        <t>fires when: ifv-mg</t>
      </text>
    </comment>
    <comment ref="K88" authorId="0" shapeId="0">
      <text>
        <t>raw warhead damages: 2000, 1, 2000, 1, 2000, 1
import scales all proportionally</t>
      </text>
    </comment>
    <comment ref="AA88" authorId="0" shapeId="0">
      <text>
        <t>fires when: ifv-hmg</t>
      </text>
    </comment>
    <comment ref="K89" authorId="0" shapeId="0">
      <text>
        <t>raw warhead damages: 2500, 3
import scales all proportionally</t>
      </text>
    </comment>
    <comment ref="AA89" authorId="0" shapeId="0">
      <text>
        <t>fires when: ifv-archer</t>
      </text>
    </comment>
    <comment ref="K90" authorId="0" shapeId="0">
      <text>
        <t>raw warhead damages: -2000, -1000, -1
import scales all proportionally</t>
      </text>
    </comment>
    <comment ref="AA90" authorId="0" shapeId="0">
      <text>
        <t>fires when: ifv-repair</t>
      </text>
    </comment>
    <comment ref="K91" authorId="0" shapeId="0">
      <text>
        <t>raw warhead damages: 30000, 15
import scales all proportionally</t>
      </text>
    </comment>
    <comment ref="AA91" authorId="0" shapeId="0">
      <text>
        <t>fires when: ifv-lightsniper</t>
      </text>
    </comment>
    <comment ref="K92" authorId="0" shapeId="0">
      <text>
        <t>raw warhead damages: 14000, 7
import scales all proportionally</t>
      </text>
    </comment>
    <comment ref="AA92" authorId="0" shapeId="0">
      <text>
        <t>fires when: ifv-hero</t>
      </text>
    </comment>
    <comment ref="K93" authorId="0" shapeId="0">
      <text>
        <t>raw warhead damages: 40000, 20000, 20
import scales all proportionally</t>
      </text>
    </comment>
    <comment ref="AA93" authorId="0" shapeId="0">
      <text>
        <t>fires when: ifv-tesla</t>
      </text>
    </comment>
    <comment ref="K94" authorId="0" shapeId="0">
      <text>
        <t>raw warhead damages: 8000, 4, 8000, 4, 1000, 8000, 4, 8000, 4, 8000, 4
import scales all proportionally</t>
      </text>
    </comment>
    <comment ref="AA94" authorId="0" shapeId="0">
      <text>
        <t>fires when: ifv-flak</t>
      </text>
    </comment>
    <comment ref="K95" authorId="0" shapeId="0">
      <text>
        <t>raw warhead damages: 8000, 4, 1000, 8000, 4000, 4, 8000, 4
import scales all proportionally</t>
      </text>
    </comment>
    <comment ref="AA95" authorId="0" shapeId="0">
      <text>
        <t>fires when: ifv-cannon</t>
      </text>
    </comment>
    <comment ref="K96" authorId="0" shapeId="0">
      <text>
        <t>raw warhead damages: 16000, 8000, 8
import scales all proportionally</t>
      </text>
    </comment>
    <comment ref="AA96" authorId="0" shapeId="0">
      <text>
        <t>fires when: ifv-grenade</t>
      </text>
    </comment>
    <comment ref="K97" authorId="0" shapeId="0">
      <text>
        <t>raw warhead damages: 3750, 2500
import scales all proportionally</t>
      </text>
    </comment>
    <comment ref="AA97" authorId="0" shapeId="0">
      <text>
        <t>fires when: ifv-plasma</t>
      </text>
    </comment>
    <comment ref="AA98" authorId="0" shapeId="0">
      <text>
        <t>fires when: ifv-litlaser</t>
      </text>
    </comment>
    <comment ref="K99" authorId="0" shapeId="0">
      <text>
        <t>raw warhead damages: 4000, 1
import scales all proportionally</t>
      </text>
    </comment>
    <comment ref="AA99" authorId="0" shapeId="0">
      <text>
        <t>fires when: ifv-medlaser</t>
      </text>
    </comment>
    <comment ref="K100" authorId="0" shapeId="0">
      <text>
        <t>raw warhead damages: 5000, 1
import scales all proportionally</t>
      </text>
    </comment>
    <comment ref="AA100" authorId="0" shapeId="0">
      <text>
        <t>fires when: ifv-greelaser</t>
      </text>
    </comment>
    <comment ref="K101" authorId="0" shapeId="0">
      <text>
        <t>raw warhead damages: 4000, 1
import scales all proportionally</t>
      </text>
    </comment>
    <comment ref="AA101" authorId="0" shapeId="0">
      <text>
        <t>fires when: ifv-misslaser</t>
      </text>
    </comment>
    <comment ref="K102" authorId="0" shapeId="0">
      <text>
        <t>raw warhead damages: 14000, 7000, 7
import scales all proportionally</t>
      </text>
    </comment>
    <comment ref="AA102" authorId="0" shapeId="0">
      <text>
        <t>fires when: ifv-fire</t>
      </text>
    </comment>
    <comment ref="K103" authorId="0" shapeId="0">
      <text>
        <t>raw warhead damages: 30000, 15000, 15
import scales all proportionally</t>
      </text>
    </comment>
    <comment ref="AA103" authorId="0" shapeId="0">
      <text>
        <t>fires when: ifv-chem</t>
      </text>
    </comment>
    <comment ref="K104" authorId="0" shapeId="0">
      <text>
        <t>raw warhead damages: 30000, 15000, 15
import scales all proportionally</t>
      </text>
    </comment>
    <comment ref="AA104" authorId="0" shapeId="0">
      <text>
        <t>fires when: ifv-thrax</t>
      </text>
    </comment>
    <comment ref="K105" authorId="0" shapeId="0">
      <text>
        <t>raw warhead damages: 2000, 1, 2000, 1000, 1, 2000, 1, 2000, 1
import scales all proportionally</t>
      </text>
    </comment>
    <comment ref="AA105" authorId="0" shapeId="0">
      <text>
        <t>fires when: ifv-miss &amp;&amp; !rank-elite &amp;&amp; !ra2_allies_upgrade_thunderboltmissiles</t>
      </text>
    </comment>
    <comment ref="AA106" authorId="0" shapeId="0">
      <text>
        <t>fires when: ifv-chrono</t>
      </text>
    </comment>
    <comment ref="AA107" authorId="0" shapeId="0">
      <text>
        <t>fires when: ifv-chrono</t>
      </text>
    </comment>
    <comment ref="AA108" authorId="0" shapeId="0">
      <text>
        <t>fires when: ifv-demo</t>
      </text>
    </comment>
    <comment ref="AA109" authorId="0" shapeId="0">
      <text>
        <t>fires when: ifv-fremen</t>
      </text>
    </comment>
    <comment ref="K110" authorId="0" shapeId="0">
      <text>
        <t>raw warhead damages: 4000, 1000
import scales all proportionally</t>
      </text>
    </comment>
    <comment ref="AA110" authorId="0" shapeId="0">
      <text>
        <t>fires when: ifv-sonic</t>
      </text>
    </comment>
    <comment ref="K111" authorId="0" shapeId="0">
      <text>
        <t>raw warhead damages: -2000, -1000, -1
import scales all proportionally</t>
      </text>
    </comment>
    <comment ref="AA111" authorId="0" shapeId="0">
      <text>
        <t>fires when: ifv-healer</t>
      </text>
    </comment>
    <comment ref="K112" authorId="0" shapeId="0">
      <text>
        <t>raw warhead damages: 6000, 3, 6000, 3
import scales all proportionally</t>
      </text>
    </comment>
    <comment ref="AA112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K113" authorId="0" shapeId="0">
      <text>
        <t>raw warhead damages: 6000, 3, 6000, 3
import scales all proportionally</t>
      </text>
    </comment>
    <comment ref="AA113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K114" authorId="0" shapeId="0">
      <text>
        <t>raw warhead damages: 6000, 3, 6000, 3
import scales all proportionally</t>
      </text>
    </comment>
    <comment ref="AA114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!ra2_allies_upgrade_thunderboltmissiles</t>
      </text>
    </comment>
    <comment ref="K115" authorId="0" shapeId="0">
      <text>
        <t>raw warhead damages: 6000, 3, 6000, 3
import scales all proportionally</t>
      </text>
    </comment>
    <comment ref="AA115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!ra2_allies_upgrade_thunderboltmissiles</t>
      </text>
    </comment>
    <comment ref="K116" authorId="0" shapeId="0">
      <text>
        <t>raw warhead damages: 2000, 1, 2000, 1, 2000, 1, 2000, 1, 2000, 1, 2000, 1
import scales all proportionally</t>
      </text>
    </comment>
    <comment ref="AA116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K117" authorId="0" shapeId="0">
      <text>
        <t>raw warhead damages: 2000, 1, 2000, 1, 2000, 1, 2000, 1, 2000, 1, 2000, 1
import scales all proportionally</t>
      </text>
    </comment>
    <comment ref="AA117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K118" authorId="0" shapeId="0">
      <text>
        <t>raw warhead damages: 2000, 1, 2000, 1, 2000, 1, 2000, 1, 2000, 1, 2000, 1
import scales all proportionally</t>
      </text>
    </comment>
    <comment ref="AA118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!rank-elite &amp;&amp; ra2_allies_upgrade_thunderboltmissiles</t>
      </text>
    </comment>
    <comment ref="K119" authorId="0" shapeId="0">
      <text>
        <t>raw warhead damages: 2000, 1, 2000, 1, 2000, 1, 2000, 1, 2000, 1, 2000, 1
import scales all proportionally</t>
      </text>
    </comment>
    <comment ref="AA119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!ifv-chrono &amp;&amp; !ifv-plasma &amp;&amp; !ifv-litlaser &amp;&amp; !ifv-medlaser &amp;&amp; !ifv-greelaser &amp;&amp; !ifv-misslaser &amp;&amp; !ifv-chem &amp;&amp; !ifv-thrax &amp;&amp; !ifv-sonic &amp;&amp; !ifv-fremen &amp;&amp; !ifv-healer &amp;&amp; !ifv-spy &amp;&amp; !ifv-thief &amp;&amp; rank-elite &amp;&amp; ra2_allies_upgrade_thunderboltmissiles</t>
      </text>
    </comment>
    <comment ref="K120" authorId="0" shapeId="0">
      <text>
        <t>raw warhead damages: 2000, 1, 2000, 1000, 1, 2000, 1, 2000, 1
import scales all proportionally</t>
      </text>
    </comment>
    <comment ref="AA120" authorId="0" shapeId="0">
      <text>
        <t>fires when: ifv-miss &amp;&amp; rank-elite &amp;&amp; !ra2_allies_upgrade_thunderboltmissiles</t>
      </text>
    </comment>
    <comment ref="K121" authorId="0" shapeId="0">
      <text>
        <t>raw warhead damages: 2000, 1, 2000, 1000, 1, 2000, 1, 2000, 1
import scales all proportionally</t>
      </text>
    </comment>
    <comment ref="AA121" authorId="0" shapeId="0">
      <text>
        <t>fires when: ifv-miss &amp;&amp; !rank-elite &amp;&amp; !ra2_allies_upgrade_thunderboltmissiles</t>
      </text>
    </comment>
    <comment ref="K122" authorId="0" shapeId="0">
      <text>
        <t>raw warhead damages: 2000, 1, 2000, 1000, 1, 2000, 1, 2000, 1
import scales all proportionally</t>
      </text>
    </comment>
    <comment ref="AA122" authorId="0" shapeId="0">
      <text>
        <t>fires when: ifv-miss &amp;&amp; rank-elite &amp;&amp; !ra2_allies_upgrade_thunderboltmissiles</t>
      </text>
    </comment>
    <comment ref="K123" authorId="0" shapeId="0">
      <text>
        <t>raw warhead damages: 2000, 1, 2000, 1, 2000, 1, 2000, 1, 2000, 1, 2000, 1000, 1, 2000, 1, 2000, 1
import scales all proportionally</t>
      </text>
    </comment>
    <comment ref="AA123" authorId="0" shapeId="0">
      <text>
        <t>fires when: ifv-miss &amp;&amp; !rank-elite &amp;&amp; ra2_allies_upgrade_thunderboltmissiles</t>
      </text>
    </comment>
    <comment ref="K124" authorId="0" shapeId="0">
      <text>
        <t>raw warhead damages: 2000, 1, 2000, 1, 2000, 1, 2000, 1, 2000, 1, 2000, 1000, 1, 2000, 1, 2000, 1
import scales all proportionally</t>
      </text>
    </comment>
    <comment ref="AA124" authorId="0" shapeId="0">
      <text>
        <t>fires when: ifv-miss &amp;&amp; rank-elite &amp;&amp; ra2_allies_upgrade_thunderboltmissiles</t>
      </text>
    </comment>
    <comment ref="K125" authorId="0" shapeId="0">
      <text>
        <t>raw warhead damages: 2000, 1, 2000, 1, 2000, 1, 2000, 1, 2000, 1, 2000, 1000, 1, 2000, 1, 2000, 1
import scales all proportionally</t>
      </text>
    </comment>
    <comment ref="AA125" authorId="0" shapeId="0">
      <text>
        <t>fires when: ifv-miss &amp;&amp; !rank-elite &amp;&amp; ra2_allies_upgrade_thunderboltmissiles</t>
      </text>
    </comment>
    <comment ref="K126" authorId="0" shapeId="0">
      <text>
        <t>raw warhead damages: 2000, 1, 2000, 1, 2000, 1, 2000, 1, 2000, 1, 2000, 1000, 1, 2000, 1, 2000, 1
import scales all proportionally</t>
      </text>
    </comment>
    <comment ref="AA126" authorId="0" shapeId="0">
      <text>
        <t>fires when: ifv-miss &amp;&amp; rank-elite &amp;&amp; ra2_allies_upgrade_thunderboltmissiles</t>
      </text>
    </comment>
    <comment ref="K127" authorId="0" shapeId="0">
      <text>
        <t>raw warhead damages: -2000, -1000, -1
import scales all proportionally</t>
      </text>
    </comment>
    <comment ref="AA127" authorId="0" shapeId="0">
      <text>
        <t>fires when: ifv-healer</t>
      </text>
    </comment>
    <comment ref="K128" authorId="0" shapeId="0">
      <text>
        <t>raw warhead damages: 44000, 22
import scales all proportionally</t>
      </text>
    </comment>
    <comment ref="AA128" authorId="0" shapeId="0">
      <text>
        <t>fires when: ifv-ra1_allies_alliedsniper</t>
      </text>
    </comment>
    <comment ref="K131" authorId="0" shapeId="0">
      <text>
        <t>raw warhead damages: 16000, 8000, 8, 16000, 8, 16000, 8
import scales all proportionally</t>
      </text>
    </comment>
    <comment ref="K132" authorId="0" shapeId="0">
      <text>
        <t>raw warhead damages: 2000, 1, 2000, 1, 2000, 1, 2000, 1, 2000, 1000, 1, 2000, 1, 600
import scales all proportionally</t>
      </text>
    </comment>
    <comment ref="K134" authorId="0" shapeId="0">
      <text>
        <t>raw warhead damages: 4000, 2000, 2, 4000, 2000, 2, 4000, 2, 4000, 2000, 2, 4000, 2000, 2, 4000, 2, 888, 4000, 2, 600, 4000, 2, 1000, 4000, 2, 4000, 2
import scales all proportionally</t>
      </text>
    </comment>
    <comment ref="AA134" authorId="0" shapeId="0">
      <text>
        <t>fires when: !rank-elite</t>
      </text>
    </comment>
    <comment ref="K135" authorId="0" shapeId="0">
      <text>
        <t>raw warhead damages: 4000, 2000, 2, 4000, 2000, 2, 4000, 2, 4000, 2000, 2, 4000, 2000, 2, 4000, 2, 888, 4000, 2, 600, 4000, 2, 1000, 4000, 2, 4000, 2
import scales all proportionally</t>
      </text>
    </comment>
    <comment ref="AA135" authorId="0" shapeId="0">
      <text>
        <t>fires when: rank-elite</t>
      </text>
    </comment>
    <comment ref="K136" authorId="0" shapeId="0">
      <text>
        <t>raw warhead damages: 12000, 6
import scales all proportionally</t>
      </text>
    </comment>
    <comment ref="AA136" authorId="0" shapeId="0">
      <text>
        <t>fires when: !rank-elite</t>
      </text>
    </comment>
    <comment ref="K137" authorId="0" shapeId="0">
      <text>
        <t>raw warhead damages: 12000, 6
import scales all proportionally</t>
      </text>
    </comment>
    <comment ref="AA137" authorId="0" shapeId="0">
      <text>
        <t>fires when: rank-elite</t>
      </text>
    </comment>
    <comment ref="K139" authorId="0" shapeId="0">
      <text>
        <t>raw warhead damages: 2000, 1000, 1, 2000, 1000, 1, 2000, 1, 2000, 1, 2000, 1
import scales all proportionally</t>
      </text>
    </comment>
    <comment ref="AA139" authorId="0" shapeId="0">
      <text>
        <t>fires when: !rank-elite</t>
      </text>
    </comment>
    <comment ref="K140" authorId="0" shapeId="0">
      <text>
        <t>raw warhead damages: 2000, 1000, 1, 2000, 1000, 1, 2000, 1, 2000, 1, 2000, 1
import scales all proportionally</t>
      </text>
    </comment>
    <comment ref="AA140" authorId="0" shapeId="0">
      <text>
        <t>fires when: rank-elite</t>
      </text>
    </comment>
    <comment ref="K142" authorId="0" shapeId="0">
      <text>
        <t>raw warhead damages: 2000, 1000, 1, 2000, 1, 2000, 1
import scales all proportionally</t>
      </text>
    </comment>
    <comment ref="K147" authorId="0" shapeId="0">
      <text>
        <t>raw warhead damages: 2000, 1, 2000, 1, 2000, 1, 2000, 1, 2000, 1000, 1, 2000, 1, 600
import scales all proportionally</t>
      </text>
    </comment>
    <comment ref="K151" authorId="0" shapeId="0">
      <text>
        <t>raw warhead damages: 4000, 2, 4000, 2
import scales all proportionally</t>
      </text>
    </comment>
    <comment ref="AA151" authorId="0" shapeId="0">
      <text>
        <t>fires when: !ifv-mg &amp;&amp; !ifv-hmg &amp;&amp; !ifv-repair &amp;&amp; !ifv-ra1_allies_alliedsniper &amp;&amp; !ifv-flak &amp;&amp; !ifv-tesla &amp;&amp; !ifv-hero &amp;&amp; !ifv-chem &amp;&amp; !ifv-fire &amp;&amp; !ifv-cannon &amp;&amp; !ifv-miss &amp;&amp; !ifv-deso &amp;&amp; !ifv-demo &amp;&amp; !ifv-healer &amp;&amp; !ifv-chrono &amp;&amp; !ifv-spy &amp;&amp; !ifv-thief</t>
      </text>
    </comment>
    <comment ref="K152" authorId="0" shapeId="0">
      <text>
        <t>raw warhead damages: 2000, 1, 2000, 1, 2000, 1, 2000, 1000, 1, 2000, 1
import scales all proportionally</t>
      </text>
    </comment>
    <comment ref="AA152" authorId="0" shapeId="0">
      <text>
        <t>fires when: ifv-miss</t>
      </text>
    </comment>
    <comment ref="K153" authorId="0" shapeId="0">
      <text>
        <t>raw warhead damages: 4000, 2000, 2, 4000, 2000, 2, 4000, 2000, 2, 4000, 2
import scales all proportionally</t>
      </text>
    </comment>
    <comment ref="AA153" authorId="0" shapeId="0">
      <text>
        <t>fires when: ifv-mg || ifv-hmg || ifv-repair || ifv-ra1_allies_alliedsniper || ifv-flak || ifv-tesla || ifv-chem || ifv-fire || ifv-cannon || ifv-deso || ifv-demo || ifv-healer || ifv-chrono || ifv-spy || ifv-thief</t>
      </text>
    </comment>
    <comment ref="K154" authorId="0" shapeId="0">
      <text>
        <t>raw warhead damages: 10000, 5000, 5, 10000, 5, 888, 10000, 5, 10000, 5000, 5, 10000, 5
import scales all proportionally</t>
      </text>
    </comment>
    <comment ref="AA154" authorId="0" shapeId="0">
      <text>
        <t>fires when: ifv-hero</t>
      </text>
    </comment>
  </commentList>
</comments>
</file>

<file path=xl/comments/comment11.xml><?xml version="1.0" encoding="utf-8"?>
<comments xmlns="http://schemas.openxmlformats.org/spreadsheetml/2006/main">
  <authors>
    <author>balance-pipeline</author>
  </authors>
  <commentList>
    <comment ref="K4" authorId="0" shapeId="0">
      <text>
        <t>raw warhead damages: 2000, 1000, 1, 2000, 1
import scales all proportionally</t>
      </text>
    </comment>
    <comment ref="AA4" authorId="0" shapeId="0">
      <text>
        <t>fires when: !rank-elite</t>
      </text>
    </comment>
    <comment ref="K5" authorId="0" shapeId="0">
      <text>
        <t>raw warhead damages: 2000, 1000, 1, 2000, 1
import scales all proportionally</t>
      </text>
    </comment>
    <comment ref="AA5" authorId="0" shapeId="0">
      <text>
        <t>fires when: rank-elite</t>
      </text>
    </comment>
    <comment ref="K6" authorId="0" shapeId="0">
      <text>
        <t>raw warhead damages: 2000, 1000, 1, 2000, 1
import scales all proportionally</t>
      </text>
    </comment>
    <comment ref="AA6" authorId="0" shapeId="0">
      <text>
        <t>fires when: !rank-elite</t>
      </text>
    </comment>
    <comment ref="K7" authorId="0" shapeId="0">
      <text>
        <t>raw warhead damages: 2000, 1000, 1, 2000, 1
import scales all proportionally</t>
      </text>
    </comment>
    <comment ref="AA7" authorId="0" shapeId="0">
      <text>
        <t>fires when: rank-elite</t>
      </text>
    </comment>
    <comment ref="K9" authorId="0" shapeId="0">
      <text>
        <t>raw warhead damages: 24000, 12000, 12
import scales all proportionally</t>
      </text>
    </comment>
    <comment ref="AA9" authorId="0" shapeId="0">
      <text>
        <t>fires when: !rank-elite</t>
      </text>
    </comment>
    <comment ref="K10" authorId="0" shapeId="0">
      <text>
        <t>raw warhead damages: 24000, 12000, 12
import scales all proportionally</t>
      </text>
    </comment>
    <comment ref="AA10" authorId="0" shapeId="0">
      <text>
        <t>fires when: rank-elite</t>
      </text>
    </comment>
    <comment ref="K11" authorId="0" shapeId="0">
      <text>
        <t>raw warhead damages: 24000, 12000, 12
import scales all proportionally</t>
      </text>
    </comment>
    <comment ref="AA11" authorId="0" shapeId="0">
      <text>
        <t>fires when: !rank-elite</t>
      </text>
    </comment>
    <comment ref="K12" authorId="0" shapeId="0">
      <text>
        <t>raw warhead damages: 24000, 12000, 12
import scales all proportionally</t>
      </text>
    </comment>
    <comment ref="AA12" authorId="0" shapeId="0">
      <text>
        <t>fires when: rank-elite</t>
      </text>
    </comment>
    <comment ref="K14" authorId="0" shapeId="0">
      <text>
        <t>raw warhead damages: 20000, 10000, 10
import scales all proportionally</t>
      </text>
    </comment>
    <comment ref="AA14" authorId="0" shapeId="0">
      <text>
        <t>fires when: !rank-elite</t>
      </text>
    </comment>
    <comment ref="K15" authorId="0" shapeId="0">
      <text>
        <t>raw warhead damages: 20000, 10000, 10
import scales all proportionally</t>
      </text>
    </comment>
    <comment ref="AA15" authorId="0" shapeId="0">
      <text>
        <t>fires when: rank-elite</t>
      </text>
    </comment>
    <comment ref="K16" authorId="0" shapeId="0">
      <text>
        <t>raw warhead damages: 20000, 10000, 10
import scales all proportionally</t>
      </text>
    </comment>
    <comment ref="K18" authorId="0" shapeId="0">
      <text>
        <t>raw warhead damages: 14000, 7, 14000, 7
import scales all proportionally</t>
      </text>
    </comment>
    <comment ref="AA18" authorId="0" shapeId="0">
      <text>
        <t>fires when: !rank-elite</t>
      </text>
    </comment>
    <comment ref="K19" authorId="0" shapeId="0">
      <text>
        <t>raw warhead damages: 14000, 7, 14000, 7
import scales all proportionally</t>
      </text>
    </comment>
    <comment ref="AA19" authorId="0" shapeId="0">
      <text>
        <t>fires when: rank-elite</t>
      </text>
    </comment>
    <comment ref="K21" authorId="0" shapeId="0">
      <text>
        <t>raw warhead damages: 2000, 1, 2000, 1
import scales all proportionally</t>
      </text>
    </comment>
    <comment ref="K22" authorId="0" shapeId="0">
      <text>
        <t>raw warhead damages: 2000, 1, 2000, 1
import scales all proportionally</t>
      </text>
    </comment>
    <comment ref="K24" authorId="0" shapeId="0">
      <text>
        <t>raw warhead damages: 16000, 8000, 8
import scales all proportionally</t>
      </text>
    </comment>
    <comment ref="K25" authorId="0" shapeId="0">
      <text>
        <t>raw warhead damages: 4000, 2
import scales all proportionally</t>
      </text>
    </comment>
    <comment ref="AA25" authorId="0" shapeId="0">
      <text>
        <t>fires when: !rank-elite</t>
      </text>
    </comment>
    <comment ref="K26" authorId="0" shapeId="0">
      <text>
        <t>raw warhead damages: 4000, 2
import scales all proportionally</t>
      </text>
    </comment>
    <comment ref="AA26" authorId="0" shapeId="0">
      <text>
        <t>fires when: rank-elite</t>
      </text>
    </comment>
    <comment ref="K28" authorId="0" shapeId="0">
      <text>
        <t>raw warhead damages: 4000, 2000, 2
import scales all proportionally</t>
      </text>
    </comment>
    <comment ref="AA28" authorId="0" shapeId="0">
      <text>
        <t>fires when: !rank-elite</t>
      </text>
    </comment>
    <comment ref="K29" authorId="0" shapeId="0">
      <text>
        <t>raw warhead damages: 4000, 2000, 2
import scales all proportionally</t>
      </text>
    </comment>
    <comment ref="AA29" authorId="0" shapeId="0">
      <text>
        <t>fires when: rank-elite</t>
      </text>
    </comment>
    <comment ref="K30" authorId="0" shapeId="0">
      <text>
        <t>raw warhead damages: 4000, 2000, 2
import scales all proportionally</t>
      </text>
    </comment>
    <comment ref="AA30" authorId="0" shapeId="0">
      <text>
        <t>fires when: !rank-elite</t>
      </text>
    </comment>
    <comment ref="K31" authorId="0" shapeId="0">
      <text>
        <t>raw warhead damages: 4000, 2000, 2
import scales all proportionally</t>
      </text>
    </comment>
    <comment ref="AA31" authorId="0" shapeId="0">
      <text>
        <t>fires when: rank-elite</t>
      </text>
    </comment>
    <comment ref="AA33" authorId="0" shapeId="0">
      <text>
        <t>fires when: !deployed</t>
      </text>
    </comment>
    <comment ref="K34" authorId="0" shapeId="0">
      <text>
        <t>raw warhead damages: 4000, 2, 4000, 2
import scales all proportionally</t>
      </text>
    </comment>
    <comment ref="AA34" authorId="0" shapeId="0">
      <text>
        <t>fires when: (deployed || undeployed) &amp;&amp; !rank-elite</t>
      </text>
    </comment>
    <comment ref="K35" authorId="0" shapeId="0">
      <text>
        <t>raw warhead damages: 4000, 2, 4000, 2
import scales all proportionally</t>
      </text>
    </comment>
    <comment ref="AA35" authorId="0" shapeId="0">
      <text>
        <t>fires when: (deployed || undeployed) &amp;&amp; rank-elite</t>
      </text>
    </comment>
    <comment ref="K36" authorId="0" shapeId="0">
      <text>
        <t>raw warhead damages: 4000, 2, 4000, 2
import scales all proportionally</t>
      </text>
    </comment>
    <comment ref="AA36" authorId="0" shapeId="0">
      <text>
        <t>fires when: !rank-elite</t>
      </text>
    </comment>
    <comment ref="K37" authorId="0" shapeId="0">
      <text>
        <t>raw warhead damages: 4000, 2, 4000, 2
import scales all proportionally</t>
      </text>
    </comment>
    <comment ref="AA37" authorId="0" shapeId="0">
      <text>
        <t>fires when: rank-elite</t>
      </text>
    </comment>
    <comment ref="K39" authorId="0" shapeId="0">
      <text>
        <t>raw warhead damages: 24000, 12
import scales all proportionally</t>
      </text>
    </comment>
    <comment ref="AA39" authorId="0" shapeId="0">
      <text>
        <t>fires when: !rank-elite</t>
      </text>
    </comment>
    <comment ref="K40" authorId="0" shapeId="0">
      <text>
        <t>raw warhead damages: 24000, 12
import scales all proportionally</t>
      </text>
    </comment>
    <comment ref="AA40" authorId="0" shapeId="0">
      <text>
        <t>fires when: rank-elite</t>
      </text>
    </comment>
    <comment ref="K41" authorId="0" shapeId="0">
      <text>
        <t>raw warhead damages: 24000, 12
import scales all proportionally</t>
      </text>
    </comment>
    <comment ref="AA41" authorId="0" shapeId="0">
      <text>
        <t>fires when: !rank-elite</t>
      </text>
    </comment>
    <comment ref="K42" authorId="0" shapeId="0">
      <text>
        <t>raw warhead damages: 24000, 12
import scales all proportionally</t>
      </text>
    </comment>
    <comment ref="AA42" authorId="0" shapeId="0">
      <text>
        <t>fires when: rank-elite</t>
      </text>
    </comment>
    <comment ref="K44" authorId="0" shapeId="0">
      <text>
        <t>raw warhead damages: 8000, 2
import scales all proportionally</t>
      </text>
    </comment>
    <comment ref="AA44" authorId="0" shapeId="0">
      <text>
        <t>fires when: !rank-elite</t>
      </text>
    </comment>
    <comment ref="K45" authorId="0" shapeId="0">
      <text>
        <t>raw warhead damages: 8000, 2
import scales all proportionally</t>
      </text>
    </comment>
    <comment ref="AA45" authorId="0" shapeId="0">
      <text>
        <t>fires when: rank-elite</t>
      </text>
    </comment>
    <comment ref="K46" authorId="0" shapeId="0">
      <text>
        <t>raw warhead damages: 8000, 2
import scales all proportionally</t>
      </text>
    </comment>
    <comment ref="AA46" authorId="0" shapeId="0">
      <text>
        <t>fires when: !rank-elite</t>
      </text>
    </comment>
    <comment ref="K47" authorId="0" shapeId="0">
      <text>
        <t>raw warhead damages: 8000, 2
import scales all proportionally</t>
      </text>
    </comment>
    <comment ref="AA47" authorId="0" shapeId="0">
      <text>
        <t>fires when: rank-elite</t>
      </text>
    </comment>
    <comment ref="K49" authorId="0" shapeId="0">
      <text>
        <t>raw warhead damages: 6000, 3
import scales all proportionally</t>
      </text>
    </comment>
    <comment ref="AA49" authorId="0" shapeId="0">
      <text>
        <t>fires when: !rank-elite</t>
      </text>
    </comment>
    <comment ref="K50" authorId="0" shapeId="0">
      <text>
        <t>raw warhead damages: 6000, 3
import scales all proportionally</t>
      </text>
    </comment>
    <comment ref="AA50" authorId="0" shapeId="0">
      <text>
        <t>fires when: rank-elite</t>
      </text>
    </comment>
    <comment ref="K51" authorId="0" shapeId="0">
      <text>
        <t>raw warhead damages: 6000, 3
import scales all proportionally</t>
      </text>
    </comment>
    <comment ref="AA51" authorId="0" shapeId="0">
      <text>
        <t>fires when: !rank-elite</t>
      </text>
    </comment>
    <comment ref="K52" authorId="0" shapeId="0">
      <text>
        <t>raw warhead damages: 6000, 3
import scales all proportionally</t>
      </text>
    </comment>
    <comment ref="AA52" authorId="0" shapeId="0">
      <text>
        <t>fires when: rank-elite</t>
      </text>
    </comment>
    <comment ref="K54" authorId="0" shapeId="0">
      <text>
        <t>raw warhead damages: 6000, 3, 6000, 3000, 3, 6000, 3000, 3, 6000, 3, 6000, 3000, 3, 6000, 3
import scales all proportionally</t>
      </text>
    </comment>
    <comment ref="AA54" authorId="0" shapeId="0">
      <text>
        <t>fires when: !rank-elite</t>
      </text>
    </comment>
    <comment ref="K55" authorId="0" shapeId="0">
      <text>
        <t>raw warhead damages: 6000, 3, 6000, 3000, 3, 6000, 3000, 3, 6000, 3, 6000, 3000, 3, 6000, 3
import scales all proportionally</t>
      </text>
    </comment>
    <comment ref="AA55" authorId="0" shapeId="0">
      <text>
        <t>fires when: rank-elite</t>
      </text>
    </comment>
    <comment ref="K56" authorId="0" shapeId="0">
      <text>
        <t>raw warhead damages: 6000, 3, 6000, 3000, 3, 6000, 3000, 3, 6000, 3, 6000, 3000, 3, 6000, 3
import scales all proportionally</t>
      </text>
    </comment>
    <comment ref="AA56" authorId="0" shapeId="0">
      <text>
        <t>fires when: !rank-elite</t>
      </text>
    </comment>
    <comment ref="K57" authorId="0" shapeId="0">
      <text>
        <t>raw warhead damages: 6000, 3, 6000, 3000, 3, 6000, 3000, 3, 6000, 3, 6000, 3000, 3, 6000, 3
import scales all proportionally</t>
      </text>
    </comment>
    <comment ref="AA57" authorId="0" shapeId="0">
      <text>
        <t>fires when: rank-elite</t>
      </text>
    </comment>
    <comment ref="K59" authorId="0" shapeId="0">
      <text>
        <t>raw warhead damages: 8000, 4, 8000, 4000, 4, 8000, 4000, 4, 8000, 4, 8000, 4000, 4, 8000, 4
import scales all proportionally</t>
      </text>
    </comment>
    <comment ref="AA59" authorId="0" shapeId="0">
      <text>
        <t>fires when: !rank-elite</t>
      </text>
    </comment>
    <comment ref="K60" authorId="0" shapeId="0">
      <text>
        <t>raw warhead damages: 8000, 4, 8000, 4000, 4, 8000, 4000, 4, 8000, 4, 8000, 4000, 4, 8000, 4
import scales all proportionally</t>
      </text>
    </comment>
    <comment ref="AA60" authorId="0" shapeId="0">
      <text>
        <t>fires when: rank-elite</t>
      </text>
    </comment>
    <comment ref="K61" authorId="0" shapeId="0">
      <text>
        <t>raw warhead damages: 8000, 4, 8000, 4000, 4, 8000, 4000, 4, 8000, 4, 8000, 4000, 4, 8000, 4
import scales all proportionally</t>
      </text>
    </comment>
    <comment ref="AA61" authorId="0" shapeId="0">
      <text>
        <t>fires when: !rank-elite</t>
      </text>
    </comment>
    <comment ref="K62" authorId="0" shapeId="0">
      <text>
        <t>raw warhead damages: 8000, 4, 8000, 4000, 4, 8000, 4000, 4, 8000, 4, 8000, 4000, 4, 8000, 4
import scales all proportionally</t>
      </text>
    </comment>
    <comment ref="AA62" authorId="0" shapeId="0">
      <text>
        <t>fires when: rank-elite</t>
      </text>
    </comment>
    <comment ref="AA64" authorId="0" shapeId="0">
      <text>
        <t>fires when: !deployed</t>
      </text>
    </comment>
    <comment ref="K65" authorId="0" shapeId="0">
      <text>
        <t>raw warhead damages: 2000, 1000, 1, 2000, 1, 2000, 1, 2000, 1
import scales all proportionally</t>
      </text>
    </comment>
    <comment ref="AA65" authorId="0" shapeId="0">
      <text>
        <t>fires when: (deployed || undeployed) &amp;&amp; !rank-elite</t>
      </text>
    </comment>
    <comment ref="K66" authorId="0" shapeId="0">
      <text>
        <t>raw warhead damages: 2000, 1000, 1, 2000, 1, 2000, 1, 2000, 1
import scales all proportionally</t>
      </text>
    </comment>
    <comment ref="AA66" authorId="0" shapeId="0">
      <text>
        <t>fires when: (deployed || undeployed) &amp;&amp; rank-elite</t>
      </text>
    </comment>
    <comment ref="K67" authorId="0" shapeId="0">
      <text>
        <t>raw warhead damages: 2000, 1000, 1, 2000, 1, 2000, 1, 2000, 1
import scales all proportionally</t>
      </text>
    </comment>
    <comment ref="AA67" authorId="0" shapeId="0">
      <text>
        <t>fires when: !rank-elite</t>
      </text>
    </comment>
    <comment ref="K68" authorId="0" shapeId="0">
      <text>
        <t>raw warhead damages: 2000, 1000, 1, 2000, 1, 2000, 1, 2000, 1
import scales all proportionally</t>
      </text>
    </comment>
    <comment ref="AA68" authorId="0" shapeId="0">
      <text>
        <t>fires when: rank-elite</t>
      </text>
    </comment>
    <comment ref="K70" authorId="0" shapeId="0">
      <text>
        <t>raw warhead damages: 2000, 1000, 1, 2000, 1, 2000, 1, 2000, 1
import scales all proportionally</t>
      </text>
    </comment>
    <comment ref="AA70" authorId="0" shapeId="0">
      <text>
        <t>fires when: !rank-elite</t>
      </text>
    </comment>
    <comment ref="K71" authorId="0" shapeId="0">
      <text>
        <t>raw warhead damages: 2000, 1000, 1, 2000, 1, 2000, 1, 2000, 1
import scales all proportionally</t>
      </text>
    </comment>
    <comment ref="AA71" authorId="0" shapeId="0">
      <text>
        <t>fires when: rank-elite</t>
      </text>
    </comment>
    <comment ref="K72" authorId="0" shapeId="0">
      <text>
        <t>raw warhead damages: 2000, 1000, 1, 2000, 1, 2000, 1, 2000, 1
import scales all proportionally</t>
      </text>
    </comment>
    <comment ref="AA72" authorId="0" shapeId="0">
      <text>
        <t>fires when: !rank-elite</t>
      </text>
    </comment>
    <comment ref="K73" authorId="0" shapeId="0">
      <text>
        <t>raw warhead damages: 2000, 1000, 1, 2000, 1, 2000, 1, 2000, 1
import scales all proportionally</t>
      </text>
    </comment>
    <comment ref="AA73" authorId="0" shapeId="0">
      <text>
        <t>fires when: rank-elite</t>
      </text>
    </comment>
    <comment ref="K75" authorId="0" shapeId="0">
      <text>
        <t>raw warhead damages: 2000, 1000, 1
import scales all proportionally</t>
      </text>
    </comment>
    <comment ref="K76" authorId="0" shapeId="0">
      <text>
        <t>raw warhead damages: 2000, 1000, 1
import scales all proportionally</t>
      </text>
    </comment>
    <comment ref="K79" authorId="0" shapeId="0">
      <text>
        <t>raw warhead damages: 6000, 3
import scales all proportionally</t>
      </text>
    </comment>
    <comment ref="AA79" authorId="0" shapeId="0">
      <text>
        <t>fires when: !rank-elite</t>
      </text>
    </comment>
    <comment ref="K80" authorId="0" shapeId="0">
      <text>
        <t>raw warhead damages: 6000, 3
import scales all proportionally</t>
      </text>
    </comment>
    <comment ref="AA80" authorId="0" shapeId="0">
      <text>
        <t>fires when: rank-elite</t>
      </text>
    </comment>
    <comment ref="K81" authorId="0" shapeId="0">
      <text>
        <t>raw warhead damages: 6000, 3
import scales all proportionally</t>
      </text>
    </comment>
    <comment ref="AA81" authorId="0" shapeId="0">
      <text>
        <t>fires when: !rank-elite</t>
      </text>
    </comment>
    <comment ref="K82" authorId="0" shapeId="0">
      <text>
        <t>raw warhead damages: 6000, 3
import scales all proportionally</t>
      </text>
    </comment>
    <comment ref="AA82" authorId="0" shapeId="0">
      <text>
        <t>fires when: rank-elite</t>
      </text>
    </comment>
    <comment ref="K84" authorId="0" shapeId="0">
      <text>
        <t>raw warhead damages: 2000, 1, 2000, 1
import scales all proportionally</t>
      </text>
    </comment>
    <comment ref="AA84" authorId="0" shapeId="0">
      <text>
        <t>fires when: !rank-elite</t>
      </text>
    </comment>
    <comment ref="K85" authorId="0" shapeId="0">
      <text>
        <t>raw warhead damages: 2000, 1, 2000, 1
import scales all proportionally</t>
      </text>
    </comment>
    <comment ref="AA85" authorId="0" shapeId="0">
      <text>
        <t>fires when: rank-elite</t>
      </text>
    </comment>
    <comment ref="K86" authorId="0" shapeId="0">
      <text>
        <t>raw warhead damages: 2000, 1, 2000, 1
import scales all proportionally</t>
      </text>
    </comment>
    <comment ref="AA86" authorId="0" shapeId="0">
      <text>
        <t>fires when: !rank-elite</t>
      </text>
    </comment>
    <comment ref="K87" authorId="0" shapeId="0">
      <text>
        <t>raw warhead damages: 2000, 1, 2000, 1
import scales all proportionally</t>
      </text>
    </comment>
    <comment ref="AA87" authorId="0" shapeId="0">
      <text>
        <t>fires when: rank-elite</t>
      </text>
    </comment>
    <comment ref="K89" authorId="0" shapeId="0">
      <text>
        <t>raw warhead damages: 6000, 3
import scales all proportionally</t>
      </text>
    </comment>
    <comment ref="AA89" authorId="0" shapeId="0">
      <text>
        <t>fires when: !rank-elite</t>
      </text>
    </comment>
    <comment ref="K90" authorId="0" shapeId="0">
      <text>
        <t>raw warhead damages: 6000, 3
import scales all proportionally</t>
      </text>
    </comment>
    <comment ref="AA90" authorId="0" shapeId="0">
      <text>
        <t>fires when: rank-elite</t>
      </text>
    </comment>
    <comment ref="K91" authorId="0" shapeId="0">
      <text>
        <t>raw warhead damages: 6000, 3
import scales all proportionally</t>
      </text>
    </comment>
    <comment ref="AA91" authorId="0" shapeId="0">
      <text>
        <t>fires when: !rank-elite</t>
      </text>
    </comment>
    <comment ref="K92" authorId="0" shapeId="0">
      <text>
        <t>raw warhead damages: 6000, 3
import scales all proportionally</t>
      </text>
    </comment>
    <comment ref="AA92" authorId="0" shapeId="0">
      <text>
        <t>fires when: rank-elite</t>
      </text>
    </comment>
    <comment ref="K95" authorId="0" shapeId="0">
      <text>
        <t>raw warhead damages: 10000, 5
import scales all proportionally</t>
      </text>
    </comment>
    <comment ref="AA95" authorId="0" shapeId="0">
      <text>
        <t>fires when: !rank-elite</t>
      </text>
    </comment>
    <comment ref="K96" authorId="0" shapeId="0">
      <text>
        <t>raw warhead damages: 10000, 5
import scales all proportionally</t>
      </text>
    </comment>
    <comment ref="AA96" authorId="0" shapeId="0">
      <text>
        <t>fires when: rank-elite</t>
      </text>
    </comment>
    <comment ref="K97" authorId="0" shapeId="0">
      <text>
        <t>raw warhead damages: 2000, 1000, 1, 2000, 1000, 1, 2000, 1000, 1
import scales all proportionally</t>
      </text>
    </comment>
    <comment ref="K99" authorId="0" shapeId="0">
      <text>
        <t>raw warhead damages: 4000, 2, 4000, 2
import scales all proportionally</t>
      </text>
    </comment>
    <comment ref="AA99" authorId="0" shapeId="0">
      <text>
        <t>fires when: !rank-elite</t>
      </text>
    </comment>
    <comment ref="K100" authorId="0" shapeId="0">
      <text>
        <t>raw warhead damages: 4000, 2, 4000, 2
import scales all proportionally</t>
      </text>
    </comment>
    <comment ref="AA100" authorId="0" shapeId="0">
      <text>
        <t>fires when: !rank-elite</t>
      </text>
    </comment>
    <comment ref="K102" authorId="0" shapeId="0">
      <text>
        <t>raw warhead damages: 14000, 7, 14000, 7, 14000, 7000, 7, 14000, 7
import scales all proportionally</t>
      </text>
    </comment>
    <comment ref="AA102" authorId="0" shapeId="0">
      <text>
        <t>fires when: !rank-elite</t>
      </text>
    </comment>
    <comment ref="K103" authorId="0" shapeId="0">
      <text>
        <t>raw warhead damages: 14000, 7, 14000, 7, 14000, 7000, 7, 14000, 7
import scales all proportionally</t>
      </text>
    </comment>
    <comment ref="AA103" authorId="0" shapeId="0">
      <text>
        <t>fires when: rank-elite</t>
      </text>
    </comment>
    <comment ref="AA105" authorId="0" shapeId="0">
      <text>
        <t>fires when: athena-charged == 1</t>
      </text>
    </comment>
    <comment ref="K108" authorId="0" shapeId="0">
      <text>
        <t>raw warhead damages: -2000, -1000, -1
import scales all proportionally</t>
      </text>
    </comment>
    <comment ref="K110" authorId="0" shapeId="0">
      <text>
        <t>raw warhead damages: 16000, 8, 16000, 8000, 8, 16000, 8000, 8
import scales all proportionally</t>
      </text>
    </comment>
    <comment ref="AA110" authorId="0" shapeId="0">
      <text>
        <t>fires when: !rank-elite</t>
      </text>
    </comment>
    <comment ref="K111" authorId="0" shapeId="0">
      <text>
        <t>raw warhead damages: 16000, 8, 16000, 8000, 8, 16000, 8000, 8
import scales all proportionally</t>
      </text>
    </comment>
    <comment ref="AA111" authorId="0" shapeId="0">
      <text>
        <t>fires when: rank-elite</t>
      </text>
    </comment>
    <comment ref="K113" authorId="0" shapeId="0">
      <text>
        <t>raw warhead damages: 4000, 2, 4000, 2
import scales all proportionally</t>
      </text>
    </comment>
    <comment ref="K114" authorId="0" shapeId="0">
      <text>
        <t>raw warhead damages: 4000, 2, 4000, 2
import scales all proportionally</t>
      </text>
    </comment>
    <comment ref="K116" authorId="0" shapeId="0">
      <text>
        <t>raw warhead damages: 20000, 10, 20000, 10
import scales all proportionally</t>
      </text>
    </comment>
    <comment ref="AA116" authorId="0" shapeId="0">
      <text>
        <t>fires when: !rank-elite</t>
      </text>
    </comment>
    <comment ref="K117" authorId="0" shapeId="0">
      <text>
        <t>raw warhead damages: 20000, 10, 20000, 10
import scales all proportionally</t>
      </text>
    </comment>
    <comment ref="AA117" authorId="0" shapeId="0">
      <text>
        <t>fires when: rank-elite</t>
      </text>
    </comment>
    <comment ref="K119" authorId="0" shapeId="0">
      <text>
        <t>raw warhead damages: 20000, 10, 20000, 10000, 10, 20000, 10
import scales all proportionally</t>
      </text>
    </comment>
    <comment ref="K120" authorId="0" shapeId="0">
      <text>
        <t>raw warhead damages: 10000, 5
import scales all proportionally</t>
      </text>
    </comment>
    <comment ref="AA120" authorId="0" shapeId="0">
      <text>
        <t>fires when: !rank-elite</t>
      </text>
    </comment>
    <comment ref="K121" authorId="0" shapeId="0">
      <text>
        <t>raw warhead damages: 10000, 5
import scales all proportionally</t>
      </text>
    </comment>
    <comment ref="AA121" authorId="0" shapeId="0">
      <text>
        <t>fires when: rank-elite</t>
      </text>
    </comment>
    <comment ref="K123" authorId="0" shapeId="0">
      <text>
        <t>raw warhead damages: 20000, 10, 20000, 10000, 10, 20000, 10
import scales all proportionally</t>
      </text>
    </comment>
    <comment ref="AA123" authorId="0" shapeId="0">
      <text>
        <t>fires when: !rank-elite</t>
      </text>
    </comment>
    <comment ref="K124" authorId="0" shapeId="0">
      <text>
        <t>raw warhead damages: 20000, 10, 20000, 10000, 10, 20000, 10
import scales all proportionally</t>
      </text>
    </comment>
    <comment ref="AA124" authorId="0" shapeId="0">
      <text>
        <t>fires when: rank-elite</t>
      </text>
    </comment>
    <comment ref="K126" authorId="0" shapeId="0">
      <text>
        <t>raw warhead damages: 2000, 1, 2000, 1
import scales all proportionally</t>
      </text>
    </comment>
    <comment ref="K128" authorId="0" shapeId="0">
      <text>
        <t>raw warhead damages: 20000, 10
import scales all proportionally</t>
      </text>
    </comment>
    <comment ref="AA128" authorId="0" shapeId="0">
      <text>
        <t>fires when: !rank-elite</t>
      </text>
    </comment>
    <comment ref="K129" authorId="0" shapeId="0">
      <text>
        <t>raw warhead damages: 20000, 10
import scales all proportionally</t>
      </text>
    </comment>
    <comment ref="AA129" authorId="0" shapeId="0">
      <text>
        <t>fires when: rank-elite</t>
      </text>
    </comment>
    <comment ref="K131" authorId="0" shapeId="0">
      <text>
        <t>raw warhead damages: 10000, 5000, 5, 10000, 5000, 5, 10000, 5000, 5, 10000, 5, 10000, 5, 10000, 5
import scales all proportionally</t>
      </text>
    </comment>
    <comment ref="AA131" authorId="0" shapeId="0">
      <text>
        <t>fires when: !rank-elite</t>
      </text>
    </comment>
    <comment ref="K132" authorId="0" shapeId="0">
      <text>
        <t>raw warhead damages: 10000, 5000, 5, 10000, 5000, 5, 10000, 5000, 5, 10000, 5, 10000, 5, 10000, 5
import scales all proportionally</t>
      </text>
    </comment>
    <comment ref="AA132" authorId="0" shapeId="0">
      <text>
        <t>fires when: rank-elite</t>
      </text>
    </comment>
    <comment ref="K135" authorId="0" shapeId="0">
      <text>
        <t>raw warhead damages: 10000, 5000, 5, 10000, 5000, 5, 10000, 5000, 5, 10000, 5, 10000, 5, 10000, 5
import scales all proportionally</t>
      </text>
    </comment>
    <comment ref="K136" authorId="0" shapeId="0">
      <text>
        <t>raw warhead damages: 10000, 5000, 5, 10000, 5000, 5, 10000, 5, 10000, 5
import scales all proportionally</t>
      </text>
    </comment>
    <comment ref="K137" authorId="0" shapeId="0">
      <text>
        <t>raw warhead damages: 2000, 1000, 1, 2000, 1000, 1, 2000, 1000, 1
import scales all proportionally</t>
      </text>
    </comment>
    <comment ref="K141" authorId="0" shapeId="0">
      <text>
        <t>raw warhead damages: 14000, 7, 14000, 7
import scales all proportionally</t>
      </text>
    </comment>
    <comment ref="K143" authorId="0" shapeId="0">
      <text>
        <t>raw warhead damages: 50000, 25000, 25, 50000, 25, 50000, 25
import scales all proportionally</t>
      </text>
    </comment>
    <comment ref="AA143" authorId="0" shapeId="0">
      <text>
        <t>fires when: !rank-elite</t>
      </text>
    </comment>
    <comment ref="K144" authorId="0" shapeId="0">
      <text>
        <t>raw warhead damages: 50000, 25000, 25, 50000, 25, 50000, 25
import scales all proportionally</t>
      </text>
    </comment>
    <comment ref="AA144" authorId="0" shapeId="0">
      <text>
        <t>fires when: rank-elite</t>
      </text>
    </comment>
    <comment ref="K145" authorId="0" shapeId="0">
      <text>
        <t>raw warhead damages: 2000, 1000, 1, 2000, 1, 2000, 1, 2000, 1
import scales all proportionally</t>
      </text>
    </comment>
    <comment ref="K146" authorId="0" shapeId="0">
      <text>
        <t>raw warhead damages: 2000, 1000, 1, 2000, 1, 2000, 1, 2000, 1
import scales all proportionally</t>
      </text>
    </comment>
    <comment ref="K148" authorId="0" shapeId="0">
      <text>
        <t>raw warhead damages: 10000, 5
import scales all proportionally</t>
      </text>
    </comment>
    <comment ref="AA148" authorId="0" shapeId="0">
      <text>
        <t>fires when: !rank-elite</t>
      </text>
    </comment>
    <comment ref="K149" authorId="0" shapeId="0">
      <text>
        <t>raw warhead damages: 10000, 5
import scales all proportionally</t>
      </text>
    </comment>
    <comment ref="AA149" authorId="0" shapeId="0">
      <text>
        <t>fires when: rank-elite</t>
      </text>
    </comment>
    <comment ref="K150" authorId="0" shapeId="0">
      <text>
        <t>raw warhead damages: 16000, 8, 16000, 8000, 8, 16000, 8000, 8
import scales all proportionally</t>
      </text>
    </comment>
    <comment ref="K151" authorId="0" shapeId="0">
      <text>
        <t>raw warhead damages: 8000, 4, 8000, 4000, 4, 8000, 4
import scales all proportionally</t>
      </text>
    </comment>
    <comment ref="K153" authorId="0" shapeId="0">
      <text>
        <t>raw warhead damages: 30000, 14, 30000, 14, 20000, 10000, 14
import scales all proportionally</t>
      </text>
    </comment>
    <comment ref="K155" authorId="0" shapeId="0">
      <text>
        <t>raw warhead damages: 8000, 4
import scales all proportionally</t>
      </text>
    </comment>
    <comment ref="AA155" authorId="0" shapeId="0">
      <text>
        <t>fires when: !rank-elite</t>
      </text>
    </comment>
    <comment ref="K156" authorId="0" shapeId="0">
      <text>
        <t>raw warhead damages: 8000, 4
import scales all proportionally</t>
      </text>
    </comment>
    <comment ref="AA156" authorId="0" shapeId="0">
      <text>
        <t>fires when: rank-elite</t>
      </text>
    </comment>
    <comment ref="K158" authorId="0" shapeId="0">
      <text>
        <t>raw warhead damages: 10000, 5
import scales all proportionally</t>
      </text>
    </comment>
    <comment ref="AA158" authorId="0" shapeId="0">
      <text>
        <t>fires when: !rank-elite</t>
      </text>
    </comment>
    <comment ref="K159" authorId="0" shapeId="0">
      <text>
        <t>raw warhead damages: 10000, 5
import scales all proportionally</t>
      </text>
    </comment>
    <comment ref="AA159" authorId="0" shapeId="0">
      <text>
        <t>fires when: rank-elite</t>
      </text>
    </comment>
    <comment ref="K161" authorId="0" shapeId="0">
      <text>
        <t>raw warhead damages: 2000, 1000, 1, 2000, 1, 2000, 1, 2000, 1
import scales all proportionally</t>
      </text>
    </comment>
    <comment ref="AA161" authorId="0" shapeId="0">
      <text>
        <t>fires when: !rank-elite</t>
      </text>
    </comment>
    <comment ref="K162" authorId="0" shapeId="0">
      <text>
        <t>raw warhead damages: 2000, 1000, 1, 2000, 1, 2000, 1, 2000, 1
import scales all proportionally</t>
      </text>
    </comment>
    <comment ref="AA162" authorId="0" shapeId="0">
      <text>
        <t>fires when: rank-elite</t>
      </text>
    </comment>
    <comment ref="K163" authorId="0" shapeId="0">
      <text>
        <t>raw warhead damages: 2000, 1000, 1, 2000, 1, 2000, 1, 2000, 1
import scales all proportionally</t>
      </text>
    </comment>
    <comment ref="AA163" authorId="0" shapeId="0">
      <text>
        <t>fires when: !rank-elite</t>
      </text>
    </comment>
    <comment ref="K164" authorId="0" shapeId="0">
      <text>
        <t>raw warhead damages: 2000, 1000, 1, 2000, 1, 2000, 1, 2000, 1
import scales all proportionally</t>
      </text>
    </comment>
    <comment ref="AA164" authorId="0" shapeId="0">
      <text>
        <t>fires when: rank-elite</t>
      </text>
    </comment>
    <comment ref="K168" authorId="0" shapeId="0">
      <text>
        <t>raw warhead damages: 10000, 5000, 5, 10000, 5000, 5, 10000, 5000, 5, 10000, 5000, 5, 10000, 5
import scales all proportionally</t>
      </text>
    </comment>
    <comment ref="K170" authorId="0" shapeId="0">
      <text>
        <t>raw warhead damages: 2000, 1000, 1, 2000, 1, 2000, 1
import scales all proportionally</t>
      </text>
    </comment>
    <comment ref="K171" authorId="0" shapeId="0">
      <text>
        <t>raw warhead damages: 2000, 1000, 1, 2000, 1, 2000, 1
import scales all proportionally</t>
      </text>
    </comment>
    <comment ref="AA171" authorId="0" shapeId="0">
      <text>
        <t>fires when: rank-elite</t>
      </text>
    </comment>
    <comment ref="K173" authorId="0" shapeId="0">
      <text>
        <t>raw warhead damages: 6000, 3, 6000, 3, 6000, 3, 6000, 3
import scales all proportionally</t>
      </text>
    </comment>
    <comment ref="K174" authorId="0" shapeId="0">
      <text>
        <t>raw warhead damages: 10000, 5, 10000, 5
import scales all proportionally</t>
      </text>
    </comment>
    <comment ref="K176" authorId="0" shapeId="0">
      <text>
        <t>raw warhead damages: 10000, 5, 10000, 5
import scales all proportionally</t>
      </text>
    </comment>
    <comment ref="K177" authorId="0" shapeId="0">
      <text>
        <t>raw warhead damages: 10000, 5, 10000, 5
import scales all proportionally</t>
      </text>
    </comment>
    <comment ref="AA177" authorId="0" shapeId="0">
      <text>
        <t>fires when: rank-elite</t>
      </text>
    </comment>
    <comment ref="K178" authorId="0" shapeId="0">
      <text>
        <t>raw warhead damages: 2000, 1000, 1, 2000, 1, 2000, 1
import scales all proportionally</t>
      </text>
    </comment>
    <comment ref="K179" authorId="0" shapeId="0">
      <text>
        <t>raw warhead damages: 2000, 1000, 1, 2000, 1, 2000, 1
import scales all proportionally</t>
      </text>
    </comment>
    <comment ref="AA179" authorId="0" shapeId="0">
      <text>
        <t>fires when: rank-elite</t>
      </text>
    </comment>
    <comment ref="K181" authorId="0" shapeId="0">
      <text>
        <t>raw warhead damages: 2000, 1000, 1, 2000, 1, 2000, 1, 2000, 1
import scales all proportionally</t>
      </text>
    </comment>
    <comment ref="AA181" authorId="0" shapeId="0">
      <text>
        <t>fires when: !rank-elite</t>
      </text>
    </comment>
    <comment ref="K182" authorId="0" shapeId="0">
      <text>
        <t>raw warhead damages: 2000, 1000, 1, 2000, 1, 2000, 1, 2000, 1
import scales all proportionally</t>
      </text>
    </comment>
    <comment ref="AA182" authorId="0" shapeId="0">
      <text>
        <t>fires when: rank-elite</t>
      </text>
    </comment>
    <comment ref="K183" authorId="0" shapeId="0">
      <text>
        <t>raw warhead damages: 2000, 1000, 1, 2000, 1, 2000, 1, 2000, 1
import scales all proportionally</t>
      </text>
    </comment>
    <comment ref="AA183" authorId="0" shapeId="0">
      <text>
        <t>fires when: !rank-elite</t>
      </text>
    </comment>
    <comment ref="K184" authorId="0" shapeId="0">
      <text>
        <t>raw warhead damages: 2000, 1000, 1, 2000, 1, 2000, 1, 2000, 1
import scales all proportionally</t>
      </text>
    </comment>
    <comment ref="AA184" authorId="0" shapeId="0">
      <text>
        <t>fires when: rank-elite</t>
      </text>
    </comment>
    <comment ref="K187" authorId="0" shapeId="0">
      <text>
        <t>raw warhead damages: 16000, 8000, 8, 16000, 8, 16000, 8
import scales all proportionally</t>
      </text>
    </comment>
    <comment ref="K189" authorId="0" shapeId="0">
      <text>
        <t>raw warhead damages: 40000, 20, 40000, 20000, 20
import scales all proportionally</t>
      </text>
    </comment>
    <comment ref="K190" authorId="0" shapeId="0">
      <text>
        <t>raw warhead damages: 40000, 20, 40000, 20000, 20
import scales all proportionally</t>
      </text>
    </comment>
    <comment ref="K191" authorId="0" shapeId="0">
      <text>
        <t>raw warhead damages: 40000, 20, 40000, 20000, 20
import scales all proportionally</t>
      </text>
    </comment>
    <comment ref="K192" authorId="0" shapeId="0">
      <text>
        <t>raw warhead damages: 40000, 20, 40000, 20000, 20
import scales all proportionally</t>
      </text>
    </comment>
    <comment ref="K194" authorId="0" shapeId="0">
      <text>
        <t>raw warhead damages: 12000, 6000, 6, 12000, 6
import scales all proportionally</t>
      </text>
    </comment>
    <comment ref="K204" authorId="0" shapeId="0">
      <text>
        <t>raw warhead damages: 2000, 1000, 1, 2000, 1, 2000, 1, 2000, 1
import scales all proportionally</t>
      </text>
    </comment>
    <comment ref="K205" authorId="0" shapeId="0">
      <text>
        <t>raw warhead damages: 2000, 1000, 1, 2000, 1, 2000, 1, 2000, 1
import scales all proportionally</t>
      </text>
    </comment>
    <comment ref="K210" authorId="0" shapeId="0">
      <text>
        <t>raw warhead damages: 16000, 8, 16000, 8000, 8, 16000, 8000, 8
import scales all proportionally</t>
      </text>
    </comment>
    <comment ref="AA210" authorId="0" shapeId="0">
      <text>
        <t>fires when: mortar</t>
      </text>
    </comment>
    <comment ref="K211" authorId="0" shapeId="0">
      <text>
        <t>raw warhead damages: 4000, 2, 4000, 2
import scales all proportionally</t>
      </text>
    </comment>
    <comment ref="AA211" authorId="0" shapeId="0">
      <text>
        <t>fires when: mg</t>
      </text>
    </comment>
    <comment ref="K212" authorId="0" shapeId="0">
      <text>
        <t>raw warhead damages: 2000, 1000, 1, 2000, 1, 2000, 1, 2000, 1
import scales all proportionally</t>
      </text>
    </comment>
    <comment ref="AA212" authorId="0" shapeId="0">
      <text>
        <t>fires when: aa</t>
      </text>
    </comment>
    <comment ref="K218" authorId="0" shapeId="0">
      <text>
        <t>raw warhead damages: 32000, 16
import scales all proportionally</t>
      </text>
    </comment>
  </commentList>
</comments>
</file>

<file path=xl/comments/comment12.xml><?xml version="1.0" encoding="utf-8"?>
<comments xmlns="http://schemas.openxmlformats.org/spreadsheetml/2006/main">
  <authors>
    <author>balance-pipeline</author>
  </authors>
  <commentList>
    <comment ref="K4" authorId="0" shapeId="0">
      <text>
        <t>raw warhead damages: -2000, -1000, -1
import scales all proportionally</t>
      </text>
    </comment>
    <comment ref="K6" authorId="0" shapeId="0">
      <text>
        <t>raw warhead damages: 4000, 2000, 2, 4000, 2, 4000, 2
import scales all proportionally</t>
      </text>
    </comment>
    <comment ref="AA6" authorId="0" shapeId="0">
      <text>
        <t>fires when: !rank-elite</t>
      </text>
    </comment>
    <comment ref="K7" authorId="0" shapeId="0">
      <text>
        <t>raw warhead damages: 4000, 2000, 2, 4000, 2, 4000, 2
import scales all proportionally</t>
      </text>
    </comment>
    <comment ref="AA7" authorId="0" shapeId="0">
      <text>
        <t>fires when: rank-elite</t>
      </text>
    </comment>
    <comment ref="K8" authorId="0" shapeId="0">
      <text>
        <t>raw warhead damages: 4000, 2000, 2, 4000, 2, 4000, 2
import scales all proportionally</t>
      </text>
    </comment>
    <comment ref="AA8" authorId="0" shapeId="0">
      <text>
        <t>fires when: !rank-elite</t>
      </text>
    </comment>
    <comment ref="K9" authorId="0" shapeId="0">
      <text>
        <t>raw warhead damages: 4000, 2000, 2, 4000, 2, 4000, 2
import scales all proportionally</t>
      </text>
    </comment>
    <comment ref="AA9" authorId="0" shapeId="0">
      <text>
        <t>fires when: rank-elite</t>
      </text>
    </comment>
    <comment ref="K11" authorId="0" shapeId="0">
      <text>
        <t>raw warhead damages: 3000, 2, 3000, 2, 600
import scales all proportionally</t>
      </text>
    </comment>
    <comment ref="AA11" authorId="0" shapeId="0">
      <text>
        <t>fires when: !rank-elite &amp;&amp; !schwarzermond_upgrade_crystallens &amp;&amp; !schwarzermond_upgrade_amplifiedlens</t>
      </text>
    </comment>
    <comment ref="K12" authorId="0" shapeId="0">
      <text>
        <t>raw warhead damages: 3000, 2, 3000, 2, 600
import scales all proportionally</t>
      </text>
    </comment>
    <comment ref="AA12" authorId="0" shapeId="0">
      <text>
        <t>fires when: rank-elite &amp;&amp; !schwarzermond_upgrade_crystallens &amp;&amp; !schwarzermond_upgrade_amplifiedlens</t>
      </text>
    </comment>
    <comment ref="K13" authorId="0" shapeId="0">
      <text>
        <t>raw warhead damages: 3000, 2, 3000, 2, 600
import scales all proportionally</t>
      </text>
    </comment>
    <comment ref="AA13" authorId="0" shapeId="0">
      <text>
        <t>fires when: !rank-elite &amp;&amp; schwarzermond_upgrade_crystallens &amp;&amp; !schwarzermond_upgrade_amplifiedlens</t>
      </text>
    </comment>
    <comment ref="K14" authorId="0" shapeId="0">
      <text>
        <t>raw warhead damages: 3000, 2, 3000, 2, 600
import scales all proportionally</t>
      </text>
    </comment>
    <comment ref="AA14" authorId="0" shapeId="0">
      <text>
        <t>fires when: rank-elite &amp;&amp; schwarzermond_upgrade_crystallens &amp;&amp; !schwarzermond_upgrade_amplifiedlens</t>
      </text>
    </comment>
    <comment ref="K15" authorId="0" shapeId="0">
      <text>
        <t>raw warhead damages: 3000, 2, 3000, 2, 600
import scales all proportionally</t>
      </text>
    </comment>
    <comment ref="AA15" authorId="0" shapeId="0">
      <text>
        <t>fires when: !rank-elite &amp;&amp; schwarzermond_upgrade_amplifiedlens</t>
      </text>
    </comment>
    <comment ref="K16" authorId="0" shapeId="0">
      <text>
        <t>raw warhead damages: 3000, 2, 3000, 2, 600
import scales all proportionally</t>
      </text>
    </comment>
    <comment ref="AA16" authorId="0" shapeId="0">
      <text>
        <t>fires when: rank-elite &amp;&amp; schwarzermond_upgrade_amplifiedlens</t>
      </text>
    </comment>
    <comment ref="K17" authorId="0" shapeId="0">
      <text>
        <t>raw warhead damages: 3000, 2, 3000, 2, 600
import scales all proportionally</t>
      </text>
    </comment>
    <comment ref="AA17" authorId="0" shapeId="0">
      <text>
        <t>fires when: !rank-elite &amp;&amp; !schwarzermond_upgrade_crystallens &amp;&amp; !schwarzermond_upgrade_amplifiedlens</t>
      </text>
    </comment>
    <comment ref="K18" authorId="0" shapeId="0">
      <text>
        <t>raw warhead damages: 3000, 2, 3000, 2, 600
import scales all proportionally</t>
      </text>
    </comment>
    <comment ref="AA18" authorId="0" shapeId="0">
      <text>
        <t>fires when: rank-elite &amp;&amp; !schwarzermond_upgrade_crystallens &amp;&amp; !schwarzermond_upgrade_amplifiedlens</t>
      </text>
    </comment>
    <comment ref="K19" authorId="0" shapeId="0">
      <text>
        <t>raw warhead damages: 3000, 2, 3000, 2, 600
import scales all proportionally</t>
      </text>
    </comment>
    <comment ref="AA19" authorId="0" shapeId="0">
      <text>
        <t>fires when: !rank-elite &amp;&amp; schwarzermond_upgrade_crystallens &amp;&amp; !schwarzermond_upgrade_amplifiedlens</t>
      </text>
    </comment>
    <comment ref="K20" authorId="0" shapeId="0">
      <text>
        <t>raw warhead damages: 3000, 2, 3000, 2, 600
import scales all proportionally</t>
      </text>
    </comment>
    <comment ref="AA20" authorId="0" shapeId="0">
      <text>
        <t>fires when: rank-elite &amp;&amp; schwarzermond_upgrade_crystallens &amp;&amp; !schwarzermond_upgrade_amplifiedlens</t>
      </text>
    </comment>
    <comment ref="K21" authorId="0" shapeId="0">
      <text>
        <t>raw warhead damages: 3000, 2, 3000, 2, 600
import scales all proportionally</t>
      </text>
    </comment>
    <comment ref="AA21" authorId="0" shapeId="0">
      <text>
        <t>fires when: !rank-elite &amp;&amp; schwarzermond_upgrade_amplifiedlens</t>
      </text>
    </comment>
    <comment ref="K22" authorId="0" shapeId="0">
      <text>
        <t>raw warhead damages: 3000, 2, 3000, 2, 600
import scales all proportionally</t>
      </text>
    </comment>
    <comment ref="AA22" authorId="0" shapeId="0">
      <text>
        <t>fires when: rank-elite &amp;&amp; schwarzermond_upgrade_amplifiedlens</t>
      </text>
    </comment>
    <comment ref="K24" authorId="0" shapeId="0">
      <text>
        <t>raw warhead damages: 2000, 1000, 1, 2000, 1, 2000, 1, 2000, 1, 2000, 1, 600
import scales all proportionally</t>
      </text>
    </comment>
    <comment ref="AA24" authorId="0" shapeId="0">
      <text>
        <t>fires when: !rank-elite</t>
      </text>
    </comment>
    <comment ref="K25" authorId="0" shapeId="0">
      <text>
        <t>raw warhead damages: 2000, 1000, 1, 2000, 1, 2000, 1, 2000, 1, 2000, 1, 600
import scales all proportionally</t>
      </text>
    </comment>
    <comment ref="AA25" authorId="0" shapeId="0">
      <text>
        <t>fires when: rank-elite</t>
      </text>
    </comment>
    <comment ref="K27" authorId="0" shapeId="0">
      <text>
        <t>raw warhead damages: 2000, 1000, 1, 2000, 1, 2000, 1, 2000, 1, 2000, 1, 600
import scales all proportionally</t>
      </text>
    </comment>
    <comment ref="AA27" authorId="0" shapeId="0">
      <text>
        <t>fires when: !rank-elite &amp;&amp; !schwarzermond_upgrade_crystallens &amp;&amp; !schwarzermond_upgrade_amplifiedlens</t>
      </text>
    </comment>
    <comment ref="K28" authorId="0" shapeId="0">
      <text>
        <t>raw warhead damages: 2000, 1000, 1, 2000, 1, 2000, 1, 2000, 1, 2000, 1, 600
import scales all proportionally</t>
      </text>
    </comment>
    <comment ref="AA28" authorId="0" shapeId="0">
      <text>
        <t>fires when: rank-elite &amp;&amp; !schwarzermond_upgrade_crystallens &amp;&amp; !schwarzermond_upgrade_amplifiedlens</t>
      </text>
    </comment>
    <comment ref="K29" authorId="0" shapeId="0">
      <text>
        <t>raw warhead damages: 2000, 1000, 1, 2000, 1, 2000, 1, 2000, 1, 2000, 1, 600
import scales all proportionally</t>
      </text>
    </comment>
    <comment ref="AA29" authorId="0" shapeId="0">
      <text>
        <t>fires when: !rank-elite &amp;&amp; schwarzermond_upgrade_crystallens &amp;&amp; !schwarzermond_upgrade_amplifiedlens</t>
      </text>
    </comment>
    <comment ref="K30" authorId="0" shapeId="0">
      <text>
        <t>raw warhead damages: 2000, 1000, 1, 2000, 1, 2000, 1, 2000, 1, 2000, 1, 600
import scales all proportionally</t>
      </text>
    </comment>
    <comment ref="AA30" authorId="0" shapeId="0">
      <text>
        <t>fires when: rank-elite &amp;&amp; schwarzermond_upgrade_crystallens &amp;&amp; !schwarzermond_upgrade_amplifiedlens</t>
      </text>
    </comment>
    <comment ref="K31" authorId="0" shapeId="0">
      <text>
        <t>raw warhead damages: 2000, 1000, 1, 2000, 1, 2000, 1, 2000, 1, 2000, 1, 600
import scales all proportionally</t>
      </text>
    </comment>
    <comment ref="AA31" authorId="0" shapeId="0">
      <text>
        <t>fires when: !rank-elite &amp;&amp; schwarzermond_upgrade_amplifiedlens</t>
      </text>
    </comment>
    <comment ref="K32" authorId="0" shapeId="0">
      <text>
        <t>raw warhead damages: 2000, 1000, 1, 2000, 1, 2000, 1, 2000, 1, 2000, 1, 600
import scales all proportionally</t>
      </text>
    </comment>
    <comment ref="AA32" authorId="0" shapeId="0">
      <text>
        <t>fires when: rank-elite &amp;&amp; schwarzermond_upgrade_amplifiedlens</t>
      </text>
    </comment>
    <comment ref="K34" authorId="0" shapeId="0">
      <text>
        <t>raw warhead damages: 60000, 30, 600
import scales all proportionally</t>
      </text>
    </comment>
    <comment ref="AA34" authorId="0" shapeId="0">
      <text>
        <t>fires when: !rank-elite</t>
      </text>
    </comment>
    <comment ref="K35" authorId="0" shapeId="0">
      <text>
        <t>raw warhead damages: 60000, 30, 600
import scales all proportionally</t>
      </text>
    </comment>
    <comment ref="AA35" authorId="0" shapeId="0">
      <text>
        <t>fires when: rank-elite</t>
      </text>
    </comment>
    <comment ref="K36" authorId="0" shapeId="0">
      <text>
        <t>raw warhead damages: 60000, 30, 600
import scales all proportionally</t>
      </text>
    </comment>
    <comment ref="AA36" authorId="0" shapeId="0">
      <text>
        <t>fires when: !rank-elite</t>
      </text>
    </comment>
    <comment ref="K37" authorId="0" shapeId="0">
      <text>
        <t>raw warhead damages: 60000, 30, 600
import scales all proportionally</t>
      </text>
    </comment>
    <comment ref="AA37" authorId="0" shapeId="0">
      <text>
        <t>fires when: rank-elite</t>
      </text>
    </comment>
    <comment ref="K39" authorId="0" shapeId="0">
      <text>
        <t>raw warhead damages: 4000, 2000, 2, 4000, 2
import scales all proportionally</t>
      </text>
    </comment>
    <comment ref="AA39" authorId="0" shapeId="0">
      <text>
        <t>fires when: !rank-elite &amp;&amp; !schwarzermond_upgrade_crystallens &amp;&amp; !schwarzermond_upgrade_amplifiedlens</t>
      </text>
    </comment>
    <comment ref="K40" authorId="0" shapeId="0">
      <text>
        <t>raw warhead damages: 4000, 2000, 2, 4000, 2
import scales all proportionally</t>
      </text>
    </comment>
    <comment ref="AA40" authorId="0" shapeId="0">
      <text>
        <t>fires when: rank-elite &amp;&amp; !schwarzermond_upgrade_crystallens &amp;&amp; !schwarzermond_upgrade_amplifiedlens</t>
      </text>
    </comment>
    <comment ref="K41" authorId="0" shapeId="0">
      <text>
        <t>raw warhead damages: 4000, 2000, 2, 4000, 2
import scales all proportionally</t>
      </text>
    </comment>
    <comment ref="AA41" authorId="0" shapeId="0">
      <text>
        <t>fires when: !rank-elite &amp;&amp; !schwarzermond_upgrade_crystallens &amp;&amp; !schwarzermond_upgrade_amplifiedlens</t>
      </text>
    </comment>
    <comment ref="K42" authorId="0" shapeId="0">
      <text>
        <t>raw warhead damages: 4000, 2000, 2, 4000, 2
import scales all proportionally</t>
      </text>
    </comment>
    <comment ref="AA42" authorId="0" shapeId="0">
      <text>
        <t>fires when: rank-elite &amp;&amp; !schwarzermond_upgrade_crystallens &amp;&amp; !schwarzermond_upgrade_amplifiedlens</t>
      </text>
    </comment>
    <comment ref="K43" authorId="0" shapeId="0">
      <text>
        <t>raw warhead damages: 4000, 2000, 2, 4000, 2
import scales all proportionally</t>
      </text>
    </comment>
    <comment ref="AA43" authorId="0" shapeId="0">
      <text>
        <t>fires when: !rank-elite &amp;&amp; schwarzermond_upgrade_crystallens &amp;&amp; !schwarzermond_upgrade_amplifiedlens</t>
      </text>
    </comment>
    <comment ref="K44" authorId="0" shapeId="0">
      <text>
        <t>raw warhead damages: 4000, 2000, 2, 4000, 2
import scales all proportionally</t>
      </text>
    </comment>
    <comment ref="AA44" authorId="0" shapeId="0">
      <text>
        <t>fires when: rank-elite &amp;&amp; schwarzermond_upgrade_crystallens &amp;&amp; !schwarzermond_upgrade_amplifiedlens</t>
      </text>
    </comment>
    <comment ref="K45" authorId="0" shapeId="0">
      <text>
        <t>raw warhead damages: 4000, 2000, 2, 4000, 2
import scales all proportionally</t>
      </text>
    </comment>
    <comment ref="AA45" authorId="0" shapeId="0">
      <text>
        <t>fires when: !rank-elite &amp;&amp; schwarzermond_upgrade_crystallens &amp;&amp; !schwarzermond_upgrade_amplifiedlens</t>
      </text>
    </comment>
    <comment ref="K46" authorId="0" shapeId="0">
      <text>
        <t>raw warhead damages: 4000, 2000, 2, 4000, 2
import scales all proportionally</t>
      </text>
    </comment>
    <comment ref="AA46" authorId="0" shapeId="0">
      <text>
        <t>fires when: rank-elite &amp;&amp; schwarzermond_upgrade_crystallens &amp;&amp; !schwarzermond_upgrade_amplifiedlens</t>
      </text>
    </comment>
    <comment ref="K47" authorId="0" shapeId="0">
      <text>
        <t>raw warhead damages: 4000, 2000, 2, 4000, 2
import scales all proportionally</t>
      </text>
    </comment>
    <comment ref="AA47" authorId="0" shapeId="0">
      <text>
        <t>fires when: !rank-elite &amp;&amp; schwarzermond_upgrade_amplifiedlens</t>
      </text>
    </comment>
    <comment ref="K48" authorId="0" shapeId="0">
      <text>
        <t>raw warhead damages: 4000, 2000, 2, 4000, 2
import scales all proportionally</t>
      </text>
    </comment>
    <comment ref="AA48" authorId="0" shapeId="0">
      <text>
        <t>fires when: rank-elite &amp;&amp; schwarzermond_upgrade_amplifiedlens</t>
      </text>
    </comment>
    <comment ref="K49" authorId="0" shapeId="0">
      <text>
        <t>raw warhead damages: 4000, 2000, 2, 4000, 2
import scales all proportionally</t>
      </text>
    </comment>
    <comment ref="AA49" authorId="0" shapeId="0">
      <text>
        <t>fires when: !rank-elite &amp;&amp; schwarzermond_upgrade_amplifiedlens</t>
      </text>
    </comment>
    <comment ref="K50" authorId="0" shapeId="0">
      <text>
        <t>raw warhead damages: 4000, 2000, 2, 4000, 2
import scales all proportionally</t>
      </text>
    </comment>
    <comment ref="AA50" authorId="0" shapeId="0">
      <text>
        <t>fires when: rank-elite &amp;&amp; schwarzermond_upgrade_amplifiedlens</t>
      </text>
    </comment>
    <comment ref="K53" authorId="0" shapeId="0">
      <text>
        <t>raw warhead damages: 2000, 1000, 1
import scales all proportionally</t>
      </text>
    </comment>
    <comment ref="AA53" authorId="0" shapeId="0">
      <text>
        <t>fires when: !rank-elite</t>
      </text>
    </comment>
    <comment ref="K54" authorId="0" shapeId="0">
      <text>
        <t>raw warhead damages: 2000, 1000, 1
import scales all proportionally</t>
      </text>
    </comment>
    <comment ref="AA54" authorId="0" shapeId="0">
      <text>
        <t>fires when: rank-elite</t>
      </text>
    </comment>
    <comment ref="K56" authorId="0" shapeId="0">
      <text>
        <t>raw warhead damages: 100000, 50000, 50, 100000, 50, 600, 100000, 50, 1000
import scales all proportionally</t>
      </text>
    </comment>
    <comment ref="AA56" authorId="0" shapeId="0">
      <text>
        <t>fires when: !rank-elite</t>
      </text>
    </comment>
    <comment ref="K57" authorId="0" shapeId="0">
      <text>
        <t>raw warhead damages: 200000, 100000, 100, 200000, 100, 600, 200000, 100, 1000
import scales all proportionally</t>
      </text>
    </comment>
    <comment ref="AA57" authorId="0" shapeId="0">
      <text>
        <t>fires when: rank-elite</t>
      </text>
    </comment>
    <comment ref="K61" authorId="0" shapeId="0">
      <text>
        <t>raw warhead damages: 2000, 1000, 1, 2000, 1, 2000, 1
import scales all proportionally</t>
      </text>
    </comment>
    <comment ref="AA61" authorId="0" shapeId="0">
      <text>
        <t>fires when: !rank-elite</t>
      </text>
    </comment>
    <comment ref="K62" authorId="0" shapeId="0">
      <text>
        <t>raw warhead damages: 2000, 1000, 1, 2000, 1, 2000, 1
import scales all proportionally</t>
      </text>
    </comment>
    <comment ref="AA62" authorId="0" shapeId="0">
      <text>
        <t>fires when: rank-elite</t>
      </text>
    </comment>
    <comment ref="K64" authorId="0" shapeId="0">
      <text>
        <t>raw warhead damages: 2000, 1, 2000, 1, 2000, 1, 2000, 1, 600
import scales all proportionally</t>
      </text>
    </comment>
    <comment ref="AA64" authorId="0" shapeId="0">
      <text>
        <t>fires when: !schwarzermond_upgrade_crystallens &amp;&amp; !schwarzermond_upgrade_amplifiedlens</t>
      </text>
    </comment>
    <comment ref="K65" authorId="0" shapeId="0">
      <text>
        <t>raw warhead damages: 2000, 1, 2000, 1, 2000, 1, 2000, 1, 600
import scales all proportionally</t>
      </text>
    </comment>
    <comment ref="AA65" authorId="0" shapeId="0">
      <text>
        <t>fires when: !schwarzermond_upgrade_crystallens &amp;&amp; !schwarzermond_upgrade_amplifiedlens</t>
      </text>
    </comment>
    <comment ref="K66" authorId="0" shapeId="0">
      <text>
        <t>raw warhead damages: 2000, 1, 2000, 1, 2000, 1, 2000, 1, 600
import scales all proportionally</t>
      </text>
    </comment>
    <comment ref="AA66" authorId="0" shapeId="0">
      <text>
        <t>fires when: schwarzermond_upgrade_crystallens &amp;&amp; !schwarzermond_upgrade_amplifiedlens</t>
      </text>
    </comment>
    <comment ref="K67" authorId="0" shapeId="0">
      <text>
        <t>raw warhead damages: 2000, 1, 2000, 1, 2000, 1, 2000, 1, 600
import scales all proportionally</t>
      </text>
    </comment>
    <comment ref="AA67" authorId="0" shapeId="0">
      <text>
        <t>fires when: schwarzermond_upgrade_crystallens &amp;&amp; !schwarzermond_upgrade_amplifiedlens</t>
      </text>
    </comment>
    <comment ref="K68" authorId="0" shapeId="0">
      <text>
        <t>raw warhead damages: 2000, 1, 2000, 1, 2000, 1, 2000, 1, 600
import scales all proportionally</t>
      </text>
    </comment>
    <comment ref="AA68" authorId="0" shapeId="0">
      <text>
        <t>fires when: schwarzermond_upgrade_amplifiedlens</t>
      </text>
    </comment>
    <comment ref="K69" authorId="0" shapeId="0">
      <text>
        <t>raw warhead damages: 2000, 1, 2000, 1, 2000, 1, 2000, 1, 600
import scales all proportionally</t>
      </text>
    </comment>
    <comment ref="AA69" authorId="0" shapeId="0">
      <text>
        <t>fires when: schwarzermond_upgrade_amplifiedlens</t>
      </text>
    </comment>
    <comment ref="K71" authorId="0" shapeId="0">
      <text>
        <t>raw warhead damages: 2000, 1, 2000, 1, 2000, 1, 2000, 1, 600
import scales all proportionally</t>
      </text>
    </comment>
    <comment ref="AA71" authorId="0" shapeId="0">
      <text>
        <t>fires when: !schwarzermond_upgrade_crystallens &amp;&amp; !schwarzermond_upgrade_amplifiedlens</t>
      </text>
    </comment>
    <comment ref="K72" authorId="0" shapeId="0">
      <text>
        <t>raw warhead damages: 2000, 1, 2000, 1, 2000, 1, 2000, 1, 600
import scales all proportionally</t>
      </text>
    </comment>
    <comment ref="AA72" authorId="0" shapeId="0">
      <text>
        <t>fires when: !schwarzermond_upgrade_crystallens &amp;&amp; !schwarzermond_upgrade_amplifiedlens</t>
      </text>
    </comment>
    <comment ref="K73" authorId="0" shapeId="0">
      <text>
        <t>raw warhead damages: 2000, 1, 2000, 1, 2000, 1, 2000, 1, 600
import scales all proportionally</t>
      </text>
    </comment>
    <comment ref="AA73" authorId="0" shapeId="0">
      <text>
        <t>fires when: schwarzermond_upgrade_crystallens &amp;&amp; !schwarzermond_upgrade_amplifiedlens</t>
      </text>
    </comment>
    <comment ref="K74" authorId="0" shapeId="0">
      <text>
        <t>raw warhead damages: 2000, 1, 2000, 1, 2000, 1, 2000, 1, 600
import scales all proportionally</t>
      </text>
    </comment>
    <comment ref="AA74" authorId="0" shapeId="0">
      <text>
        <t>fires when: schwarzermond_upgrade_crystallens &amp;&amp; !schwarzermond_upgrade_amplifiedlens</t>
      </text>
    </comment>
    <comment ref="K75" authorId="0" shapeId="0">
      <text>
        <t>raw warhead damages: 2000, 1, 2000, 1, 2000, 1, 2000, 1, 600
import scales all proportionally</t>
      </text>
    </comment>
    <comment ref="AA75" authorId="0" shapeId="0">
      <text>
        <t>fires when: schwarzermond_upgrade_amplifiedlens</t>
      </text>
    </comment>
    <comment ref="K76" authorId="0" shapeId="0">
      <text>
        <t>raw warhead damages: 2000, 1, 2000, 1, 2000, 1, 2000, 1, 600
import scales all proportionally</t>
      </text>
    </comment>
    <comment ref="AA76" authorId="0" shapeId="0">
      <text>
        <t>fires when: schwarzermond_upgrade_amplifiedlens</t>
      </text>
    </comment>
    <comment ref="K78" authorId="0" shapeId="0">
      <text>
        <t>raw warhead damages: 16000, 8, 16000, 8000, 8, 16000, 8000, 8
import scales all proportionally</t>
      </text>
    </comment>
    <comment ref="AA78" authorId="0" shapeId="0">
      <text>
        <t>fires when: !rank-elite &amp;&amp; !schwarzermond_upgrade_vrilpoweredweapons</t>
      </text>
    </comment>
    <comment ref="K79" authorId="0" shapeId="0">
      <text>
        <t>raw warhead damages: 16000, 8, 16000, 8000, 8, 16000, 8000, 8
import scales all proportionally</t>
      </text>
    </comment>
    <comment ref="AA79" authorId="0" shapeId="0">
      <text>
        <t>fires when: rank-elite &amp;&amp; !schwarzermond_upgrade_vrilpoweredweapons</t>
      </text>
    </comment>
    <comment ref="K80" authorId="0" shapeId="0">
      <text>
        <t>raw warhead damages: 16000, 8000, 8, 16000, 8, 16000, 8000, 8, 16000, 8000, 8
import scales all proportionally</t>
      </text>
    </comment>
    <comment ref="AA80" authorId="0" shapeId="0">
      <text>
        <t>fires when: !rank-elite &amp;&amp; schwarzermond_upgrade_vrilpoweredweapons</t>
      </text>
    </comment>
    <comment ref="K81" authorId="0" shapeId="0">
      <text>
        <t>raw warhead damages: 16000, 8000, 8, 16000, 8, 16000, 8000, 8, 16000, 8000, 8
import scales all proportionally</t>
      </text>
    </comment>
    <comment ref="AA81" authorId="0" shapeId="0">
      <text>
        <t>fires when: rank-elite &amp;&amp; schwarzermond_upgrade_vrilpoweredweapons</t>
      </text>
    </comment>
    <comment ref="K83" authorId="0" shapeId="0">
      <text>
        <t>raw warhead damages: 10000, 5
import scales all proportionally</t>
      </text>
    </comment>
    <comment ref="AA83" authorId="0" shapeId="0">
      <text>
        <t>fires when: !rank-elite &amp;&amp; !schwarzermond_upgrade_vrilpoweredweapons</t>
      </text>
    </comment>
    <comment ref="K84" authorId="0" shapeId="0">
      <text>
        <t>raw warhead damages: 10000, 5
import scales all proportionally</t>
      </text>
    </comment>
    <comment ref="AA84" authorId="0" shapeId="0">
      <text>
        <t>fires when: rank-elite &amp;&amp; !schwarzermond_upgrade_vrilpoweredweapons</t>
      </text>
    </comment>
    <comment ref="K85" authorId="0" shapeId="0">
      <text>
        <t>raw warhead damages: 8000, 4000, 4, 8000, 4
import scales all proportionally</t>
      </text>
    </comment>
    <comment ref="AA85" authorId="0" shapeId="0">
      <text>
        <t>fires when: !rank-elite &amp;&amp; schwarzermond_upgrade_vrilpoweredweapons</t>
      </text>
    </comment>
    <comment ref="K86" authorId="0" shapeId="0">
      <text>
        <t>raw warhead damages: 8000, 4000, 4, 8000, 4
import scales all proportionally</t>
      </text>
    </comment>
    <comment ref="AA86" authorId="0" shapeId="0">
      <text>
        <t>fires when: rank-elite &amp;&amp; schwarzermond_upgrade_vrilpoweredweapons</t>
      </text>
    </comment>
    <comment ref="K88" authorId="0" shapeId="0">
      <text>
        <t>raw warhead damages: 4000, 2000, 2, 4000, 2, 4000, 2000, 2, 4000, 2
import scales all proportionally</t>
      </text>
    </comment>
    <comment ref="AA88" authorId="0" shapeId="0">
      <text>
        <t>fires when: !rank-elite &amp;&amp; !schwarzermond_upgrade_vrilpoweredweapons</t>
      </text>
    </comment>
    <comment ref="K89" authorId="0" shapeId="0">
      <text>
        <t>raw warhead damages: 4000, 2000, 2, 4000, 2, 4000, 2000, 2, 4000, 2
import scales all proportionally</t>
      </text>
    </comment>
    <comment ref="AA89" authorId="0" shapeId="0">
      <text>
        <t>fires when: rank-elite &amp;&amp; !schwarzermond_upgrade_vrilpoweredweapons</t>
      </text>
    </comment>
    <comment ref="K90" authorId="0" shapeId="0">
      <text>
        <t>raw warhead damages: 4000, 2000, 2, 4000, 2000, 2, 4000, 2, 4000, 2000, 2, 4000, 2
import scales all proportionally</t>
      </text>
    </comment>
    <comment ref="AA90" authorId="0" shapeId="0">
      <text>
        <t>fires when: !rank-elite &amp;&amp; schwarzermond_upgrade_vrilpoweredweapons</t>
      </text>
    </comment>
    <comment ref="K91" authorId="0" shapeId="0">
      <text>
        <t>raw warhead damages: 4000, 2000, 2, 4000, 2000, 2, 4000, 2, 4000, 2000, 2, 4000, 2
import scales all proportionally</t>
      </text>
    </comment>
    <comment ref="AA91" authorId="0" shapeId="0">
      <text>
        <t>fires when: rank-elite &amp;&amp; schwarzermond_upgrade_vrilpoweredweapons</t>
      </text>
    </comment>
    <comment ref="K93" authorId="0" shapeId="0">
      <text>
        <t>raw warhead damages: 8000, 4, 8000, 4000, 4, 8000, 4, 8000, 4
import scales all proportionally</t>
      </text>
    </comment>
    <comment ref="K94" authorId="0" shapeId="0">
      <text>
        <t>raw warhead damages: 8000, 4, 8000, 4000, 4, 8000, 4, 8000, 4
import scales all proportionally</t>
      </text>
    </comment>
    <comment ref="K99" authorId="0" shapeId="0">
      <text>
        <t>raw warhead damages: 30000, 15, 30000, 15000, 15, 30000, 15
import scales all proportionally</t>
      </text>
    </comment>
    <comment ref="AA99" authorId="0" shapeId="0">
      <text>
        <t>fires when: !rank-elite &amp;&amp; !schwarzermond_upgrade_vrilpoweredweapons</t>
      </text>
    </comment>
    <comment ref="K100" authorId="0" shapeId="0">
      <text>
        <t>raw warhead damages: 30000, 15, 30000, 15000, 15, 30000, 15
import scales all proportionally</t>
      </text>
    </comment>
    <comment ref="AA100" authorId="0" shapeId="0">
      <text>
        <t>fires when: rank-elite &amp;&amp; !schwarzermond_upgrade_vrilpoweredweapons</t>
      </text>
    </comment>
    <comment ref="K101" authorId="0" shapeId="0">
      <text>
        <t>raw warhead damages: 30000, 15000, 15, 30000, 15, 30000, 15000, 15, 30000, 15
import scales all proportionally</t>
      </text>
    </comment>
    <comment ref="AA101" authorId="0" shapeId="0">
      <text>
        <t>fires when: !rank-elite &amp;&amp; schwarzermond_upgrade_vrilpoweredweapons</t>
      </text>
    </comment>
    <comment ref="K102" authorId="0" shapeId="0">
      <text>
        <t>raw warhead damages: 30000, 15000, 15, 30000, 15, 30000, 15000, 15, 30000, 15
import scales all proportionally</t>
      </text>
    </comment>
    <comment ref="AA102" authorId="0" shapeId="0">
      <text>
        <t>fires when: rank-elite &amp;&amp; schwarzermond_upgrade_vrilpoweredweapons</t>
      </text>
    </comment>
    <comment ref="K107" authorId="0" shapeId="0">
      <text>
        <t>raw warhead damages: 2000, 1000, 1, 2000, 1, 2000, 1
import scales all proportionally</t>
      </text>
    </comment>
    <comment ref="K109" authorId="0" shapeId="0">
      <text>
        <t>raw warhead damages: 10000, 5000, 5
import scales all proportionally</t>
      </text>
    </comment>
    <comment ref="K111" authorId="0" shapeId="0">
      <text>
        <t>raw warhead damages: 2000, 1, 2000, 1, 2000, 1, 2000, 1, 600
import scales all proportionally</t>
      </text>
    </comment>
    <comment ref="K112" authorId="0" shapeId="0">
      <text>
        <t>raw warhead damages: 2000, 1, 2000, 1, 2000, 1, 2000, 1, 2000, 1, 2000, 1
import scales all proportionally</t>
      </text>
    </comment>
    <comment ref="K114" authorId="0" shapeId="0">
      <text>
        <t>raw warhead damages: 2000, 1000, 1, 2000, 1, 2000, 1
import scales all proportionally</t>
      </text>
    </comment>
    <comment ref="AA114" authorId="0" shapeId="0">
      <text>
        <t>fires when: !rank-elite</t>
      </text>
    </comment>
    <comment ref="K115" authorId="0" shapeId="0">
      <text>
        <t>raw warhead damages: 2000, 1000, 1, 2000, 1, 2000, 1
import scales all proportionally</t>
      </text>
    </comment>
    <comment ref="AA115" authorId="0" shapeId="0">
      <text>
        <t>fires when: rank-elite</t>
      </text>
    </comment>
    <comment ref="K117" authorId="0" shapeId="0">
      <text>
        <t>raw warhead damages: 2000, 1000, 1, 2000, 1, 2000, 1
import scales all proportionally</t>
      </text>
    </comment>
    <comment ref="AA117" authorId="0" shapeId="0">
      <text>
        <t>fires when: !rank-elite</t>
      </text>
    </comment>
    <comment ref="K118" authorId="0" shapeId="0">
      <text>
        <t>raw warhead damages: 2000, 1000, 1, 2000, 1, 2000, 1
import scales all proportionally</t>
      </text>
    </comment>
    <comment ref="AA118" authorId="0" shapeId="0">
      <text>
        <t>fires when: rank-elite</t>
      </text>
    </comment>
    <comment ref="K119" authorId="0" shapeId="0">
      <text>
        <t>raw warhead damages: 10000, 10, 1000
import scales all proportionally</t>
      </text>
    </comment>
    <comment ref="K121" authorId="0" shapeId="0">
      <text>
        <t>raw warhead damages: 2000, 1, 2000, 1, 2000, 1, 2000, 1, 600
import scales all proportionally</t>
      </text>
    </comment>
    <comment ref="AA121" authorId="0" shapeId="0">
      <text>
        <t>fires when: !rank-elite &amp;&amp; !schwarzermond_upgrade_crystallens &amp;&amp; !schwarzermond_upgrade_amplifiedlens</t>
      </text>
    </comment>
    <comment ref="K122" authorId="0" shapeId="0">
      <text>
        <t>raw warhead damages: 2000, 1, 2000, 1, 2000, 1, 2000, 1, 600
import scales all proportionally</t>
      </text>
    </comment>
    <comment ref="AA122" authorId="0" shapeId="0">
      <text>
        <t>fires when: rank-elite &amp;&amp; !schwarzermond_upgrade_crystallens &amp;&amp; !schwarzermond_upgrade_amplifiedlens</t>
      </text>
    </comment>
    <comment ref="K123" authorId="0" shapeId="0">
      <text>
        <t>raw warhead damages: 2000, 1, 2000, 1, 2000, 1, 2000, 1, 600
import scales all proportionally</t>
      </text>
    </comment>
    <comment ref="AA123" authorId="0" shapeId="0">
      <text>
        <t>fires when: !rank-elite &amp;&amp; !schwarzermond_upgrade_crystallens &amp;&amp; !schwarzermond_upgrade_amplifiedlens</t>
      </text>
    </comment>
    <comment ref="K124" authorId="0" shapeId="0">
      <text>
        <t>raw warhead damages: 2000, 1, 2000, 1, 2000, 1, 2000, 1, 600
import scales all proportionally</t>
      </text>
    </comment>
    <comment ref="AA124" authorId="0" shapeId="0">
      <text>
        <t>fires when: rank-elite &amp;&amp; !schwarzermond_upgrade_crystallens &amp;&amp; !schwarzermond_upgrade_amplifiedlens</t>
      </text>
    </comment>
    <comment ref="K125" authorId="0" shapeId="0">
      <text>
        <t>raw warhead damages: 2000, 1, 2000, 1, 2000, 1, 2000, 1, 600
import scales all proportionally</t>
      </text>
    </comment>
    <comment ref="AA125" authorId="0" shapeId="0">
      <text>
        <t>fires when: !rank-elite &amp;&amp; schwarzermond_upgrade_crystallens &amp;&amp; !schwarzermond_upgrade_amplifiedlens</t>
      </text>
    </comment>
    <comment ref="K126" authorId="0" shapeId="0">
      <text>
        <t>raw warhead damages: 2000, 1, 2000, 1, 2000, 1, 2000, 1, 600
import scales all proportionally</t>
      </text>
    </comment>
    <comment ref="AA126" authorId="0" shapeId="0">
      <text>
        <t>fires when: rank-elite &amp;&amp; schwarzermond_upgrade_crystallens &amp;&amp; !schwarzermond_upgrade_amplifiedlens</t>
      </text>
    </comment>
    <comment ref="K127" authorId="0" shapeId="0">
      <text>
        <t>raw warhead damages: 2000, 1, 2000, 1, 2000, 1, 2000, 1, 600
import scales all proportionally</t>
      </text>
    </comment>
    <comment ref="AA127" authorId="0" shapeId="0">
      <text>
        <t>fires when: !rank-elite &amp;&amp; schwarzermond_upgrade_crystallens &amp;&amp; !schwarzermond_upgrade_amplifiedlens</t>
      </text>
    </comment>
    <comment ref="K128" authorId="0" shapeId="0">
      <text>
        <t>raw warhead damages: 2000, 1, 2000, 1, 2000, 1, 2000, 1, 600
import scales all proportionally</t>
      </text>
    </comment>
    <comment ref="AA128" authorId="0" shapeId="0">
      <text>
        <t>fires when: rank-elite &amp;&amp; schwarzermond_upgrade_crystallens &amp;&amp; !schwarzermond_upgrade_amplifiedlens</t>
      </text>
    </comment>
    <comment ref="K129" authorId="0" shapeId="0">
      <text>
        <t>raw warhead damages: 2000, 1, 2000, 1, 2000, 1, 2000, 1, 600
import scales all proportionally</t>
      </text>
    </comment>
    <comment ref="AA129" authorId="0" shapeId="0">
      <text>
        <t>fires when: !rank-elite &amp;&amp; schwarzermond_upgrade_amplifiedlens</t>
      </text>
    </comment>
    <comment ref="K130" authorId="0" shapeId="0">
      <text>
        <t>raw warhead damages: 2000, 1, 2000, 1, 2000, 1, 2000, 1, 600
import scales all proportionally</t>
      </text>
    </comment>
    <comment ref="AA130" authorId="0" shapeId="0">
      <text>
        <t>fires when: rank-elite &amp;&amp; schwarzermond_upgrade_amplifiedlens</t>
      </text>
    </comment>
    <comment ref="K131" authorId="0" shapeId="0">
      <text>
        <t>raw warhead damages: 2000, 1, 2000, 1, 2000, 1, 2000, 1, 600
import scales all proportionally</t>
      </text>
    </comment>
    <comment ref="AA131" authorId="0" shapeId="0">
      <text>
        <t>fires when: !rank-elite &amp;&amp; schwarzermond_upgrade_amplifiedlens</t>
      </text>
    </comment>
    <comment ref="K132" authorId="0" shapeId="0">
      <text>
        <t>raw warhead damages: 2000, 1, 2000, 1, 2000, 1, 2000, 1, 600
import scales all proportionally</t>
      </text>
    </comment>
    <comment ref="AA132" authorId="0" shapeId="0">
      <text>
        <t>fires when: rank-elite &amp;&amp; schwarzermond_upgrade_amplifiedlens</t>
      </text>
    </comment>
    <comment ref="K141" authorId="0" shapeId="0">
      <text>
        <t>raw warhead damages: 2000, 1, 2000, 1, 2000, 1, 2000, 1, 600
import scales all proportionally</t>
      </text>
    </comment>
    <comment ref="AA141" authorId="0" shapeId="0">
      <text>
        <t>fires when: !schwarzermond_upgrade_crystallens &amp;&amp; !schwarzermond_upgrade_amplifiedlens</t>
      </text>
    </comment>
    <comment ref="K142" authorId="0" shapeId="0">
      <text>
        <t>raw warhead damages: 2000, 1, 2000, 1, 2000, 1, 2000, 1, 600
import scales all proportionally</t>
      </text>
    </comment>
    <comment ref="AA142" authorId="0" shapeId="0">
      <text>
        <t>fires when: schwarzermond_upgrade_crystallens &amp;&amp; !schwarzermond_upgrade_amplifiedlens</t>
      </text>
    </comment>
    <comment ref="K143" authorId="0" shapeId="0">
      <text>
        <t>raw warhead damages: 2000, 1, 2000, 1, 2000, 1, 2000, 1, 600
import scales all proportionally</t>
      </text>
    </comment>
    <comment ref="AA143" authorId="0" shapeId="0">
      <text>
        <t>fires when: schwarzermond_upgrade_amplifiedlens</t>
      </text>
    </comment>
    <comment ref="K149" authorId="0" shapeId="0">
      <text>
        <t>raw warhead damages: 30000, 14, 30000, 14, 20000, 10000, 14
import scales all proportionally</t>
      </text>
    </comment>
    <comment ref="AA149" authorId="0" shapeId="0">
      <text>
        <t>fires when: !schwarzermond_upgrade_vrilpoweredweapons</t>
      </text>
    </comment>
    <comment ref="K150" authorId="0" shapeId="0">
      <text>
        <t>raw warhead damages: 2000, 1000, 1, 30000, 14, 30000, 14, 20000, 10000, 14
import scales all proportionally</t>
      </text>
    </comment>
    <comment ref="AA150" authorId="0" shapeId="0">
      <text>
        <t>fires when: schwarzermond_upgrade_vrilpoweredweapons</t>
      </text>
    </comment>
  </commentList>
</comments>
</file>

<file path=xl/comments/comment13.xml><?xml version="1.0" encoding="utf-8"?>
<comments xmlns="http://schemas.openxmlformats.org/spreadsheetml/2006/main">
  <authors>
    <author>balance-pipeline</author>
  </authors>
  <commentList>
    <comment ref="K7" authorId="0" shapeId="0">
      <text>
        <t>raw warhead damages: 6000, 3, 6000, 3, 6000, 3
import scales all proportionally</t>
      </text>
    </comment>
    <comment ref="AA7" authorId="0" shapeId="0">
      <text>
        <t>fires when: !rank-elite</t>
      </text>
    </comment>
    <comment ref="K8" authorId="0" shapeId="0">
      <text>
        <t>raw warhead damages: 6000, 3, 6000, 3, 6000, 3
import scales all proportionally</t>
      </text>
    </comment>
    <comment ref="AA8" authorId="0" shapeId="0">
      <text>
        <t>fires when: rank-elite</t>
      </text>
    </comment>
    <comment ref="K9" authorId="0" shapeId="0">
      <text>
        <t>raw warhead damages: 60000, 30, 60000, 30000, 30, 60000, 30
import scales all proportionally</t>
      </text>
    </comment>
    <comment ref="AA9" authorId="0" shapeId="0">
      <text>
        <t>fires when: !rank-elite</t>
      </text>
    </comment>
    <comment ref="K10" authorId="0" shapeId="0">
      <text>
        <t>raw warhead damages: 120000, 60, 120000, 60000, 60, 120000, 60
import scales all proportionally</t>
      </text>
    </comment>
    <comment ref="AA10" authorId="0" shapeId="0">
      <text>
        <t>fires when: rank-elite</t>
      </text>
    </comment>
    <comment ref="K11" authorId="0" shapeId="0">
      <text>
        <t>raw warhead damages: 6000, 3, 6000, 3, 6000, 3
import scales all proportionally</t>
      </text>
    </comment>
    <comment ref="AA11" authorId="0" shapeId="0">
      <text>
        <t>fires when: !rank-elite</t>
      </text>
    </comment>
    <comment ref="K12" authorId="0" shapeId="0">
      <text>
        <t>raw warhead damages: 6000, 3, 6000, 3, 6000, 3
import scales all proportionally</t>
      </text>
    </comment>
    <comment ref="AA12" authorId="0" shapeId="0">
      <text>
        <t>fires when: rank-elite</t>
      </text>
    </comment>
    <comment ref="K13" authorId="0" shapeId="0">
      <text>
        <t>raw warhead damages: 60000, 30, 60000, 30000, 30, 60000, 30
import scales all proportionally</t>
      </text>
    </comment>
    <comment ref="AA13" authorId="0" shapeId="0">
      <text>
        <t>fires when: !rank-elite</t>
      </text>
    </comment>
    <comment ref="K14" authorId="0" shapeId="0">
      <text>
        <t>raw warhead damages: 120000, 60, 120000, 60000, 60, 120000, 60
import scales all proportionally</t>
      </text>
    </comment>
    <comment ref="AA14" authorId="0" shapeId="0">
      <text>
        <t>fires when: rank-elite</t>
      </text>
    </comment>
    <comment ref="K16" authorId="0" shapeId="0">
      <text>
        <t>raw warhead damages: 10000, 5000, 5, 10000, 5000, 5, 10000, 5
import scales all proportionally</t>
      </text>
    </comment>
    <comment ref="AA16" authorId="0" shapeId="0">
      <text>
        <t>fires when: (!latinsyndicate_upgrade_asianalliancestolentechhotfire &amp;&amp; !rank-elite)</t>
      </text>
    </comment>
    <comment ref="K17" authorId="0" shapeId="0">
      <text>
        <t>raw warhead damages: 10000, 5000, 5, 10000, 5000, 5, 10000, 5
import scales all proportionally</t>
      </text>
    </comment>
    <comment ref="AA17" authorId="0" shapeId="0">
      <text>
        <t>fires when: (latinsyndicate_upgrade_asianalliancestolentechhotfire &amp;&amp; !rank-elite) || (!latinsyndicate_upgrade_asianalliancestolentechhotfire &amp;&amp; rank-elite)</t>
      </text>
    </comment>
    <comment ref="K18" authorId="0" shapeId="0">
      <text>
        <t>raw warhead damages: 10000, 5000, 5, 10000, 5000, 5, 10000, 5
import scales all proportionally</t>
      </text>
    </comment>
    <comment ref="AA18" authorId="0" shapeId="0">
      <text>
        <t>fires when: (latinsyndicate_upgrade_asianalliancestolentechhotfire &amp;&amp; rank-elite)</t>
      </text>
    </comment>
    <comment ref="K19" authorId="0" shapeId="0">
      <text>
        <t>raw warhead damages: 10000, 5000, 5, 10000, 5000, 5, 10000, 5
import scales all proportionally</t>
      </text>
    </comment>
    <comment ref="AA19" authorId="0" shapeId="0">
      <text>
        <t>fires when: (!latinsyndicate_upgrade_asianalliancestolentechhotfire &amp;&amp; !rank-elite)</t>
      </text>
    </comment>
    <comment ref="K20" authorId="0" shapeId="0">
      <text>
        <t>raw warhead damages: 10000, 5000, 5, 10000, 5000, 5, 10000, 5
import scales all proportionally</t>
      </text>
    </comment>
    <comment ref="AA20" authorId="0" shapeId="0">
      <text>
        <t>fires when: (latinsyndicate_upgrade_asianalliancestolentechhotfire &amp;&amp; !rank-elite) || (!latinsyndicate_upgrade_asianalliancestolentechhotfire &amp;&amp; rank-elite)</t>
      </text>
    </comment>
    <comment ref="K21" authorId="0" shapeId="0">
      <text>
        <t>raw warhead damages: 10000, 5000, 5, 10000, 5000, 5, 10000, 5
import scales all proportionally</t>
      </text>
    </comment>
    <comment ref="AA21" authorId="0" shapeId="0">
      <text>
        <t>fires when: (latinsyndicate_upgrade_asianalliancestolentechhotfire &amp;&amp; rank-elite)</t>
      </text>
    </comment>
    <comment ref="K23" authorId="0" shapeId="0">
      <text>
        <t>raw warhead damages: 2000, 1000, 1, 2000, 1000, 1, 2000, 1000, 1
import scales all proportionally</t>
      </text>
    </comment>
    <comment ref="AA23" authorId="0" shapeId="0">
      <text>
        <t>fires when: !rank-elite</t>
      </text>
    </comment>
    <comment ref="K24" authorId="0" shapeId="0">
      <text>
        <t>raw warhead damages: 2000, 1000, 1, 2000, 1000, 1, 2000, 1000, 1
import scales all proportionally</t>
      </text>
    </comment>
    <comment ref="AA24" authorId="0" shapeId="0">
      <text>
        <t>fires when: rank-elite</t>
      </text>
    </comment>
    <comment ref="K25" authorId="0" shapeId="0">
      <text>
        <t>raw warhead damages: 2000, 1000, 1, 2000, 1000, 1, 2000, 1000, 1
import scales all proportionally</t>
      </text>
    </comment>
    <comment ref="AA25" authorId="0" shapeId="0">
      <text>
        <t>fires when: !rank-elite</t>
      </text>
    </comment>
    <comment ref="K26" authorId="0" shapeId="0">
      <text>
        <t>raw warhead damages: 2000, 1000, 1, 2000, 1000, 1, 2000, 1000, 1
import scales all proportionally</t>
      </text>
    </comment>
    <comment ref="AA26" authorId="0" shapeId="0">
      <text>
        <t>fires when: rank-elite</t>
      </text>
    </comment>
    <comment ref="K28" authorId="0" shapeId="0">
      <text>
        <t>raw warhead damages: 2000, 1
import scales all proportionally</t>
      </text>
    </comment>
    <comment ref="AA28" authorId="0" shapeId="0">
      <text>
        <t>fires when: !rank-elite</t>
      </text>
    </comment>
    <comment ref="K29" authorId="0" shapeId="0">
      <text>
        <t>raw warhead damages: 2000, 1
import scales all proportionally</t>
      </text>
    </comment>
    <comment ref="AA29" authorId="0" shapeId="0">
      <text>
        <t>fires when: rank-elite</t>
      </text>
    </comment>
    <comment ref="K30" authorId="0" shapeId="0">
      <text>
        <t>raw warhead damages: 2000, 1000, 1, 2000, 1000, 1, 2000, 1000, 1, 2000, 1000, 1
import scales all proportionally</t>
      </text>
    </comment>
    <comment ref="AA30" authorId="0" shapeId="0">
      <text>
        <t>fires when: latinsyndicate_doctrine_eliteguerillas &amp;&amp; !rank-elite</t>
      </text>
    </comment>
    <comment ref="K31" authorId="0" shapeId="0">
      <text>
        <t>raw warhead damages: 2000, 1000, 1, 2000, 1000, 1, 2000, 1000, 1, 2000, 1000, 1
import scales all proportionally</t>
      </text>
    </comment>
    <comment ref="AA31" authorId="0" shapeId="0">
      <text>
        <t>fires when: latinsyndicate_doctrine_eliteguerillas &amp;&amp; rank-elite</t>
      </text>
    </comment>
    <comment ref="K32" authorId="0" shapeId="0">
      <text>
        <t>raw warhead damages: 2000, 1
import scales all proportionally</t>
      </text>
    </comment>
    <comment ref="AA32" authorId="0" shapeId="0">
      <text>
        <t>fires when: !rank-elite</t>
      </text>
    </comment>
    <comment ref="K33" authorId="0" shapeId="0">
      <text>
        <t>raw warhead damages: 2000, 1
import scales all proportionally</t>
      </text>
    </comment>
    <comment ref="AA33" authorId="0" shapeId="0">
      <text>
        <t>fires when: rank-elite</t>
      </text>
    </comment>
    <comment ref="K34" authorId="0" shapeId="0">
      <text>
        <t>raw warhead damages: 2000, 1000, 1, 2000, 1000, 1, 2000, 1000, 1, 2000, 1000, 1
import scales all proportionally</t>
      </text>
    </comment>
    <comment ref="AA34" authorId="0" shapeId="0">
      <text>
        <t>fires when: latinsyndicate_doctrine_eliteguerillas &amp;&amp; !rank-elite</t>
      </text>
    </comment>
    <comment ref="K35" authorId="0" shapeId="0">
      <text>
        <t>raw warhead damages: 2000, 1000, 1, 2000, 1000, 1, 2000, 1000, 1, 2000, 1000, 1
import scales all proportionally</t>
      </text>
    </comment>
    <comment ref="AA35" authorId="0" shapeId="0">
      <text>
        <t>fires when: latinsyndicate_doctrine_eliteguerillas &amp;&amp; rank-elite</t>
      </text>
    </comment>
    <comment ref="K37" authorId="0" shapeId="0">
      <text>
        <t>raw warhead damages: 26000, 13
import scales all proportionally</t>
      </text>
    </comment>
    <comment ref="AA37" authorId="0" shapeId="0">
      <text>
        <t>fires when: !rank-elite</t>
      </text>
    </comment>
    <comment ref="K38" authorId="0" shapeId="0">
      <text>
        <t>raw warhead damages: 26000, 13
import scales all proportionally</t>
      </text>
    </comment>
    <comment ref="AA38" authorId="0" shapeId="0">
      <text>
        <t>fires when: !rank-elite</t>
      </text>
    </comment>
    <comment ref="K39" authorId="0" shapeId="0">
      <text>
        <t>raw warhead damages: 52000, 26
import scales all proportionally</t>
      </text>
    </comment>
    <comment ref="AA39" authorId="0" shapeId="0">
      <text>
        <t>fires when: rank-elite</t>
      </text>
    </comment>
    <comment ref="K40" authorId="0" shapeId="0">
      <text>
        <t>raw warhead damages: 52000, 26
import scales all proportionally</t>
      </text>
    </comment>
    <comment ref="AA40" authorId="0" shapeId="0">
      <text>
        <t>fires when: rank-elite</t>
      </text>
    </comment>
    <comment ref="K42" authorId="0" shapeId="0">
      <text>
        <t>raw warhead damages: 70000, 35000, 35
import scales all proportionally</t>
      </text>
    </comment>
    <comment ref="AA42" authorId="0" shapeId="0">
      <text>
        <t>fires when: !rank-elite</t>
      </text>
    </comment>
    <comment ref="K43" authorId="0" shapeId="0">
      <text>
        <t>raw warhead damages: 70000, 35000, 35
import scales all proportionally</t>
      </text>
    </comment>
    <comment ref="AA43" authorId="0" shapeId="0">
      <text>
        <t>fires when: rank-elite</t>
      </text>
    </comment>
    <comment ref="K44" authorId="0" shapeId="0">
      <text>
        <t>raw warhead damages: 20000, 10
import scales all proportionally</t>
      </text>
    </comment>
    <comment ref="AA44" authorId="0" shapeId="0">
      <text>
        <t>fires when: !rank-elite</t>
      </text>
    </comment>
    <comment ref="K45" authorId="0" shapeId="0">
      <text>
        <t>raw warhead damages: 20000, 10
import scales all proportionally</t>
      </text>
    </comment>
    <comment ref="AA45" authorId="0" shapeId="0">
      <text>
        <t>fires when: rank-elite</t>
      </text>
    </comment>
    <comment ref="K46" authorId="0" shapeId="0">
      <text>
        <t>raw warhead damages: 70000, 35000, 35
import scales all proportionally</t>
      </text>
    </comment>
    <comment ref="AA46" authorId="0" shapeId="0">
      <text>
        <t>fires when: !rank-elite</t>
      </text>
    </comment>
    <comment ref="K47" authorId="0" shapeId="0">
      <text>
        <t>raw warhead damages: 70000, 35000, 35
import scales all proportionally</t>
      </text>
    </comment>
    <comment ref="AA47" authorId="0" shapeId="0">
      <text>
        <t>fires when: rank-elite</t>
      </text>
    </comment>
    <comment ref="K48" authorId="0" shapeId="0">
      <text>
        <t>raw warhead damages: 20000, 10
import scales all proportionally</t>
      </text>
    </comment>
    <comment ref="AA48" authorId="0" shapeId="0">
      <text>
        <t>fires when: !rank-elite</t>
      </text>
    </comment>
    <comment ref="K49" authorId="0" shapeId="0">
      <text>
        <t>raw warhead damages: 20000, 10
import scales all proportionally</t>
      </text>
    </comment>
    <comment ref="AA49" authorId="0" shapeId="0">
      <text>
        <t>fires when: rank-elite</t>
      </text>
    </comment>
    <comment ref="K54" authorId="0" shapeId="0">
      <text>
        <t>raw warhead damages: 4000, 2000, 2, 4000, 2000, 2, 4000, 2000, 2, 4000, 2, 4000, 2
import scales all proportionally</t>
      </text>
    </comment>
    <comment ref="K55" authorId="0" shapeId="0">
      <text>
        <t>raw warhead damages: 4000, 2000, 2, 4000, 2000, 2, 4000, 2000, 2, 4000, 2, 4000, 2
import scales all proportionally</t>
      </text>
    </comment>
    <comment ref="AA55" authorId="0" shapeId="0">
      <text>
        <t>fires when: rank-elite</t>
      </text>
    </comment>
    <comment ref="K57" authorId="0" shapeId="0">
      <text>
        <t>raw warhead damages: 16000, 8
import scales all proportionally</t>
      </text>
    </comment>
    <comment ref="AA57" authorId="0" shapeId="0">
      <text>
        <t>fires when: !rank-elite</t>
      </text>
    </comment>
    <comment ref="K58" authorId="0" shapeId="0">
      <text>
        <t>raw warhead damages: 16000, 8
import scales all proportionally</t>
      </text>
    </comment>
    <comment ref="AA58" authorId="0" shapeId="0">
      <text>
        <t>fires when: rank-elite</t>
      </text>
    </comment>
    <comment ref="K63" authorId="0" shapeId="0">
      <text>
        <t>raw warhead damages: 2000, 1, 2000, 1, 2000, 1, 2000, 1
import scales all proportionally</t>
      </text>
    </comment>
    <comment ref="AA63" authorId="0" shapeId="0">
      <text>
        <t>fires when: !rank-elite</t>
      </text>
    </comment>
    <comment ref="K64" authorId="0" shapeId="0">
      <text>
        <t>raw warhead damages: 2000, 1, 2000, 1, 2000, 1, 2000, 1
import scales all proportionally</t>
      </text>
    </comment>
    <comment ref="AA64" authorId="0" shapeId="0">
      <text>
        <t>fires when: rank-elite</t>
      </text>
    </comment>
    <comment ref="K65" authorId="0" shapeId="0">
      <text>
        <t>raw warhead damages: 2000, 1, 2000, 1, 2000, 1, 2000, 1
import scales all proportionally</t>
      </text>
    </comment>
    <comment ref="AA65" authorId="0" shapeId="0">
      <text>
        <t>fires when: !rank-elite</t>
      </text>
    </comment>
    <comment ref="K66" authorId="0" shapeId="0">
      <text>
        <t>raw warhead damages: 2000, 1, 2000, 1, 2000, 1, 2000, 1
import scales all proportionally</t>
      </text>
    </comment>
    <comment ref="AA66" authorId="0" shapeId="0">
      <text>
        <t>fires when: rank-elite</t>
      </text>
    </comment>
    <comment ref="K68" authorId="0" shapeId="0">
      <text>
        <t>raw warhead damages: 2000, 1, 2000, 1, 2000, 1, 2000, 1, 2000, 1
import scales all proportionally</t>
      </text>
    </comment>
    <comment ref="K69" authorId="0" shapeId="0">
      <text>
        <t>raw warhead damages: 2000, 1, 2000, 1, 2000, 1, 2000, 1, 2000, 1
import scales all proportionally</t>
      </text>
    </comment>
    <comment ref="AA69" authorId="0" shapeId="0">
      <text>
        <t>fires when: rank-elite</t>
      </text>
    </comment>
    <comment ref="K71" authorId="0" shapeId="0">
      <text>
        <t>raw warhead damages: 2000, 1, 2000, 1, 2000, 1, 2000, 1
import scales all proportionally</t>
      </text>
    </comment>
    <comment ref="AA71" authorId="0" shapeId="0">
      <text>
        <t>fires when: !rank-elite</t>
      </text>
    </comment>
    <comment ref="K72" authorId="0" shapeId="0">
      <text>
        <t>raw warhead damages: 2000, 1, 2000, 1, 2000, 1, 2000, 1
import scales all proportionally</t>
      </text>
    </comment>
    <comment ref="AA72" authorId="0" shapeId="0">
      <text>
        <t>fires when: rank-elite</t>
      </text>
    </comment>
    <comment ref="K73" authorId="0" shapeId="0">
      <text>
        <t>raw warhead damages: 2000, 1, 2000, 1, 2000, 1, 2000, 1
import scales all proportionally</t>
      </text>
    </comment>
    <comment ref="AA73" authorId="0" shapeId="0">
      <text>
        <t>fires when: !rank-elite</t>
      </text>
    </comment>
    <comment ref="K74" authorId="0" shapeId="0">
      <text>
        <t>raw warhead damages: 2000, 1, 2000, 1, 2000, 1, 2000, 1
import scales all proportionally</t>
      </text>
    </comment>
    <comment ref="AA74" authorId="0" shapeId="0">
      <text>
        <t>fires when: rank-elite</t>
      </text>
    </comment>
    <comment ref="K75" authorId="0" shapeId="0">
      <text>
        <t>raw warhead damages: 2000, 2, 2000, 1
import scales all proportionally</t>
      </text>
    </comment>
    <comment ref="AA75" authorId="0" shapeId="0">
      <text>
        <t>fires when: latinsyndicate_upgrade_yuristolentechchainguns &amp;&amp; !rank-elite</t>
      </text>
    </comment>
    <comment ref="K76" authorId="0" shapeId="0">
      <text>
        <t>raw warhead damages: 2000, 2, 2000, 1
import scales all proportionally</t>
      </text>
    </comment>
    <comment ref="AA76" authorId="0" shapeId="0">
      <text>
        <t>fires when: latinsyndicate_upgrade_yuristolentechchainguns &amp;&amp; rank-elite</t>
      </text>
    </comment>
    <comment ref="K77" authorId="0" shapeId="0">
      <text>
        <t>raw warhead damages: 2000, 2, 2000, 1
import scales all proportionally</t>
      </text>
    </comment>
    <comment ref="AA77" authorId="0" shapeId="0">
      <text>
        <t>fires when: latinsyndicate_upgrade_yuristolentechchainguns &amp;&amp; !rank-elite</t>
      </text>
    </comment>
    <comment ref="K78" authorId="0" shapeId="0">
      <text>
        <t>raw warhead damages: 2000, 2, 2000, 1
import scales all proportionally</t>
      </text>
    </comment>
    <comment ref="AA78" authorId="0" shapeId="0">
      <text>
        <t>fires when: latinsyndicate_upgrade_yuristolentechchainguns &amp;&amp; rank-elite</t>
      </text>
    </comment>
    <comment ref="K79" authorId="0" shapeId="0">
      <text>
        <t>raw warhead damages: 2000, 1, 2000, 1, 2000, 1, 2000, 1
import scales all proportionally</t>
      </text>
    </comment>
    <comment ref="AA79" authorId="0" shapeId="0">
      <text>
        <t>fires when: latinsyndicate_doctrine_cartelrockets &amp;&amp; !rank-elite</t>
      </text>
    </comment>
    <comment ref="K80" authorId="0" shapeId="0">
      <text>
        <t>raw warhead damages: 2000, 1, 2000, 1, 2000, 1, 2000, 1
import scales all proportionally</t>
      </text>
    </comment>
    <comment ref="AA80" authorId="0" shapeId="0">
      <text>
        <t>fires when: latinsyndicate_doctrine_cartelrockets &amp;&amp; rank-elite</t>
      </text>
    </comment>
    <comment ref="K81" authorId="0" shapeId="0">
      <text>
        <t>raw warhead damages: 2000, 1, 2000, 1, 2000, 1, 2000, 1
import scales all proportionally</t>
      </text>
    </comment>
    <comment ref="AA81" authorId="0" shapeId="0">
      <text>
        <t>fires when: latinsyndicate_doctrine_cartelrockets &amp;&amp; !rank-elite</t>
      </text>
    </comment>
    <comment ref="K82" authorId="0" shapeId="0">
      <text>
        <t>raw warhead damages: 2000, 1, 2000, 1, 2000, 1, 2000, 1
import scales all proportionally</t>
      </text>
    </comment>
    <comment ref="AA82" authorId="0" shapeId="0">
      <text>
        <t>fires when: latinsyndicate_doctrine_cartelrockets &amp;&amp; rank-elite</t>
      </text>
    </comment>
    <comment ref="K84" authorId="0" shapeId="0">
      <text>
        <t>raw warhead damages: 2000, 1000, 1, 2000, 1000, 1, 2000, 1000, 1, 2000, 1
import scales all proportionally</t>
      </text>
    </comment>
    <comment ref="K85" authorId="0" shapeId="0">
      <text>
        <t>raw warhead damages: 2000, 1000, 1, 2000, 1000, 1, 2000, 1000, 1, 2000, 1
import scales all proportionally</t>
      </text>
    </comment>
    <comment ref="AA85" authorId="0" shapeId="0">
      <text>
        <t>fires when: rank-elite</t>
      </text>
    </comment>
    <comment ref="K87" authorId="0" shapeId="0">
      <text>
        <t>raw warhead damages: 6000, 3000, 3, 6000, 3000, 3, 6000, 3, 6000, 3000, 3, 6000, 3000, 3, 6000, 3
import scales all proportionally</t>
      </text>
    </comment>
    <comment ref="AA87" authorId="0" shapeId="0">
      <text>
        <t>fires when: !rank-elite</t>
      </text>
    </comment>
    <comment ref="K88" authorId="0" shapeId="0">
      <text>
        <t>raw warhead damages: 6000, 3000, 3, 6000, 3000, 3, 6000, 3, 6000, 3000, 3, 6000, 3000, 3, 6000, 3
import scales all proportionally</t>
      </text>
    </comment>
    <comment ref="AA88" authorId="0" shapeId="0">
      <text>
        <t>fires when: rank-elite</t>
      </text>
    </comment>
    <comment ref="K90" authorId="0" shapeId="0">
      <text>
        <t>raw warhead damages: 2000, 1, 2000, 1
import scales all proportionally</t>
      </text>
    </comment>
    <comment ref="AA90" authorId="0" shapeId="0">
      <text>
        <t>fires when: !rank-elite</t>
      </text>
    </comment>
    <comment ref="K91" authorId="0" shapeId="0">
      <text>
        <t>raw warhead damages: 2000, 1, 2000, 1
import scales all proportionally</t>
      </text>
    </comment>
    <comment ref="AA91" authorId="0" shapeId="0">
      <text>
        <t>fires when: rank-elite</t>
      </text>
    </comment>
    <comment ref="K95" authorId="0" shapeId="0">
      <text>
        <t>raw warhead damages: 4000, 2, 4000, 2
import scales all proportionally</t>
      </text>
    </comment>
    <comment ref="AA95" authorId="0" shapeId="0">
      <text>
        <t>fires when: !rank-elite &amp;&amp; !latinsyndicate_upgrade_yuristolentechchainguns</t>
      </text>
    </comment>
    <comment ref="K96" authorId="0" shapeId="0">
      <text>
        <t>raw warhead damages: 4000, 2, 4000, 2
import scales all proportionally</t>
      </text>
    </comment>
    <comment ref="AA96" authorId="0" shapeId="0">
      <text>
        <t>fires when: rank-elite &amp;&amp; !latinsyndicate_upgrade_yuristolentechchainguns</t>
      </text>
    </comment>
    <comment ref="K97" authorId="0" shapeId="0">
      <text>
        <t>raw warhead damages: 2000, 1, 2000, 1, 2000, 1, 2000, 1
import scales all proportionally</t>
      </text>
    </comment>
    <comment ref="AA97" authorId="0" shapeId="0">
      <text>
        <t>fires when: !rank-elite &amp;&amp; latinsyndicate_upgrade_yuristolentechchainguns</t>
      </text>
    </comment>
    <comment ref="K98" authorId="0" shapeId="0">
      <text>
        <t>raw warhead damages: 2000, 1, 2000, 1, 2000, 1, 2000, 1
import scales all proportionally</t>
      </text>
    </comment>
    <comment ref="AA98" authorId="0" shapeId="0">
      <text>
        <t>fires when: rank-elite &amp;&amp; latinsyndicate_upgrade_yuristolentechchainguns</t>
      </text>
    </comment>
    <comment ref="K99" authorId="0" shapeId="0">
      <text>
        <t>raw warhead damages: 10000, 5000, 5, 10000, 5000, 5, 10000, 5, 10000, 5
import scales all proportionally</t>
      </text>
    </comment>
    <comment ref="AA99" authorId="0" shapeId="0">
      <text>
        <t>fires when: !rank-elite</t>
      </text>
    </comment>
    <comment ref="K100" authorId="0" shapeId="0">
      <text>
        <t>raw warhead damages: 10000, 5000, 5, 10000, 5000, 5, 10000, 5, 10000, 5
import scales all proportionally</t>
      </text>
    </comment>
    <comment ref="AA100" authorId="0" shapeId="0">
      <text>
        <t>fires when: rank-elite</t>
      </text>
    </comment>
    <comment ref="K102" authorId="0" shapeId="0">
      <text>
        <t>raw warhead damages: 2000, 1, 2000, 1, 2000, 1
import scales all proportionally</t>
      </text>
    </comment>
    <comment ref="AA102" authorId="0" shapeId="0">
      <text>
        <t>fires when: !rank-elite</t>
      </text>
    </comment>
    <comment ref="K103" authorId="0" shapeId="0">
      <text>
        <t>raw warhead damages: 2000, 1, 2000, 1, 2000, 1
import scales all proportionally</t>
      </text>
    </comment>
    <comment ref="AA103" authorId="0" shapeId="0">
      <text>
        <t>fires when: rank-elite</t>
      </text>
    </comment>
    <comment ref="K104" authorId="0" shapeId="0">
      <text>
        <t>raw warhead damages: 16000, 8
import scales all proportionally</t>
      </text>
    </comment>
    <comment ref="AA104" authorId="0" shapeId="0">
      <text>
        <t>fires when: latinsyndicate_doctrine_cartelrockets &amp;&amp; !rank-elite</t>
      </text>
    </comment>
    <comment ref="K105" authorId="0" shapeId="0">
      <text>
        <t>raw warhead damages: 32000, 16
import scales all proportionally</t>
      </text>
    </comment>
    <comment ref="AA105" authorId="0" shapeId="0">
      <text>
        <t>fires when: latinsyndicate_doctrine_cartelrockets &amp;&amp; rank-elite</t>
      </text>
    </comment>
    <comment ref="K107" authorId="0" shapeId="0">
      <text>
        <t>raw warhead damages: 2000, 1, 1000, 2000, 1000, 1, 2000, 1, 2000, 1000, 1, 2000, 1, 2000, 1
import scales all proportionally</t>
      </text>
    </comment>
    <comment ref="AA107" authorId="0" shapeId="0">
      <text>
        <t>fires when: !rank-elite</t>
      </text>
    </comment>
    <comment ref="K108" authorId="0" shapeId="0">
      <text>
        <t>raw warhead damages: 2000, 1, 1000, 2000, 1000, 1, 2000, 1, 2000, 1000, 1, 2000, 1, 2000, 1
import scales all proportionally</t>
      </text>
    </comment>
    <comment ref="AA108" authorId="0" shapeId="0">
      <text>
        <t>fires when: rank-elite</t>
      </text>
    </comment>
    <comment ref="K109" authorId="0" shapeId="0">
      <text>
        <t>raw warhead damages: 2000, 1, 2000, 1000, 1, 2000, 1
import scales all proportionally</t>
      </text>
    </comment>
    <comment ref="AA109" authorId="0" shapeId="0">
      <text>
        <t>fires when: !rank-elite</t>
      </text>
    </comment>
    <comment ref="K110" authorId="0" shapeId="0">
      <text>
        <t>raw warhead damages: 2000, 1, 2000, 1000, 1, 2000, 1
import scales all proportionally</t>
      </text>
    </comment>
    <comment ref="AA110" authorId="0" shapeId="0">
      <text>
        <t>fires when: rank-elite</t>
      </text>
    </comment>
    <comment ref="K111" authorId="0" shapeId="0">
      <text>
        <t>raw warhead damages: 24000, 12
import scales all proportionally</t>
      </text>
    </comment>
    <comment ref="AA111" authorId="0" shapeId="0">
      <text>
        <t>fires when: latinsyndicate_doctrine_cartelrockets &amp;&amp; !rank-elite</t>
      </text>
    </comment>
    <comment ref="K112" authorId="0" shapeId="0">
      <text>
        <t>raw warhead damages: 48000, 24
import scales all proportionally</t>
      </text>
    </comment>
    <comment ref="AA112" authorId="0" shapeId="0">
      <text>
        <t>fires when: latinsyndicate_doctrine_cartelrockets &amp;&amp; rank-elite</t>
      </text>
    </comment>
    <comment ref="K116" authorId="0" shapeId="0">
      <text>
        <t>raw warhead damages: 20000, 10, 20000, 10, 20000, 10000, 10, 20000, 10000, 10, 20000, 10000, 10, 20000, 10000, 10
import scales all proportionally</t>
      </text>
    </comment>
    <comment ref="K118" authorId="0" shapeId="0">
      <text>
        <t>raw warhead damages: 4000, 2, 4000, 2
import scales all proportionally</t>
      </text>
    </comment>
    <comment ref="AA118" authorId="0" shapeId="0">
      <text>
        <t>fires when: !rank-elite &amp;&amp; !latinsyndicate_upgrade_yuristolentechchainguns</t>
      </text>
    </comment>
    <comment ref="K119" authorId="0" shapeId="0">
      <text>
        <t>raw warhead damages: 4000, 2, 4000, 2
import scales all proportionally</t>
      </text>
    </comment>
    <comment ref="AA119" authorId="0" shapeId="0">
      <text>
        <t>fires when: rank-elite &amp;&amp; !latinsyndicate_upgrade_yuristolentechchainguns</t>
      </text>
    </comment>
    <comment ref="K120" authorId="0" shapeId="0">
      <text>
        <t>raw warhead damages: 2000, 1, 2000, 1, 2000, 1, 2000, 1
import scales all proportionally</t>
      </text>
    </comment>
    <comment ref="AA120" authorId="0" shapeId="0">
      <text>
        <t>fires when: !rank-elite &amp;&amp; latinsyndicate_upgrade_yuristolentechchainguns</t>
      </text>
    </comment>
    <comment ref="K121" authorId="0" shapeId="0">
      <text>
        <t>raw warhead damages: 2000, 1, 2000, 1, 2000, 1, 2000, 1
import scales all proportionally</t>
      </text>
    </comment>
    <comment ref="AA121" authorId="0" shapeId="0">
      <text>
        <t>fires when: rank-elite &amp;&amp; latinsyndicate_upgrade_yuristolentechchainguns</t>
      </text>
    </comment>
    <comment ref="K125" authorId="0" shapeId="0">
      <text>
        <t>raw warhead damages: 4000, 2, 4000, 2
import scales all proportionally</t>
      </text>
    </comment>
    <comment ref="K129" authorId="0" shapeId="0">
      <text>
        <t>raw warhead damages: 4000, 2, 4000, 2
import scales all proportionally</t>
      </text>
    </comment>
    <comment ref="K132" authorId="0" shapeId="0">
      <text>
        <t>raw warhead damages: 2000, 1, 2000, 1
import scales all proportionally</t>
      </text>
    </comment>
    <comment ref="K134" authorId="0" shapeId="0">
      <text>
        <t>raw warhead damages: 8000, 4, 8000, 4, 8000, 4, 8000, 4
import scales all proportionally</t>
      </text>
    </comment>
    <comment ref="AA134" authorId="0" shapeId="0">
      <text>
        <t>fires when: !rank-elite</t>
      </text>
    </comment>
    <comment ref="K135" authorId="0" shapeId="0">
      <text>
        <t>raw warhead damages: 8000, 4, 8000, 4, 8000, 4, 8000, 4
import scales all proportionally</t>
      </text>
    </comment>
    <comment ref="AA135" authorId="0" shapeId="0">
      <text>
        <t>fires when: rank-elite</t>
      </text>
    </comment>
    <comment ref="K136" authorId="0" shapeId="0">
      <text>
        <t>raw warhead damages: 8000, 4, 8000, 4, 8000, 4, 8000, 4
import scales all proportionally</t>
      </text>
    </comment>
    <comment ref="AA136" authorId="0" shapeId="0">
      <text>
        <t>fires when: !rank-elite</t>
      </text>
    </comment>
    <comment ref="K137" authorId="0" shapeId="0">
      <text>
        <t>raw warhead damages: 8000, 4, 8000, 4, 8000, 4, 8000, 4
import scales all proportionally</t>
      </text>
    </comment>
    <comment ref="AA137" authorId="0" shapeId="0">
      <text>
        <t>fires when: rank-elite</t>
      </text>
    </comment>
    <comment ref="K139" authorId="0" shapeId="0">
      <text>
        <t>raw warhead damages: 2000, 1, 2000, 1, 2000, 1, 2000, 1
import scales all proportionally</t>
      </text>
    </comment>
    <comment ref="AA139" authorId="0" shapeId="0">
      <text>
        <t>fires when: !rank-elite &amp;&amp; !latinsyndicate_upgrade_yuristolentechchainguns</t>
      </text>
    </comment>
    <comment ref="K140" authorId="0" shapeId="0">
      <text>
        <t>raw warhead damages: 2000, 1, 2000, 1, 2000, 1, 2000, 1
import scales all proportionally</t>
      </text>
    </comment>
    <comment ref="AA140" authorId="0" shapeId="0">
      <text>
        <t>fires when: rank-elite</t>
      </text>
    </comment>
    <comment ref="K141" authorId="0" shapeId="0">
      <text>
        <t>raw warhead damages: 2000, 1, 2000, 1, 2000, 1, 2000, 1
import scales all proportionally</t>
      </text>
    </comment>
    <comment ref="AA141" authorId="0" shapeId="0">
      <text>
        <t>fires when: latinsyndicate_upgrade_yuristolentechchainguns</t>
      </text>
    </comment>
    <comment ref="K144" authorId="0" shapeId="0">
      <text>
        <t>raw warhead damages: 2000, 5, 10000, 5, 600, 2000, 1000, 1
import scales all proportionally</t>
      </text>
    </comment>
    <comment ref="AA144" authorId="0" shapeId="0">
      <text>
        <t>fires when: !rank-elite</t>
      </text>
    </comment>
    <comment ref="K145" authorId="0" shapeId="0">
      <text>
        <t>raw warhead damages: 2000, 5, 10000, 5, 600, 2000, 1000, 1
import scales all proportionally</t>
      </text>
    </comment>
    <comment ref="AA145" authorId="0" shapeId="0">
      <text>
        <t>fires when: rank-elite</t>
      </text>
    </comment>
    <comment ref="K147" authorId="0" shapeId="0">
      <text>
        <t>raw warhead damages: 8000, 4, 8000, 4000, 4, 8000, 4
import scales all proportionally</t>
      </text>
    </comment>
    <comment ref="K149" authorId="0" shapeId="0">
      <text>
        <t>raw warhead damages: 2000, 1, 2000, 1, 2000, 1
import scales all proportionally</t>
      </text>
    </comment>
    <comment ref="AA149" authorId="0" shapeId="0">
      <text>
        <t>fires when: !rank-elite</t>
      </text>
    </comment>
    <comment ref="K150" authorId="0" shapeId="0">
      <text>
        <t>raw warhead damages: 2000, 1, 2000, 1, 2000, 1
import scales all proportionally</t>
      </text>
    </comment>
    <comment ref="AA150" authorId="0" shapeId="0">
      <text>
        <t>fires when: rank-elite</t>
      </text>
    </comment>
    <comment ref="K158" authorId="0" shapeId="0">
      <text>
        <t>raw warhead damages: 2000, 1, 2000, 1
import scales all proportionally</t>
      </text>
    </comment>
    <comment ref="K159" authorId="0" shapeId="0">
      <text>
        <t>raw warhead damages: 2000, 1, 2000, 1
import scales all proportionally</t>
      </text>
    </comment>
    <comment ref="K162" authorId="0" shapeId="0">
      <text>
        <t>raw warhead damages: 2000, 1, 2000, 1, 2000, 1
import scales all proportionally</t>
      </text>
    </comment>
    <comment ref="AA162" authorId="0" shapeId="0">
      <text>
        <t>fires when: !rank-elite</t>
      </text>
    </comment>
    <comment ref="K163" authorId="0" shapeId="0">
      <text>
        <t>raw warhead damages: 2000, 1, 2000, 1, 2000, 1
import scales all proportionally</t>
      </text>
    </comment>
    <comment ref="AA163" authorId="0" shapeId="0">
      <text>
        <t>fires when: rank-elite</t>
      </text>
    </comment>
  </commentList>
</comments>
</file>

<file path=xl/comments/comment14.xml><?xml version="1.0" encoding="utf-8"?>
<comments xmlns="http://schemas.openxmlformats.org/spreadsheetml/2006/main">
  <authors>
    <author>balance-pipeline</author>
  </authors>
  <commentList>
    <comment ref="K6" authorId="0" shapeId="0">
      <text>
        <t>raw warhead damages: -2000, -1000, -1
import scales all proportionally</t>
      </text>
    </comment>
    <comment ref="AA6" authorId="0" shapeId="0">
      <text>
        <t>fires when: tkm_upgrade_titanarsenalupgrade</t>
      </text>
    </comment>
    <comment ref="K7" authorId="0" shapeId="0">
      <text>
        <t>raw warhead damages: -2000, -1000, -1
import scales all proportionally</t>
      </text>
    </comment>
    <comment ref="AA7" authorId="0" shapeId="0">
      <text>
        <t>fires when: tkm_upgrade_titanarsenalupgrade</t>
      </text>
    </comment>
    <comment ref="K8" authorId="0" shapeId="0">
      <text>
        <t>raw warhead damages: -2000, -1000, -1
import scales all proportionally</t>
      </text>
    </comment>
    <comment ref="AA8" authorId="0" shapeId="0">
      <text>
        <t>fires when: tkm_upgrade_titanarsenalupgrade</t>
      </text>
    </comment>
    <comment ref="K9" authorId="0" shapeId="0">
      <text>
        <t>raw warhead damages: -2000, -1000, -1
import scales all proportionally</t>
      </text>
    </comment>
    <comment ref="AA9" authorId="0" shapeId="0">
      <text>
        <t>fires when: tkm_upgrade_titanarsenalupgrade</t>
      </text>
    </comment>
    <comment ref="K11" authorId="0" shapeId="0">
      <text>
        <t>raw warhead damages: 4000, 2
import scales all proportionally</t>
      </text>
    </comment>
    <comment ref="AA11" authorId="0" shapeId="0">
      <text>
        <t>fires when: !tkm_upgrade_titanarmorpiercingbulletsupgrade</t>
      </text>
    </comment>
    <comment ref="K12" authorId="0" shapeId="0">
      <text>
        <t>raw warhead damages: 2000, 500, 1, 6000, 3
import scales all proportionally</t>
      </text>
    </comment>
    <comment ref="AA12" authorId="0" shapeId="0">
      <text>
        <t>fires when: tkm_upgrade_titanarmorpiercingbulletsupgrade</t>
      </text>
    </comment>
    <comment ref="K13" authorId="0" shapeId="0">
      <text>
        <t>raw warhead damages: 4000, 2
import scales all proportionally</t>
      </text>
    </comment>
    <comment ref="AA13" authorId="0" shapeId="0">
      <text>
        <t>fires when: !tkm_upgrade_titanarmorpiercingbulletsupgrade</t>
      </text>
    </comment>
    <comment ref="K14" authorId="0" shapeId="0">
      <text>
        <t>raw warhead damages: 2000, 500, 1, 6000, 3
import scales all proportionally</t>
      </text>
    </comment>
    <comment ref="AA14" authorId="0" shapeId="0">
      <text>
        <t>fires when: tkm_upgrade_titanarmorpiercingbulletsupgrade</t>
      </text>
    </comment>
    <comment ref="K16" authorId="0" shapeId="0">
      <text>
        <t>raw warhead damages: 2000, 1
import scales all proportionally</t>
      </text>
    </comment>
    <comment ref="AA16" authorId="0" shapeId="0">
      <text>
        <t>fires when: !tkm_upgrade_titanarmorpiercingbulletsupgrade</t>
      </text>
    </comment>
    <comment ref="K17" authorId="0" shapeId="0">
      <text>
        <t>raw warhead damages: 2000, 1
import scales all proportionally</t>
      </text>
    </comment>
    <comment ref="AA17" authorId="0" shapeId="0">
      <text>
        <t>fires when: tkm_upgrade_titanarmorpiercingbulletsupgrade</t>
      </text>
    </comment>
    <comment ref="K18" authorId="0" shapeId="0">
      <text>
        <t>raw warhead damages: 2000, 1
import scales all proportionally</t>
      </text>
    </comment>
    <comment ref="AA18" authorId="0" shapeId="0">
      <text>
        <t>fires when: !tkm_upgrade_titanarmorpiercingbulletsupgrade</t>
      </text>
    </comment>
    <comment ref="K19" authorId="0" shapeId="0">
      <text>
        <t>raw warhead damages: 2000, 1
import scales all proportionally</t>
      </text>
    </comment>
    <comment ref="AA19" authorId="0" shapeId="0">
      <text>
        <t>fires when: tkm_upgrade_titanarmorpiercingbulletsupgrade</t>
      </text>
    </comment>
    <comment ref="K21" authorId="0" shapeId="0">
      <text>
        <t>raw warhead damages: 6000, 4
import scales all proportionally</t>
      </text>
    </comment>
    <comment ref="AA21" authorId="0" shapeId="0">
      <text>
        <t>fires when: !tkm_upgrade_semiautoriflesupgrade</t>
      </text>
    </comment>
    <comment ref="K22" authorId="0" shapeId="0">
      <text>
        <t>raw warhead damages: 10000, 5
import scales all proportionally</t>
      </text>
    </comment>
    <comment ref="AA22" authorId="0" shapeId="0">
      <text>
        <t>fires when: tkm_upgrade_semiautoriflesupgrade</t>
      </text>
    </comment>
    <comment ref="K23" authorId="0" shapeId="0">
      <text>
        <t>raw warhead damages: 6000, 4
import scales all proportionally</t>
      </text>
    </comment>
    <comment ref="K25" authorId="0" shapeId="0">
      <text>
        <t>raw warhead damages: 18000, 9
import scales all proportionally</t>
      </text>
    </comment>
    <comment ref="AA25" authorId="0" shapeId="0">
      <text>
        <t>fires when: !tkm_upgrade_cryorocketsupgrade &amp;&amp; !tkm_upgrade_twinrocketsupgrade &amp;&amp; !tkm_upgrade_incendiaryrocketsupgrade</t>
      </text>
    </comment>
    <comment ref="K26" authorId="0" shapeId="0">
      <text>
        <t>raw warhead damages: 18000, 9
import scales all proportionally</t>
      </text>
    </comment>
    <comment ref="AA26" authorId="0" shapeId="0">
      <text>
        <t>fires when: tkm_upgrade_cryorocketsupgrade</t>
      </text>
    </comment>
    <comment ref="K27" authorId="0" shapeId="0">
      <text>
        <t>raw warhead damages: 18000, 9
import scales all proportionally</t>
      </text>
    </comment>
    <comment ref="AA27" authorId="0" shapeId="0">
      <text>
        <t>fires when: tkm_upgrade_twinrocketsupgrade</t>
      </text>
    </comment>
    <comment ref="K28" authorId="0" shapeId="0">
      <text>
        <t>raw warhead damages: 4000, 500, 2, 18000, 9
import scales all proportionally</t>
      </text>
    </comment>
    <comment ref="AA28" authorId="0" shapeId="0">
      <text>
        <t>fires when: tkm_upgrade_incendiaryrocketsupgrade</t>
      </text>
    </comment>
    <comment ref="K29" authorId="0" shapeId="0">
      <text>
        <t>raw warhead damages: 18000, 9
import scales all proportionally</t>
      </text>
    </comment>
    <comment ref="AA29" authorId="0" shapeId="0">
      <text>
        <t>fires when: !tkm_upgrade_cryorocketsupgrade &amp;&amp; !tkm_upgrade_twinrocketsupgrade &amp;&amp; !tkm_upgrade_incendiaryrocketsupgrade</t>
      </text>
    </comment>
    <comment ref="K30" authorId="0" shapeId="0">
      <text>
        <t>raw warhead damages: 18000, 9
import scales all proportionally</t>
      </text>
    </comment>
    <comment ref="AA30" authorId="0" shapeId="0">
      <text>
        <t>fires when: tkm_upgrade_cryorocketsupgrade</t>
      </text>
    </comment>
    <comment ref="K31" authorId="0" shapeId="0">
      <text>
        <t>raw warhead damages: 18000, 9
import scales all proportionally</t>
      </text>
    </comment>
    <comment ref="AA31" authorId="0" shapeId="0">
      <text>
        <t>fires when: tkm_upgrade_twinrocketsupgrade</t>
      </text>
    </comment>
    <comment ref="K32" authorId="0" shapeId="0">
      <text>
        <t>raw warhead damages: 4000, 500, 2, 18000, 9
import scales all proportionally</t>
      </text>
    </comment>
    <comment ref="AA32" authorId="0" shapeId="0">
      <text>
        <t>fires when: tkm_upgrade_incendiaryrocketsupgrade</t>
      </text>
    </comment>
    <comment ref="K34" authorId="0" shapeId="0">
      <text>
        <t>raw warhead damages: 44000, 22
import scales all proportionally</t>
      </text>
    </comment>
    <comment ref="K35" authorId="0" shapeId="0">
      <text>
        <t>raw warhead damages: 44000, 22
import scales all proportionally</t>
      </text>
    </comment>
    <comment ref="K37" authorId="0" shapeId="0">
      <text>
        <t>raw warhead damages: 2000, 1
import scales all proportionally</t>
      </text>
    </comment>
    <comment ref="K38" authorId="0" shapeId="0">
      <text>
        <t>raw warhead damages: 2000, 1
import scales all proportionally</t>
      </text>
    </comment>
    <comment ref="K41" authorId="0" shapeId="0">
      <text>
        <t>raw warhead damages: 2000, 1000, 1
import scales all proportionally</t>
      </text>
    </comment>
    <comment ref="K42" authorId="0" shapeId="0">
      <text>
        <t>raw warhead damages: 2000, 1000, 1
import scales all proportionally</t>
      </text>
    </comment>
    <comment ref="K44" authorId="0" shapeId="0">
      <text>
        <t>raw warhead damages: 2000, 1
import scales all proportionally</t>
      </text>
    </comment>
    <comment ref="K45" authorId="0" shapeId="0">
      <text>
        <t>raw warhead damages: 2000, 1
import scales all proportionally</t>
      </text>
    </comment>
    <comment ref="K46" authorId="0" shapeId="0">
      <text>
        <t>raw warhead damages: 6000, 3000, 3, 6000, 3000, 3
import scales all proportionally</t>
      </text>
    </comment>
    <comment ref="AA46" authorId="0" shapeId="0">
      <text>
        <t>fires when: tkm_upgrade_gp25upgrade</t>
      </text>
    </comment>
    <comment ref="K47" authorId="0" shapeId="0">
      <text>
        <t>raw warhead damages: 6000, 3000, 3, 6000, 3000, 3
import scales all proportionally</t>
      </text>
    </comment>
    <comment ref="AA47" authorId="0" shapeId="0">
      <text>
        <t>fires when: tkm_upgrade_gp25upgrade</t>
      </text>
    </comment>
    <comment ref="K49" authorId="0" shapeId="0">
      <text>
        <t>raw warhead damages: 32000, 16000, 16, 32000, 16, 32000, 16, 32000, 16, 32000, 16, 32000, 16
import scales all proportionally</t>
      </text>
    </comment>
    <comment ref="K50" authorId="0" shapeId="0">
      <text>
        <t>raw warhead damages: 6000, 3, 6000, 3, 6000, 3, 6000, 3, 6000, 3
import scales all proportionally</t>
      </text>
    </comment>
    <comment ref="AA50" authorId="0" shapeId="0">
      <text>
        <t>fires when: !tkm_upgrade_titanarmorpiercingbulletsupgrade</t>
      </text>
    </comment>
    <comment ref="K51" authorId="0" shapeId="0">
      <text>
        <t>raw warhead damages: 16000, 8, 16000, 8, 16000, 8, 16000, 8, 16000, 8
import scales all proportionally</t>
      </text>
    </comment>
    <comment ref="AA51" authorId="0" shapeId="0">
      <text>
        <t>fires when: tkm_upgrade_titanarmorpiercingbulletsupgrade</t>
      </text>
    </comment>
    <comment ref="K52" authorId="0" shapeId="0">
      <text>
        <t>raw warhead damages: 6000, 3, 6000, 3, 6000, 3, 6000, 3, 6000, 3
import scales all proportionally</t>
      </text>
    </comment>
    <comment ref="AA52" authorId="0" shapeId="0">
      <text>
        <t>fires when: !tkm_upgrade_titanarmorpiercingbulletsupgrade</t>
      </text>
    </comment>
    <comment ref="K53" authorId="0" shapeId="0">
      <text>
        <t>raw warhead damages: 16000, 8, 16000, 8, 16000, 8, 16000, 8, 16000, 8
import scales all proportionally</t>
      </text>
    </comment>
    <comment ref="AA53" authorId="0" shapeId="0">
      <text>
        <t>fires when: tkm_upgrade_titanarmorpiercingbulletsupgrade</t>
      </text>
    </comment>
    <comment ref="K55" authorId="0" shapeId="0">
      <text>
        <t>raw warhead damages: 80000, 40
import scales all proportionally</t>
      </text>
    </comment>
    <comment ref="K56" authorId="0" shapeId="0">
      <text>
        <t>raw warhead damages: 80000, 40
import scales all proportionally</t>
      </text>
    </comment>
    <comment ref="K58" authorId="0" shapeId="0">
      <text>
        <t>raw warhead damages: 2000, 1000, 1
import scales all proportionally</t>
      </text>
    </comment>
    <comment ref="K59" authorId="0" shapeId="0">
      <text>
        <t>raw warhead damages: 2000, 1000, 1
import scales all proportionally</t>
      </text>
    </comment>
    <comment ref="K62" authorId="0" shapeId="0">
      <text>
        <t>raw warhead damages: 12000, 6
import scales all proportionally</t>
      </text>
    </comment>
    <comment ref="K64" authorId="0" shapeId="0">
      <text>
        <t>raw warhead damages: 20000, 10
import scales all proportionally</t>
      </text>
    </comment>
    <comment ref="AA64" authorId="0" shapeId="0">
      <text>
        <t>fires when: !tkm_upgrade_cryorocketsupgrade &amp;&amp; !tkm_upgrade_twinrocketsupgrade &amp;&amp; !tkm_upgrade_incendiaryrocketsupgrade</t>
      </text>
    </comment>
    <comment ref="K65" authorId="0" shapeId="0">
      <text>
        <t>raw warhead damages: 18000, 9
import scales all proportionally</t>
      </text>
    </comment>
    <comment ref="AA65" authorId="0" shapeId="0">
      <text>
        <t>fires when: tkm_upgrade_cryorocketsupgrade</t>
      </text>
    </comment>
    <comment ref="K66" authorId="0" shapeId="0">
      <text>
        <t>raw warhead damages: 18000, 9
import scales all proportionally</t>
      </text>
    </comment>
    <comment ref="AA66" authorId="0" shapeId="0">
      <text>
        <t>fires when: tkm_upgrade_twinrocketsupgrade</t>
      </text>
    </comment>
    <comment ref="K67" authorId="0" shapeId="0">
      <text>
        <t>raw warhead damages: 4000, 500, 2, 18000, 9
import scales all proportionally</t>
      </text>
    </comment>
    <comment ref="AA67" authorId="0" shapeId="0">
      <text>
        <t>fires when: tkm_upgrade_incendiaryrocketsupgrade</t>
      </text>
    </comment>
    <comment ref="K69" authorId="0" shapeId="0">
      <text>
        <t>raw warhead damages: -2000, -1000, -1
import scales all proportionally</t>
      </text>
    </comment>
    <comment ref="K71" authorId="0" shapeId="0">
      <text>
        <t>raw warhead damages: 40000, 20, 40000, 500, 20
import scales all proportionally</t>
      </text>
    </comment>
    <comment ref="AA71" authorId="0" shapeId="0">
      <text>
        <t>fires when: !tkm_upgrade_cryorocketsupgrade &amp;&amp; !tkm_upgrade_twinrocketsupgrade &amp;&amp; !uptitanarsenalupgrade</t>
      </text>
    </comment>
    <comment ref="K72" authorId="0" shapeId="0">
      <text>
        <t>raw warhead damages: 40000, 20, 40000, 500, 20
import scales all proportionally</t>
      </text>
    </comment>
    <comment ref="AA72" authorId="0" shapeId="0">
      <text>
        <t>fires when: tkm_upgrade_cryorocketsupgrade</t>
      </text>
    </comment>
    <comment ref="K73" authorId="0" shapeId="0">
      <text>
        <t>raw warhead damages: 40000, 20, 40000, 500, 20
import scales all proportionally</t>
      </text>
    </comment>
    <comment ref="AA73" authorId="0" shapeId="0">
      <text>
        <t>fires when: tkm_upgrade_cryorocketsupgrade</t>
      </text>
    </comment>
    <comment ref="K74" authorId="0" shapeId="0">
      <text>
        <t>raw warhead damages: 4000, 2, 40000, 500, 20, 4000, 2, 4000, 2000, 2, 4000, 2, 4000, 2
import scales all proportionally</t>
      </text>
    </comment>
    <comment ref="AA74" authorId="0" shapeId="0">
      <text>
        <t>fires when: tkm_upgrade_twinrocketsupgrade</t>
      </text>
    </comment>
    <comment ref="K75" authorId="0" shapeId="0">
      <text>
        <t>raw warhead damages: 4000, 2, 40000, 500, 20, 4000, 2, 4000, 2000, 2, 4000, 2, 4000, 2
import scales all proportionally</t>
      </text>
    </comment>
    <comment ref="AA75" authorId="0" shapeId="0">
      <text>
        <t>fires when: tkm_upgrade_twinrocketsupgrade</t>
      </text>
    </comment>
    <comment ref="K76" authorId="0" shapeId="0">
      <text>
        <t>raw warhead damages: 40000, 20, 40000, 500, 20, 6000, 2000, 2, 1000, 1
import scales all proportionally</t>
      </text>
    </comment>
    <comment ref="AA76" authorId="0" shapeId="0">
      <text>
        <t>fires when: tkm_upgrade_incendiaryrocketsupgrade</t>
      </text>
    </comment>
    <comment ref="K77" authorId="0" shapeId="0">
      <text>
        <t>raw warhead damages: 40000, 20, 40000, 500, 20, 6000, 2000, 2, 1000, 1
import scales all proportionally</t>
      </text>
    </comment>
    <comment ref="AA77" authorId="0" shapeId="0">
      <text>
        <t>fires when: tkm_upgrade_incendiaryrocketsupgrade</t>
      </text>
    </comment>
    <comment ref="K78" authorId="0" shapeId="0">
      <text>
        <t>raw warhead damages: 80000, 40, 80000, 40000, 40
import scales all proportionally</t>
      </text>
    </comment>
    <comment ref="K83" authorId="0" shapeId="0">
      <text>
        <t>raw warhead damages: -2000, -1000, -1
import scales all proportionally</t>
      </text>
    </comment>
    <comment ref="K86" authorId="0" shapeId="0">
      <text>
        <t>raw warhead damages: 2000, 1, 2000, 1
import scales all proportionally</t>
      </text>
    </comment>
    <comment ref="K87" authorId="0" shapeId="0">
      <text>
        <t>raw warhead damages: 2000, 1, 2000, 1
import scales all proportionally</t>
      </text>
    </comment>
    <comment ref="K91" authorId="0" shapeId="0">
      <text>
        <t>raw warhead damages: -2000, -1000, -1
import scales all proportionally</t>
      </text>
    </comment>
    <comment ref="K93" authorId="0" shapeId="0">
      <text>
        <t>raw warhead damages: 40000, 20, 40000, 500, 20
import scales all proportionally</t>
      </text>
    </comment>
    <comment ref="AA93" authorId="0" shapeId="0">
      <text>
        <t>fires when: !tkm_upgrade_cryorocketsupgrade &amp;&amp; !tkm_upgrade_twinrocketsupgrade &amp;&amp; !tkm_upgrade_incendiaryrocketsupgrade</t>
      </text>
    </comment>
    <comment ref="K94" authorId="0" shapeId="0">
      <text>
        <t>raw warhead damages: 40000, 20, 40000, 500, 20
import scales all proportionally</t>
      </text>
    </comment>
    <comment ref="AA94" authorId="0" shapeId="0">
      <text>
        <t>fires when: tkm_upgrade_cryorocketsupgrade</t>
      </text>
    </comment>
    <comment ref="K95" authorId="0" shapeId="0">
      <text>
        <t>raw warhead damages: 40000, 20, 40000, 500, 20
import scales all proportionally</t>
      </text>
    </comment>
    <comment ref="AA95" authorId="0" shapeId="0">
      <text>
        <t>fires when: tkm_upgrade_cryorocketsupgrade</t>
      </text>
    </comment>
    <comment ref="K96" authorId="0" shapeId="0">
      <text>
        <t>raw warhead damages: 4000, 2, 40000, 500, 20, 4000, 2, 4000, 2000, 2, 4000, 2, 4000, 2
import scales all proportionally</t>
      </text>
    </comment>
    <comment ref="AA96" authorId="0" shapeId="0">
      <text>
        <t>fires when: tkm_upgrade_twinrocketsupgrade</t>
      </text>
    </comment>
    <comment ref="K97" authorId="0" shapeId="0">
      <text>
        <t>raw warhead damages: 4000, 2, 40000, 500, 20, 4000, 2, 4000, 2000, 2, 4000, 2, 4000, 2
import scales all proportionally</t>
      </text>
    </comment>
    <comment ref="AA97" authorId="0" shapeId="0">
      <text>
        <t>fires when: tkm_upgrade_twinrocketsupgrade</t>
      </text>
    </comment>
    <comment ref="K98" authorId="0" shapeId="0">
      <text>
        <t>raw warhead damages: 40000, 20, 40000, 500, 20, 6000, 2000, 2, 1000, 1
import scales all proportionally</t>
      </text>
    </comment>
    <comment ref="AA98" authorId="0" shapeId="0">
      <text>
        <t>fires when: tkm_upgrade_incendiaryrocketsupgrade</t>
      </text>
    </comment>
    <comment ref="K99" authorId="0" shapeId="0">
      <text>
        <t>raw warhead damages: 40000, 20, 40000, 500, 20, 6000, 2000, 2, 1000, 1
import scales all proportionally</t>
      </text>
    </comment>
    <comment ref="AA99" authorId="0" shapeId="0">
      <text>
        <t>fires when: tkm_upgrade_incendiaryrocketsupgrade</t>
      </text>
    </comment>
    <comment ref="K100" authorId="0" shapeId="0">
      <text>
        <t>raw warhead damages: 120000, 60, 120000, 60000, 60
import scales all proportionally</t>
      </text>
    </comment>
    <comment ref="K102" authorId="0" shapeId="0">
      <text>
        <t>raw warhead damages: 2000, 1
import scales all proportionally</t>
      </text>
    </comment>
    <comment ref="K103" authorId="0" shapeId="0">
      <text>
        <t>raw warhead damages: 24000, 12
import scales all proportionally</t>
      </text>
    </comment>
    <comment ref="AA103" authorId="0" shapeId="0">
      <text>
        <t>fires when: !tkm_upgrade_incendiaryrocketsupgrade</t>
      </text>
    </comment>
    <comment ref="K104" authorId="0" shapeId="0">
      <text>
        <t>raw warhead damages: 6000, 500, 3, 24000, 12
import scales all proportionally</t>
      </text>
    </comment>
    <comment ref="AA104" authorId="0" shapeId="0">
      <text>
        <t>fires when: tkm_upgrade_incendiaryrocketsupgrade</t>
      </text>
    </comment>
    <comment ref="K106" authorId="0" shapeId="0">
      <text>
        <t>raw warhead damages: 40000, 2, 40000, 10, 1000
import scales all proportionally</t>
      </text>
    </comment>
    <comment ref="AA108" authorId="0" shapeId="0">
      <text>
        <t>fires when: tkm_upgrade_pointdefensesystem</t>
      </text>
    </comment>
    <comment ref="K109" authorId="0" shapeId="0">
      <text>
        <t>raw warhead damages: 10000, 5
import scales all proportionally</t>
      </text>
    </comment>
    <comment ref="K110" authorId="0" shapeId="0">
      <text>
        <t>raw warhead damages: 2000, 1
import scales all proportionally</t>
      </text>
    </comment>
    <comment ref="K112" authorId="0" shapeId="0">
      <text>
        <t>raw warhead damages: 4000, 2
import scales all proportionally</t>
      </text>
    </comment>
    <comment ref="AA112" authorId="0" shapeId="0">
      <text>
        <t>fires when: !tkm_upgrade_titanarmorpiercingbulletsupgrade</t>
      </text>
    </comment>
    <comment ref="K113" authorId="0" shapeId="0">
      <text>
        <t>raw warhead damages: 2000, 500, 1, 6000, 3
import scales all proportionally</t>
      </text>
    </comment>
    <comment ref="AA113" authorId="0" shapeId="0">
      <text>
        <t>fires when: tkm_upgrade_titanarmorpiercingbulletsupgrade</t>
      </text>
    </comment>
    <comment ref="K115" authorId="0" shapeId="0">
      <text>
        <t>raw warhead damages: 8000, 4
import scales all proportionally</t>
      </text>
    </comment>
    <comment ref="K116" authorId="0" shapeId="0">
      <text>
        <t>raw warhead damages: 18000, 9
import scales all proportionally</t>
      </text>
    </comment>
    <comment ref="AA116" authorId="0" shapeId="0">
      <text>
        <t>fires when: tkm_upgrade_twinrocketsupgrade</t>
      </text>
    </comment>
    <comment ref="K119" authorId="0" shapeId="0">
      <text>
        <t>raw warhead damages: 20000, 10000, 10
import scales all proportionally</t>
      </text>
    </comment>
    <comment ref="AA119" authorId="0" shapeId="0">
      <text>
        <t>fires when: !tkm_upgrade_cryorocketsupgrade &amp;&amp; !tkm_upgrade_twinrocketsupgrade &amp;&amp; !tkm_upgrade_incendiaryrocketsupgrade</t>
      </text>
    </comment>
    <comment ref="K120" authorId="0" shapeId="0">
      <text>
        <t>raw warhead damages: 20000, 10000, 10
import scales all proportionally</t>
      </text>
    </comment>
    <comment ref="AA120" authorId="0" shapeId="0">
      <text>
        <t>fires when: tkm_upgrade_cryorocketsupgrade</t>
      </text>
    </comment>
    <comment ref="K121" authorId="0" shapeId="0">
      <text>
        <t>raw warhead damages: 20000, 10000, 10
import scales all proportionally</t>
      </text>
    </comment>
    <comment ref="AA121" authorId="0" shapeId="0">
      <text>
        <t>fires when: tkm_upgrade_twinrocketsupgrade</t>
      </text>
    </comment>
    <comment ref="K122" authorId="0" shapeId="0">
      <text>
        <t>raw warhead damages: 6000, 2000, 2, 1000, 1, 20000, 10000, 10
import scales all proportionally</t>
      </text>
    </comment>
    <comment ref="AA122" authorId="0" shapeId="0">
      <text>
        <t>fires when: tkm_upgrade_incendiaryrocketsupgrade</t>
      </text>
    </comment>
    <comment ref="K124" authorId="0" shapeId="0">
      <text>
        <t>raw warhead damages: 20000, 10000, 10, 20000, 10
import scales all proportionally</t>
      </text>
    </comment>
    <comment ref="K127" authorId="0" shapeId="0">
      <text>
        <t>raw warhead damages: 2000, 1, 2000, 1
import scales all proportionally</t>
      </text>
    </comment>
    <comment ref="K128" authorId="0" shapeId="0">
      <text>
        <t>raw warhead damages: 2000, 1, 2000, 1
import scales all proportionally</t>
      </text>
    </comment>
    <comment ref="K131" authorId="0" shapeId="0">
      <text>
        <t>raw warhead damages: 2000, 1, 2000, 1
import scales all proportionally</t>
      </text>
    </comment>
    <comment ref="K132" authorId="0" shapeId="0">
      <text>
        <t>raw warhead damages: 4, 1
import scales all proportionally</t>
      </text>
    </comment>
    <comment ref="AA132" authorId="0" shapeId="0">
      <text>
        <t>fires when: !tkm_upgrade_cryorocketsupgrade &amp;&amp; !tkm_upgrade_twinrocketsupgrade &amp;&amp; !tkm_upgrade_incendiaryrocketsupgrade</t>
      </text>
    </comment>
    <comment ref="K133" authorId="0" shapeId="0">
      <text>
        <t>raw warhead damages: 2000, 1000, 1, 2000, 1000, 1, 2000, 1, 2000, 1
import scales all proportionally</t>
      </text>
    </comment>
    <comment ref="AA133" authorId="0" shapeId="0">
      <text>
        <t>fires when: tkm_upgrade_cryorocketsupgrade</t>
      </text>
    </comment>
    <comment ref="K134" authorId="0" shapeId="0">
      <text>
        <t>raw warhead damages: 2000, 1000, 1, 2000, 1000, 1, 2000, 1, 2000, 1
import scales all proportionally</t>
      </text>
    </comment>
    <comment ref="AA134" authorId="0" shapeId="0">
      <text>
        <t>fires when: tkm_upgrade_twinrocketsupgrade</t>
      </text>
    </comment>
    <comment ref="K135" authorId="0" shapeId="0">
      <text>
        <t>raw warhead damages: 2000, 1000, 1, 2000, 1000, 1, 2000, 1, 2000, 1
import scales all proportionally</t>
      </text>
    </comment>
    <comment ref="AA135" authorId="0" shapeId="0">
      <text>
        <t>fires when: tkm_upgrade_incendiaryrocketsupgrade</t>
      </text>
    </comment>
    <comment ref="K137" authorId="0" shapeId="0">
      <text>
        <t>raw warhead damages: 16000, 500, 8, 16000, 8
import scales all proportionally</t>
      </text>
    </comment>
    <comment ref="AA137" authorId="0" shapeId="0">
      <text>
        <t>fires when: !tkm_upgrade_cryorocketsupgrade &amp;&amp; !tkm_upgrade_twinrocketsupgrade &amp;&amp; !uptitanarsenalupgrade</t>
      </text>
    </comment>
    <comment ref="K138" authorId="0" shapeId="0">
      <text>
        <t>raw warhead damages: 16000, 500, 8, 16000, 8
import scales all proportionally</t>
      </text>
    </comment>
    <comment ref="AA138" authorId="0" shapeId="0">
      <text>
        <t>fires when: tkm_upgrade_cryorocketsupgrade</t>
      </text>
    </comment>
    <comment ref="K139" authorId="0" shapeId="0">
      <text>
        <t>raw warhead damages: 16000, 500, 8, 16000, 8
import scales all proportionally</t>
      </text>
    </comment>
    <comment ref="AA139" authorId="0" shapeId="0">
      <text>
        <t>fires when: tkm_upgrade_twinrocketsupgrade</t>
      </text>
    </comment>
    <comment ref="K140" authorId="0" shapeId="0">
      <text>
        <t>raw warhead damages: 16000, 500, 8, 16000, 8, 6000, 2000, 2, 1000, 1
import scales all proportionally</t>
      </text>
    </comment>
    <comment ref="AA140" authorId="0" shapeId="0">
      <text>
        <t>fires when: tkm_upgrade_incendiaryrocketsupgrade</t>
      </text>
    </comment>
    <comment ref="K143" authorId="0" shapeId="0">
      <text>
        <t>raw warhead damages: 40000, 20000, 20
import scales all proportionally</t>
      </text>
    </comment>
    <comment ref="K146" authorId="0" shapeId="0">
      <text>
        <t>raw warhead damages: 2000, 1, 2000, 1
import scales all proportionally</t>
      </text>
    </comment>
    <comment ref="AA146" authorId="0" shapeId="0">
      <text>
        <t>fires when: !td_gdi_upgrade_armorpiercingbullets</t>
      </text>
    </comment>
    <comment ref="K147" authorId="0" shapeId="0">
      <text>
        <t>raw warhead damages: 4000, 2
import scales all proportionally</t>
      </text>
    </comment>
    <comment ref="AA147" authorId="0" shapeId="0">
      <text>
        <t>fires when: td_gdi_upgrade_armorpiercingbullets</t>
      </text>
    </comment>
    <comment ref="K149" authorId="0" shapeId="0">
      <text>
        <t>raw warhead damages: 2000, 2, 2000, 1
import scales all proportionally</t>
      </text>
    </comment>
    <comment ref="K151" authorId="0" shapeId="0">
      <text>
        <t>raw warhead damages: 8000, 4, 8000, 4
import scales all proportionally</t>
      </text>
    </comment>
    <comment ref="K153" authorId="0" shapeId="0">
      <text>
        <t>raw warhead damages: 16000, 8, 16000, 8
import scales all proportionally</t>
      </text>
    </comment>
    <comment ref="K155" authorId="0" shapeId="0">
      <text>
        <t>raw warhead damages: 20000, 10000, 10, 20000, 10
import scales all proportionally</t>
      </text>
    </comment>
  </commentList>
</comments>
</file>

<file path=xl/comments/comment15.xml><?xml version="1.0" encoding="utf-8"?>
<comments xmlns="http://schemas.openxmlformats.org/spreadsheetml/2006/main">
  <authors>
    <author>balance-pipeline</author>
  </authors>
  <commentList>
    <comment ref="K4" authorId="0" shapeId="0">
      <text>
        <t>raw warhead damages: 30000, 15
import scales all proportionally</t>
      </text>
    </comment>
    <comment ref="AA4" authorId="0" shapeId="0">
      <text>
        <t>fires when: !ra1_allies_upgrade_cryomissiles</t>
      </text>
    </comment>
    <comment ref="K5" authorId="0" shapeId="0">
      <text>
        <t>raw warhead damages: 30000, 15
import scales all proportionally</t>
      </text>
    </comment>
    <comment ref="AA5" authorId="0" shapeId="0">
      <text>
        <t>fires when: !ra1_allies_upgrade_cryomissiles</t>
      </text>
    </comment>
    <comment ref="K6" authorId="0" shapeId="0">
      <text>
        <t>raw warhead damages: 30000, 15
import scales all proportionally</t>
      </text>
    </comment>
    <comment ref="AA6" authorId="0" shapeId="0">
      <text>
        <t>fires when: ra1_allies_upgrade_cryomissiles</t>
      </text>
    </comment>
    <comment ref="K7" authorId="0" shapeId="0">
      <text>
        <t>raw warhead damages: 30000, 15
import scales all proportionally</t>
      </text>
    </comment>
    <comment ref="AA7" authorId="0" shapeId="0">
      <text>
        <t>fires when: ra1_allies_upgrade_cryomissiles</t>
      </text>
    </comment>
    <comment ref="K9" authorId="0" shapeId="0">
      <text>
        <t>raw warhead damages: 2000, 1, 2000, 1
import scales all proportionally</t>
      </text>
    </comment>
    <comment ref="K10" authorId="0" shapeId="0">
      <text>
        <t>raw warhead damages: 2000, 1, 2000, 1
import scales all proportionally</t>
      </text>
    </comment>
    <comment ref="K13" authorId="0" shapeId="0">
      <text>
        <t>raw warhead damages: -2000, -1000, -1
import scales all proportionally</t>
      </text>
    </comment>
    <comment ref="K14" authorId="0" shapeId="0">
      <text>
        <t>raw warhead damages: -2000, -1000, -1
import scales all proportionally</t>
      </text>
    </comment>
    <comment ref="K17" authorId="0" shapeId="0">
      <text>
        <t>raw warhead damages: -2000, -1000, -1
import scales all proportionally</t>
      </text>
    </comment>
    <comment ref="K18" authorId="0" shapeId="0">
      <text>
        <t>raw warhead damages: -2000, -1000, -1
import scales all proportionally</t>
      </text>
    </comment>
    <comment ref="K22" authorId="0" shapeId="0">
      <text>
        <t>raw warhead damages: 7777, 3
import scales all proportionally</t>
      </text>
    </comment>
    <comment ref="K23" authorId="0" shapeId="0">
      <text>
        <t>raw warhead damages: 7777, 3
import scales all proportionally</t>
      </text>
    </comment>
    <comment ref="K28" authorId="0" shapeId="0">
      <text>
        <t>raw warhead damages: 10000, 5, 10000, 5000, 5, 10000, 5000, 5
import scales all proportionally</t>
      </text>
    </comment>
    <comment ref="AA28" authorId="0" shapeId="0">
      <text>
        <t>fires when: !ra1_allies_upgrade_cryomissiles</t>
      </text>
    </comment>
    <comment ref="K29" authorId="0" shapeId="0">
      <text>
        <t>raw warhead damages: 10000, 5, 10000, 5000, 5, 10000, 5000, 5
import scales all proportionally</t>
      </text>
    </comment>
    <comment ref="AA29" authorId="0" shapeId="0">
      <text>
        <t>fires when: ra1_allies_upgrade_cryomissiles</t>
      </text>
    </comment>
    <comment ref="K31" authorId="0" shapeId="0">
      <text>
        <t>raw warhead damages: 2000, 1, 2000, 1, 2000, 1, 2000, 1
import scales all proportionally</t>
      </text>
    </comment>
    <comment ref="K32" authorId="0" shapeId="0">
      <text>
        <t>raw warhead damages: 2000, 1, 2000, 1, 2000, 1, 2000, 1
import scales all proportionally</t>
      </text>
    </comment>
    <comment ref="K34" authorId="0" shapeId="0">
      <text>
        <t>raw warhead damages: 2000, 1000, 1, 2000, 1000, 1, 2000, 1000, 1, 2000, 1000, 1, 2000, 1, 2000, 1
import scales all proportionally</t>
      </text>
    </comment>
    <comment ref="K36" authorId="0" shapeId="0">
      <text>
        <t>raw warhead damages: 8000, 4
import scales all proportionally</t>
      </text>
    </comment>
    <comment ref="K40" authorId="0" shapeId="0">
      <text>
        <t>raw warhead damages: 12000, 6, 12000, 6
import scales all proportionally</t>
      </text>
    </comment>
    <comment ref="K42" authorId="0" shapeId="0">
      <text>
        <t>raw warhead damages: 8000, 4, 8000, 4
import scales all proportionally</t>
      </text>
    </comment>
    <comment ref="K44" authorId="0" shapeId="0">
      <text>
        <t>raw warhead damages: 4000, 2000, 2, 4000, 2, 4000, 2, 4000, 2, 4000, 2
import scales all proportionally</t>
      </text>
    </comment>
    <comment ref="AA44" authorId="0" shapeId="0">
      <text>
        <t>fires when: !ra1_allies_upgrade_cryomissiles</t>
      </text>
    </comment>
    <comment ref="K45" authorId="0" shapeId="0">
      <text>
        <t>raw warhead damages: 4000, 2000, 2, 4000, 2, 4000, 2, 4000, 2, 4000, 2
import scales all proportionally</t>
      </text>
    </comment>
    <comment ref="AA45" authorId="0" shapeId="0">
      <text>
        <t>fires when: !ra1_allies_upgrade_cryomissiles</t>
      </text>
    </comment>
    <comment ref="K46" authorId="0" shapeId="0">
      <text>
        <t>raw warhead damages: 4000, 2000, 2, 4000, 2, 4000, 2, 4000, 2, 4000, 2
import scales all proportionally</t>
      </text>
    </comment>
    <comment ref="AA46" authorId="0" shapeId="0">
      <text>
        <t>fires when: ra1_allies_upgrade_cryomissiles</t>
      </text>
    </comment>
    <comment ref="K47" authorId="0" shapeId="0">
      <text>
        <t>raw warhead damages: 4000, 2000, 2, 4000, 2, 4000, 2, 4000, 2, 4000, 2
import scales all proportionally</t>
      </text>
    </comment>
    <comment ref="AA47" authorId="0" shapeId="0">
      <text>
        <t>fires when: ra1_allies_upgrade_cryomissiles</t>
      </text>
    </comment>
    <comment ref="K54" authorId="0" shapeId="0">
      <text>
        <t>raw warhead damages: 4000, 2, 4000, 2000, 2, 4000, 2, 4000, 2
import scales all proportionally</t>
      </text>
    </comment>
    <comment ref="AA54" authorId="0" shapeId="0">
      <text>
        <t>fires when: !ra1_allies_upgrade_cryomissiles</t>
      </text>
    </comment>
    <comment ref="K55" authorId="0" shapeId="0">
      <text>
        <t>raw warhead damages: 4000, 2, 4000, 2000, 2, 4000, 2, 4000, 2
import scales all proportionally</t>
      </text>
    </comment>
    <comment ref="AA55" authorId="0" shapeId="0">
      <text>
        <t>fires when: ra1_allies_upgrade_cryomissiles</t>
      </text>
    </comment>
    <comment ref="K57" authorId="0" shapeId="0">
      <text>
        <t>raw warhead damages: 4000, 2
import scales all proportionally</t>
      </text>
    </comment>
    <comment ref="K59" authorId="0" shapeId="0">
      <text>
        <t>raw warhead damages: 4000, 2000, 2, 4000, 2000, 2, 4000, 2, 4000, 2, 4000, 2, 4000, 2, 1000, 4000, 2, 4000, 2
import scales all proportionally</t>
      </text>
    </comment>
    <comment ref="AA59" authorId="0" shapeId="0">
      <text>
        <t>fires when: !ra1_allies_upgrade_cryomissiles</t>
      </text>
    </comment>
    <comment ref="K60" authorId="0" shapeId="0">
      <text>
        <t>raw warhead damages: 4000, 2000, 2, 4000, 2000, 2, 4000, 2, 4000, 2, 4000, 2, 4000, 2, 1000, 4000, 2, 4000, 2
import scales all proportionally</t>
      </text>
    </comment>
    <comment ref="AA60" authorId="0" shapeId="0">
      <text>
        <t>fires when: ra1_allies_upgrade_cryomissiles</t>
      </text>
    </comment>
    <comment ref="K62" authorId="0" shapeId="0">
      <text>
        <t>raw warhead damages: 8000, 4, 8000, 4
import scales all proportionally</t>
      </text>
    </comment>
    <comment ref="K63" authorId="0" shapeId="0">
      <text>
        <t>raw warhead damages: 8000, 4, 8000, 4
import scales all proportionally</t>
      </text>
    </comment>
    <comment ref="AA63" authorId="0" shapeId="0">
      <text>
        <t>fires when: !ra1_allies_upgrade_cryomissiles</t>
      </text>
    </comment>
    <comment ref="K64" authorId="0" shapeId="0">
      <text>
        <t>raw warhead damages: 8000, 4, 8000, 4
import scales all proportionally</t>
      </text>
    </comment>
    <comment ref="AA64" authorId="0" shapeId="0">
      <text>
        <t>fires when: ra1_allies_upgrade_cryomissiles</t>
      </text>
    </comment>
    <comment ref="K65" authorId="0" shapeId="0">
      <text>
        <t>raw warhead damages: 2000, 1, 2000, 1
import scales all proportionally</t>
      </text>
    </comment>
    <comment ref="K69" authorId="0" shapeId="0">
      <text>
        <t>raw warhead damages: 2000, 1, 2000, 1000, 1, 2000, 1, 2000, 1
import scales all proportionally</t>
      </text>
    </comment>
    <comment ref="K70" authorId="0" shapeId="0">
      <text>
        <t>raw warhead damages: 2000, 1, 2000, 1000, 1, 2000, 1, 2000, 1
import scales all proportionally</t>
      </text>
    </comment>
    <comment ref="K72" authorId="0" shapeId="0">
      <text>
        <t>raw warhead damages: 8000, 4000, 4, 8000, 4
import scales all proportionally</t>
      </text>
    </comment>
    <comment ref="AA72" authorId="0" shapeId="0">
      <text>
        <t>fires when: !ra1_allies_upgrade_cryomissiles</t>
      </text>
    </comment>
    <comment ref="K73" authorId="0" shapeId="0">
      <text>
        <t>raw warhead damages: 8000, 4000, 4, 8000, 4
import scales all proportionally</t>
      </text>
    </comment>
    <comment ref="AA73" authorId="0" shapeId="0">
      <text>
        <t>fires when: ra1_allies_upgrade_cryomissiles</t>
      </text>
    </comment>
    <comment ref="K75" authorId="0" shapeId="0">
      <text>
        <t>raw warhead damages: 10000, 5
import scales all proportionally</t>
      </text>
    </comment>
    <comment ref="AA75" authorId="0" shapeId="0">
      <text>
        <t>fires when: !ra1_allies_upgrade_cryomissiles</t>
      </text>
    </comment>
    <comment ref="K76" authorId="0" shapeId="0">
      <text>
        <t>raw warhead damages: 10000, 5
import scales all proportionally</t>
      </text>
    </comment>
    <comment ref="AA76" authorId="0" shapeId="0">
      <text>
        <t>fires when: ra1_allies_upgrade_cryomissiles</t>
      </text>
    </comment>
    <comment ref="K77" authorId="0" shapeId="0">
      <text>
        <t>raw warhead damages: 8000, 4000, 4, 8000, 4
import scales all proportionally</t>
      </text>
    </comment>
    <comment ref="AA77" authorId="0" shapeId="0">
      <text>
        <t>fires when: !ra1_allies_upgrade_cryomissiles</t>
      </text>
    </comment>
    <comment ref="K78" authorId="0" shapeId="0">
      <text>
        <t>raw warhead damages: 8000, 4000, 4, 8000, 4
import scales all proportionally</t>
      </text>
    </comment>
    <comment ref="AA78" authorId="0" shapeId="0">
      <text>
        <t>fires when: ra1_allies_upgrade_cryomissiles</t>
      </text>
    </comment>
    <comment ref="K81" authorId="0" shapeId="0">
      <text>
        <t>raw warhead damages: 4000, 2
import scales all proportionally</t>
      </text>
    </comment>
    <comment ref="K83" authorId="0" shapeId="0">
      <text>
        <t>raw warhead damages: 10000, 5000, 5, 10000, 5
import scales all proportionally</t>
      </text>
    </comment>
    <comment ref="K85" authorId="0" shapeId="0">
      <text>
        <t>raw warhead damages: 10000, 5, 10000, 5000, 5, 10000, 5000, 5
import scales all proportionally</t>
      </text>
    </comment>
    <comment ref="AA85" authorId="0" shapeId="0">
      <text>
        <t>fires when: !disabled &amp;&amp; !lowpower &amp;&amp; !ra1_allies_upgrade_cryomissiles</t>
      </text>
    </comment>
    <comment ref="K86" authorId="0" shapeId="0">
      <text>
        <t>raw warhead damages: 10000, 5, 10000, 5000, 5, 10000, 5000, 5
import scales all proportionally</t>
      </text>
    </comment>
    <comment ref="AA86" authorId="0" shapeId="0">
      <text>
        <t>fires when: !disabled &amp;&amp; !lowpower &amp;&amp; ra1_allies_upgrade_cryomissiles</t>
      </text>
    </comment>
  </commentList>
</comments>
</file>

<file path=xl/comments/comment16.xml><?xml version="1.0" encoding="utf-8"?>
<comments xmlns="http://schemas.openxmlformats.org/spreadsheetml/2006/main">
  <authors>
    <author>balance-pipeline</author>
  </authors>
  <commentList>
    <comment ref="K4" authorId="0" shapeId="0">
      <text>
        <t>raw warhead damages: 40000, 20
import scales all proportionally</t>
      </text>
    </comment>
    <comment ref="AA4" authorId="0" shapeId="0">
      <text>
        <t>fires when: !japan_upgrade_energizedarrows</t>
      </text>
    </comment>
    <comment ref="K5" authorId="0" shapeId="0">
      <text>
        <t>raw warhead damages: 40000, 20
import scales all proportionally</t>
      </text>
    </comment>
    <comment ref="AA5" authorId="0" shapeId="0">
      <text>
        <t>fires when: !japan_upgrade_energizedarrows</t>
      </text>
    </comment>
    <comment ref="K6" authorId="0" shapeId="0">
      <text>
        <t>raw warhead damages: 6000, 3000, 3, 6000, 3000, 3, 6000, 3000, 3, 6000, 3, 6000, 3000, 3, 6000, 3, 6000, 3
import scales all proportionally</t>
      </text>
    </comment>
    <comment ref="AA6" authorId="0" shapeId="0">
      <text>
        <t>fires when: japan_upgrade_energizedarrows</t>
      </text>
    </comment>
    <comment ref="K7" authorId="0" shapeId="0">
      <text>
        <t>raw warhead damages: 6000, 3000, 3, 6000, 3000, 3, 6000, 3000, 3, 6000, 3, 6000, 3000, 3, 6000, 3, 6000, 3
import scales all proportionally</t>
      </text>
    </comment>
    <comment ref="AA7" authorId="0" shapeId="0">
      <text>
        <t>fires when: japan_upgrade_energizedarrows</t>
      </text>
    </comment>
    <comment ref="K9" authorId="0" shapeId="0">
      <text>
        <t>raw warhead damages: 10000, 5000, 5, 10000, 5, 888
import scales all proportionally</t>
      </text>
    </comment>
    <comment ref="K10" authorId="0" shapeId="0">
      <text>
        <t>raw warhead damages: 120000, 60000, 60, 120000, 60, 888
import scales all proportionally</t>
      </text>
    </comment>
    <comment ref="K11" authorId="0" shapeId="0">
      <text>
        <t>raw warhead damages: 10000, 5000, 5, 10000, 5, 888
import scales all proportionally</t>
      </text>
    </comment>
    <comment ref="K12" authorId="0" shapeId="0">
      <text>
        <t>raw warhead damages: 120000, 60000, 60, 120000, 60, 888
import scales all proportionally</t>
      </text>
    </comment>
    <comment ref="K14" authorId="0" shapeId="0">
      <text>
        <t>raw warhead damages: 4000, 2
import scales all proportionally</t>
      </text>
    </comment>
    <comment ref="AA14" authorId="0" shapeId="0">
      <text>
        <t>fires when: !japan_upgrade_waveforcebullets</t>
      </text>
    </comment>
    <comment ref="K15" authorId="0" shapeId="0">
      <text>
        <t>raw warhead damages: 4000, 2
import scales all proportionally</t>
      </text>
    </comment>
    <comment ref="AA15" authorId="0" shapeId="0">
      <text>
        <t>fires when: !japan_upgrade_waveforcebullets</t>
      </text>
    </comment>
    <comment ref="K16" authorId="0" shapeId="0">
      <text>
        <t>raw warhead damages: 2000, 1, 1000, 4000, 2
import scales all proportionally</t>
      </text>
    </comment>
    <comment ref="AA16" authorId="0" shapeId="0">
      <text>
        <t>fires when: japan_upgrade_waveforcebullets</t>
      </text>
    </comment>
    <comment ref="K17" authorId="0" shapeId="0">
      <text>
        <t>raw warhead damages: 2000, 1, 1000, 4000, 2
import scales all proportionally</t>
      </text>
    </comment>
    <comment ref="AA17" authorId="0" shapeId="0">
      <text>
        <t>fires when: japan_upgrade_waveforcebullets</t>
      </text>
    </comment>
    <comment ref="K19" authorId="0" shapeId="0">
      <text>
        <t>raw warhead damages: 2000, 1000, 1
import scales all proportionally</t>
      </text>
    </comment>
    <comment ref="AA19" authorId="0" shapeId="0">
      <text>
        <t>fires when: !japan_upgrade_advancedplasmaweapons</t>
      </text>
    </comment>
    <comment ref="K20" authorId="0" shapeId="0">
      <text>
        <t>raw warhead damages: 2000, 1000, 1
import scales all proportionally</t>
      </text>
    </comment>
    <comment ref="AA20" authorId="0" shapeId="0">
      <text>
        <t>fires when: !japan_upgrade_advancedplasmaweapons</t>
      </text>
    </comment>
    <comment ref="K21" authorId="0" shapeId="0">
      <text>
        <t>raw warhead damages: 2000, 1000, 1, 2000, 1000, 1
import scales all proportionally</t>
      </text>
    </comment>
    <comment ref="AA21" authorId="0" shapeId="0">
      <text>
        <t>fires when: japan_upgrade_advancedplasmaweapons</t>
      </text>
    </comment>
    <comment ref="K22" authorId="0" shapeId="0">
      <text>
        <t>raw warhead damages: 2000, 1000, 1, 2000, 1000, 1
import scales all proportionally</t>
      </text>
    </comment>
    <comment ref="AA22" authorId="0" shapeId="0">
      <text>
        <t>fires when: japan_upgrade_advancedplasmaweapons</t>
      </text>
    </comment>
    <comment ref="K24" authorId="0" shapeId="0">
      <text>
        <t>raw warhead damages: 2000, 1000, 1, 2000, 1, 2000, 1000, 1, 2000, 1000, 1, 2000, 1000, 1, 2000, 1
import scales all proportionally</t>
      </text>
    </comment>
    <comment ref="K26" authorId="0" shapeId="0">
      <text>
        <t>raw warhead damages: 10000, 5000, 5
import scales all proportionally</t>
      </text>
    </comment>
    <comment ref="AA26" authorId="0" shapeId="0">
      <text>
        <t>fires when: !japan_upgrade_advancedplasmaweapons</t>
      </text>
    </comment>
    <comment ref="K27" authorId="0" shapeId="0">
      <text>
        <t>raw warhead damages: 10000, 5000, 5
import scales all proportionally</t>
      </text>
    </comment>
    <comment ref="AA27" authorId="0" shapeId="0">
      <text>
        <t>fires when: !japan_upgrade_advancedplasmaweapons</t>
      </text>
    </comment>
    <comment ref="K28" authorId="0" shapeId="0">
      <text>
        <t>raw warhead damages: 10000, 5000, 5, 10000, 5000, 5
import scales all proportionally</t>
      </text>
    </comment>
    <comment ref="AA28" authorId="0" shapeId="0">
      <text>
        <t>fires when: japan_upgrade_advancedplasmaweapons</t>
      </text>
    </comment>
    <comment ref="K29" authorId="0" shapeId="0">
      <text>
        <t>raw warhead damages: 10000, 5000, 5, 10000, 5000, 5
import scales all proportionally</t>
      </text>
    </comment>
    <comment ref="AA29" authorId="0" shapeId="0">
      <text>
        <t>fires when: japan_upgrade_advancedplasmaweapons</t>
      </text>
    </comment>
    <comment ref="K31" authorId="0" shapeId="0">
      <text>
        <t>raw warhead damages: 8000, 4, 8000, 4, 8000, 4, 1000
import scales all proportionally</t>
      </text>
    </comment>
    <comment ref="K32" authorId="0" shapeId="0">
      <text>
        <t>raw warhead damages: 8000, 4, 8000, 4, 8000, 4, 1000
import scales all proportionally</t>
      </text>
    </comment>
    <comment ref="K33" authorId="0" shapeId="0">
      <text>
        <t>raw warhead damages: 8000, 4000, 4, 8000, 4000, 4, 8000, 4
import scales all proportionally</t>
      </text>
    </comment>
    <comment ref="AA33" authorId="0" shapeId="0">
      <text>
        <t>fires when: japan_upgrade_advancedplasmaweapons</t>
      </text>
    </comment>
    <comment ref="K34" authorId="0" shapeId="0">
      <text>
        <t>raw warhead damages: 8000, 4000, 4, 8000, 4000, 4, 8000, 4
import scales all proportionally</t>
      </text>
    </comment>
    <comment ref="AA34" authorId="0" shapeId="0">
      <text>
        <t>fires when: japan_upgrade_advancedplasmaweapons</t>
      </text>
    </comment>
    <comment ref="K37" authorId="0" shapeId="0">
      <text>
        <t>raw warhead damages: 2000, 1, 2000, 1, 2000, 1, 2000, 1000, 1, 2000, 1, 2000, 1, 2000, 1, 2000, 1
import scales all proportionally</t>
      </text>
    </comment>
    <comment ref="AA37" authorId="0" shapeId="0">
      <text>
        <t>fires when: !japan_upgrade_waveforcebullets</t>
      </text>
    </comment>
    <comment ref="K38" authorId="0" shapeId="0">
      <text>
        <t>raw warhead damages: 2000, 1, 2000, 1, 2000, 1, 2000, 1000, 1, 2000, 1, 2000, 1, 2000, 1, 2000, 1
import scales all proportionally</t>
      </text>
    </comment>
    <comment ref="AA38" authorId="0" shapeId="0">
      <text>
        <t>fires when: !japan_upgrade_waveforcebullets</t>
      </text>
    </comment>
    <comment ref="K39" authorId="0" shapeId="0">
      <text>
        <t>raw warhead damages: 1000, 1, 2000, 1, 1000, 2000, 1, 2000, 1, 2000, 1, 2000, 1000, 1, 2000, 1, 2000, 1, 2000, 1, 2000, 1
import scales all proportionally</t>
      </text>
    </comment>
    <comment ref="AA39" authorId="0" shapeId="0">
      <text>
        <t>fires when: japan_upgrade_waveforcebullets</t>
      </text>
    </comment>
    <comment ref="K40" authorId="0" shapeId="0">
      <text>
        <t>raw warhead damages: 1000, 1, 2000, 1, 1000, 2000, 1, 2000, 1, 2000, 1, 2000, 1000, 1, 2000, 1, 2000, 1, 2000, 1, 2000, 1
import scales all proportionally</t>
      </text>
    </comment>
    <comment ref="AA40" authorId="0" shapeId="0">
      <text>
        <t>fires when: japan_upgrade_waveforcebullets</t>
      </text>
    </comment>
    <comment ref="K42" authorId="0" shapeId="0">
      <text>
        <t>raw warhead damages: 10000, 5000, 5, 10000, 5000, 5, 10000, 5000, 5, 10000, 5
import scales all proportionally</t>
      </text>
    </comment>
    <comment ref="K43" authorId="0" shapeId="0">
      <text>
        <t>raw warhead damages: 10000, 5000, 5, 10000, 5000, 5, 10000, 5000, 5, 10000, 5
import scales all proportionally</t>
      </text>
    </comment>
    <comment ref="AA43" authorId="0" shapeId="0">
      <text>
        <t>fires when: japan_upgrade_energizedarrows</t>
      </text>
    </comment>
    <comment ref="K45" authorId="0" shapeId="0">
      <text>
        <t>raw warhead damages: 6000, 3, 6000, 3
import scales all proportionally</t>
      </text>
    </comment>
    <comment ref="AA45" authorId="0" shapeId="0">
      <text>
        <t>fires when: !japan_upgrade_advancedplasmaweapons</t>
      </text>
    </comment>
    <comment ref="K46" authorId="0" shapeId="0">
      <text>
        <t>raw warhead damages: 4000, 2000, 2, 4000, 2, 1000, 4000, 2
import scales all proportionally</t>
      </text>
    </comment>
    <comment ref="AA46" authorId="0" shapeId="0">
      <text>
        <t>fires when: japan_upgrade_advancedplasmaweapons</t>
      </text>
    </comment>
    <comment ref="K56" authorId="0" shapeId="0">
      <text>
        <t>raw warhead damages: 10000, 5000, 5, 10000, 5, 888
import scales all proportionally</t>
      </text>
    </comment>
    <comment ref="K57" authorId="0" shapeId="0">
      <text>
        <t>raw warhead damages: 120000, 60000, 60, 120000, 60, 888
import scales all proportionally</t>
      </text>
    </comment>
    <comment ref="K58" authorId="0" shapeId="0">
      <text>
        <t>raw warhead damages: 8000, 4
import scales all proportionally</t>
      </text>
    </comment>
    <comment ref="AA58" authorId="0" shapeId="0">
      <text>
        <t>fires when: !japan_upgrade_advancedplasmaweapons</t>
      </text>
    </comment>
    <comment ref="K59" authorId="0" shapeId="0">
      <text>
        <t>raw warhead damages: 8000, 4
import scales all proportionally</t>
      </text>
    </comment>
    <comment ref="AA59" authorId="0" shapeId="0">
      <text>
        <t>fires when: !japan_upgrade_advancedplasmaweapons</t>
      </text>
    </comment>
    <comment ref="K60" authorId="0" shapeId="0">
      <text>
        <t>raw warhead damages: 8000, 4
import scales all proportionally</t>
      </text>
    </comment>
    <comment ref="AA60" authorId="0" shapeId="0">
      <text>
        <t>fires when: !japan_upgrade_advancedplasmaweapons</t>
      </text>
    </comment>
    <comment ref="K61" authorId="0" shapeId="0">
      <text>
        <t>raw warhead damages: 2000, 1000, 1, 2000, 1000, 1, 2000, 1, 1000, 2000, 1
import scales all proportionally</t>
      </text>
    </comment>
    <comment ref="AA61" authorId="0" shapeId="0">
      <text>
        <t>fires when: japan_upgrade_advancedplasmaweapons</t>
      </text>
    </comment>
    <comment ref="K62" authorId="0" shapeId="0">
      <text>
        <t>raw warhead damages: 2000, 1000, 1, 2000, 1000, 1, 2000, 1, 1000, 2000, 1
import scales all proportionally</t>
      </text>
    </comment>
    <comment ref="AA62" authorId="0" shapeId="0">
      <text>
        <t>fires when: japan_upgrade_advancedplasmaweapons</t>
      </text>
    </comment>
    <comment ref="K63" authorId="0" shapeId="0">
      <text>
        <t>raw warhead damages: 2000, 1000, 1, 2000, 1000, 1, 2000, 1, 1000, 2000, 1
import scales all proportionally</t>
      </text>
    </comment>
    <comment ref="AA63" authorId="0" shapeId="0">
      <text>
        <t>fires when: japan_upgrade_advancedplasmaweapons</t>
      </text>
    </comment>
    <comment ref="K64" authorId="0" shapeId="0">
      <text>
        <t>raw warhead damages: 2000, 1000, 1
import scales all proportionally</t>
      </text>
    </comment>
    <comment ref="AA64" authorId="0" shapeId="0">
      <text>
        <t>fires when: !japan_upgrade_advancedplasmaweapons</t>
      </text>
    </comment>
    <comment ref="K65" authorId="0" shapeId="0">
      <text>
        <t>raw warhead damages: 2000, 1000, 1
import scales all proportionally</t>
      </text>
    </comment>
    <comment ref="AA65" authorId="0" shapeId="0">
      <text>
        <t>fires when: !japan_upgrade_advancedplasmaweapons</t>
      </text>
    </comment>
    <comment ref="K66" authorId="0" shapeId="0">
      <text>
        <t>raw warhead damages: 2000, 1000, 1, 2000, 1000, 1
import scales all proportionally</t>
      </text>
    </comment>
    <comment ref="AA66" authorId="0" shapeId="0">
      <text>
        <t>fires when: japan_upgrade_advancedplasmaweapons</t>
      </text>
    </comment>
    <comment ref="K67" authorId="0" shapeId="0">
      <text>
        <t>raw warhead damages: 2000, 1000, 1, 2000, 1000, 1
import scales all proportionally</t>
      </text>
    </comment>
    <comment ref="AA67" authorId="0" shapeId="0">
      <text>
        <t>fires when: japan_upgrade_advancedplasmaweapons</t>
      </text>
    </comment>
    <comment ref="K69" authorId="0" shapeId="0">
      <text>
        <t>raw warhead damages: 60000, 30000, 30
import scales all proportionally</t>
      </text>
    </comment>
    <comment ref="AA69" authorId="0" shapeId="0">
      <text>
        <t>fires when: !japan_upgrade_advancedplasmaweapons</t>
      </text>
    </comment>
    <comment ref="K70" authorId="0" shapeId="0">
      <text>
        <t>raw warhead damages: 20000, 10, 20000, 10000, 10, 20000, 10000, 10
import scales all proportionally</t>
      </text>
    </comment>
    <comment ref="AA70" authorId="0" shapeId="0">
      <text>
        <t>fires when: japan_upgrade_advancedplasmaweapons</t>
      </text>
    </comment>
    <comment ref="K72" authorId="0" shapeId="0">
      <text>
        <t>raw warhead damages: 2000, 1000, 1
import scales all proportionally</t>
      </text>
    </comment>
    <comment ref="AA72" authorId="0" shapeId="0">
      <text>
        <t>fires when: !japan_upgrade_advancedplasmaweapons</t>
      </text>
    </comment>
    <comment ref="K73" authorId="0" shapeId="0">
      <text>
        <t>raw warhead damages: 2000, 1000, 1, 2000, 1000, 1
import scales all proportionally</t>
      </text>
    </comment>
    <comment ref="AA73" authorId="0" shapeId="0">
      <text>
        <t>fires when: japan_upgrade_advancedplasmaweapons</t>
      </text>
    </comment>
    <comment ref="K75" authorId="0" shapeId="0">
      <text>
        <t>raw warhead damages: 2000, 1, 2000, 1, 2000, 1000, 1, 2000, 1000, 1, 2000, 1, 2000, 1
import scales all proportionally</t>
      </text>
    </comment>
    <comment ref="AA75" authorId="0" shapeId="0">
      <text>
        <t>fires when: !japan_upgrade_advancedplasmaweapons</t>
      </text>
    </comment>
    <comment ref="K76" authorId="0" shapeId="0">
      <text>
        <t>raw warhead damages: 2000, 1000, 1, 2000, 1, 2000, 1, 2000, 1, 2000, 1, 2000, 1000, 1, 2000, 1000, 1, 2000, 1, 2000, 1
import scales all proportionally</t>
      </text>
    </comment>
    <comment ref="AA76" authorId="0" shapeId="0">
      <text>
        <t>fires when: japan_upgrade_advancedplasmaweapons</t>
      </text>
    </comment>
    <comment ref="K77" authorId="0" shapeId="0">
      <text>
        <t>raw warhead damages: 2000, 1, 2000, 1
import scales all proportionally</t>
      </text>
    </comment>
    <comment ref="AA77" authorId="0" shapeId="0">
      <text>
        <t>fires when: !japan_upgrade_waveforcebullets</t>
      </text>
    </comment>
    <comment ref="K78" authorId="0" shapeId="0">
      <text>
        <t>raw warhead damages: 2000, 1, 1000, 2000, 1, 2000, 1
import scales all proportionally</t>
      </text>
    </comment>
    <comment ref="AA78" authorId="0" shapeId="0">
      <text>
        <t>fires when: japan_upgrade_waveforcebullets</t>
      </text>
    </comment>
    <comment ref="K79" authorId="0" shapeId="0">
      <text>
        <t>raw warhead damages: 2000, 1, 2000, 1
import scales all proportionally</t>
      </text>
    </comment>
    <comment ref="AA79" authorId="0" shapeId="0">
      <text>
        <t>fires when: !japan_upgrade_waveforcebullets</t>
      </text>
    </comment>
    <comment ref="K80" authorId="0" shapeId="0">
      <text>
        <t>raw warhead damages: 2000, 1, 1000, 2000, 1, 2000, 1
import scales all proportionally</t>
      </text>
    </comment>
    <comment ref="AA80" authorId="0" shapeId="0">
      <text>
        <t>fires when: japan_upgrade_waveforcebullets</t>
      </text>
    </comment>
    <comment ref="K82" authorId="0" shapeId="0">
      <text>
        <t>raw warhead damages: 10000, 5
import scales all proportionally</t>
      </text>
    </comment>
    <comment ref="AA82" authorId="0" shapeId="0">
      <text>
        <t>fires when: !japan_upgrade_advancedplasmaweapons</t>
      </text>
    </comment>
    <comment ref="K83" authorId="0" shapeId="0">
      <text>
        <t>raw warhead damages: 4000, 2000, 2, 4000, 2, 1000, 1, 4000, 2
import scales all proportionally</t>
      </text>
    </comment>
    <comment ref="AA83" authorId="0" shapeId="0">
      <text>
        <t>fires when: japan_upgrade_advancedplasmaweapons</t>
      </text>
    </comment>
    <comment ref="K87" authorId="0" shapeId="0">
      <text>
        <t>raw warhead damages: 7777, 7, 7777, 7777, 7, 7777, 7777, 7
import scales all proportionally</t>
      </text>
    </comment>
    <comment ref="K89" authorId="0" shapeId="0">
      <text>
        <t>raw warhead damages: 24000, 12
import scales all proportionally</t>
      </text>
    </comment>
    <comment ref="AA89" authorId="0" shapeId="0">
      <text>
        <t>fires when: !japan_upgrade_advancedplasmaweapons</t>
      </text>
    </comment>
    <comment ref="K90" authorId="0" shapeId="0">
      <text>
        <t>raw warhead damages: 8000, 4000, 4, 8000, 4, 1000, 8000, 4
import scales all proportionally</t>
      </text>
    </comment>
    <comment ref="AA90" authorId="0" shapeId="0">
      <text>
        <t>fires when: japan_upgrade_advancedplasmaweapons</t>
      </text>
    </comment>
    <comment ref="K91" authorId="0" shapeId="0">
      <text>
        <t>raw warhead damages: 8000, 4
import scales all proportionally</t>
      </text>
    </comment>
    <comment ref="AA91" authorId="0" shapeId="0">
      <text>
        <t>fires when: !japan_upgrade_advancedplasmaweapons</t>
      </text>
    </comment>
    <comment ref="K92" authorId="0" shapeId="0">
      <text>
        <t>raw warhead damages: 8000, 4
import scales all proportionally</t>
      </text>
    </comment>
    <comment ref="AA92" authorId="0" shapeId="0">
      <text>
        <t>fires when: !japan_upgrade_advancedplasmaweapons</t>
      </text>
    </comment>
    <comment ref="K93" authorId="0" shapeId="0">
      <text>
        <t>raw warhead damages: 8000, 4
import scales all proportionally</t>
      </text>
    </comment>
    <comment ref="AA93" authorId="0" shapeId="0">
      <text>
        <t>fires when: !japan_upgrade_advancedplasmaweapons</t>
      </text>
    </comment>
    <comment ref="K94" authorId="0" shapeId="0">
      <text>
        <t>raw warhead damages: 2000, 1000, 1, 2000, 1000, 1, 2000, 1, 1000, 2000, 1
import scales all proportionally</t>
      </text>
    </comment>
    <comment ref="AA94" authorId="0" shapeId="0">
      <text>
        <t>fires when: japan_upgrade_advancedplasmaweapons</t>
      </text>
    </comment>
    <comment ref="K95" authorId="0" shapeId="0">
      <text>
        <t>raw warhead damages: 2000, 1000, 1, 2000, 1000, 1, 2000, 1, 1000, 2000, 1
import scales all proportionally</t>
      </text>
    </comment>
    <comment ref="AA95" authorId="0" shapeId="0">
      <text>
        <t>fires when: japan_upgrade_advancedplasmaweapons</t>
      </text>
    </comment>
    <comment ref="K96" authorId="0" shapeId="0">
      <text>
        <t>raw warhead damages: 2000, 1000, 1, 2000, 1000, 1, 2000, 1, 1000, 2000, 1
import scales all proportionally</t>
      </text>
    </comment>
    <comment ref="AA96" authorId="0" shapeId="0">
      <text>
        <t>fires when: japan_upgrade_advancedplasmaweapons</t>
      </text>
    </comment>
    <comment ref="K97" authorId="0" shapeId="0">
      <text>
        <t>raw warhead damages: 2000, 1000, 1
import scales all proportionally</t>
      </text>
    </comment>
    <comment ref="AA97" authorId="0" shapeId="0">
      <text>
        <t>fires when: !japan_upgrade_advancedplasmaweapons</t>
      </text>
    </comment>
    <comment ref="K98" authorId="0" shapeId="0">
      <text>
        <t>raw warhead damages: 2000, 1000, 1
import scales all proportionally</t>
      </text>
    </comment>
    <comment ref="AA98" authorId="0" shapeId="0">
      <text>
        <t>fires when: !japan_upgrade_advancedplasmaweapons</t>
      </text>
    </comment>
    <comment ref="K99" authorId="0" shapeId="0">
      <text>
        <t>raw warhead damages: 2000, 1000, 1, 2000, 1000, 1
import scales all proportionally</t>
      </text>
    </comment>
    <comment ref="AA99" authorId="0" shapeId="0">
      <text>
        <t>fires when: japan_upgrade_advancedplasmaweapons</t>
      </text>
    </comment>
    <comment ref="K100" authorId="0" shapeId="0">
      <text>
        <t>raw warhead damages: 2000, 1000, 1, 2000, 1000, 1
import scales all proportionally</t>
      </text>
    </comment>
    <comment ref="AA100" authorId="0" shapeId="0">
      <text>
        <t>fires when: japan_upgrade_advancedplasmaweapons</t>
      </text>
    </comment>
    <comment ref="K102" authorId="0" shapeId="0">
      <text>
        <t>raw warhead damages: 4000, 2
import scales all proportionally</t>
      </text>
    </comment>
    <comment ref="AA102" authorId="0" shapeId="0">
      <text>
        <t>fires when: !japan_upgrade_waveforcebullets</t>
      </text>
    </comment>
    <comment ref="K103" authorId="0" shapeId="0">
      <text>
        <t>raw warhead damages: 2000, 1, 1000, 2000, 1
import scales all proportionally</t>
      </text>
    </comment>
    <comment ref="AA103" authorId="0" shapeId="0">
      <text>
        <t>fires when: japan_upgrade_waveforcebullets</t>
      </text>
    </comment>
    <comment ref="K105" authorId="0" shapeId="0">
      <text>
        <t>raw warhead damages: 600000, 300000, 300
import scales all proportionally</t>
      </text>
    </comment>
    <comment ref="K107" authorId="0" shapeId="0">
      <text>
        <t>raw warhead damages: 4000, 2000, 2, 4000, 2, 1000, 4000, 2, 888, 4000, 2, 4000, 2000, 2, 4000, 2000, 2
import scales all proportionally</t>
      </text>
    </comment>
    <comment ref="K111" authorId="0" shapeId="0">
      <text>
        <t>raw warhead damages: 10000, 5, 10000, 5, 1000
import scales all proportionally</t>
      </text>
    </comment>
    <comment ref="AA111" authorId="0" shapeId="0">
      <text>
        <t>fires when: !japan_upgrade_advancedplasmaweapons</t>
      </text>
    </comment>
    <comment ref="K112" authorId="0" shapeId="0">
      <text>
        <t>raw warhead damages: 10000, 5, 10000, 5, 1000
import scales all proportionally</t>
      </text>
    </comment>
    <comment ref="AA112" authorId="0" shapeId="0">
      <text>
        <t>fires when: japan_upgrade_advancedplasmaweapons</t>
      </text>
    </comment>
    <comment ref="K113" authorId="0" shapeId="0">
      <text>
        <t>raw warhead damages: 10000, 5000, 5, 10000, 5
import scales all proportionally</t>
      </text>
    </comment>
    <comment ref="AA113" authorId="0" shapeId="0">
      <text>
        <t>fires when: japan_upgrade_advancedplasmaweapons</t>
      </text>
    </comment>
    <comment ref="K114" authorId="0" shapeId="0">
      <text>
        <t>raw warhead damages: 10000, 5000, 5, 10000, 5000, 5
import scales all proportionally</t>
      </text>
    </comment>
    <comment ref="AA114" authorId="0" shapeId="0">
      <text>
        <t>fires when: japan_upgrade_advancedplasmaweapons</t>
      </text>
    </comment>
    <comment ref="K117" authorId="0" shapeId="0">
      <text>
        <t>raw warhead damages: 6000, 3
import scales all proportionally</t>
      </text>
    </comment>
    <comment ref="AA117" authorId="0" shapeId="0">
      <text>
        <t>fires when: !japan_upgrade_waveforcebullets</t>
      </text>
    </comment>
    <comment ref="K118" authorId="0" shapeId="0">
      <text>
        <t>raw warhead damages: 4000, 2, 1000, 1000, 500, 2, 4000, 2
import scales all proportionally</t>
      </text>
    </comment>
    <comment ref="AA118" authorId="0" shapeId="0">
      <text>
        <t>fires when: japan_upgrade_waveforcebullets</t>
      </text>
    </comment>
    <comment ref="K119" authorId="0" shapeId="0">
      <text>
        <t>raw warhead damages: 20000, 10
import scales all proportionally</t>
      </text>
    </comment>
    <comment ref="AA119" authorId="0" shapeId="0">
      <text>
        <t>fires when: !japan_upgrade_advancedplasmaweapons</t>
      </text>
    </comment>
    <comment ref="K120" authorId="0" shapeId="0">
      <text>
        <t>raw warhead damages: 10000, 5000, 5, 10000, 5000, 5, 10000, 5
import scales all proportionally</t>
      </text>
    </comment>
    <comment ref="AA120" authorId="0" shapeId="0">
      <text>
        <t>fires when: japan_upgrade_advancedplasmaweapons</t>
      </text>
    </comment>
    <comment ref="K122" authorId="0" shapeId="0">
      <text>
        <t>raw warhead damages: 32000, 16, 32000, 16
import scales all proportionally</t>
      </text>
    </comment>
    <comment ref="AA122" authorId="0" shapeId="0">
      <text>
        <t>fires when: !japan_upgrade_energizedarrows</t>
      </text>
    </comment>
    <comment ref="K123" authorId="0" shapeId="0">
      <text>
        <t>raw warhead damages: 16000, 8000, 8, 16000, 8000, 8, 16000, 8, 16000, 8
import scales all proportionally</t>
      </text>
    </comment>
    <comment ref="AA123" authorId="0" shapeId="0">
      <text>
        <t>fires when: japan_upgrade_energizedarrows</t>
      </text>
    </comment>
    <comment ref="K124" authorId="0" shapeId="0">
      <text>
        <t>raw warhead damages: 8000, 4000, 4, 8000, 4
import scales all proportionally</t>
      </text>
    </comment>
    <comment ref="AA124" authorId="0" shapeId="0">
      <text>
        <t>fires when: !japan_upgrade_advancedplasmaweapons</t>
      </text>
    </comment>
    <comment ref="K125" authorId="0" shapeId="0">
      <text>
        <t>raw warhead damages: 4000, 2000, 2, 4000, 2, 4000, 2000, 2, 4000, 2
import scales all proportionally</t>
      </text>
    </comment>
    <comment ref="AA125" authorId="0" shapeId="0">
      <text>
        <t>fires when: japan_upgrade_advancedplasmaweapons</t>
      </text>
    </comment>
    <comment ref="K126" authorId="0" shapeId="0">
      <text>
        <t>raw warhead damages: 1000, 500, 1, 2000, 1
import scales all proportionally</t>
      </text>
    </comment>
    <comment ref="AA126" authorId="0" shapeId="0">
      <text>
        <t>fires when: !japan_upgrade_waveforcebullets</t>
      </text>
    </comment>
    <comment ref="K127" authorId="0" shapeId="0">
      <text>
        <t>raw warhead damages: 2000, 1, 1000, 1000, 500, 1, 2000, 1
import scales all proportionally</t>
      </text>
    </comment>
    <comment ref="AA127" authorId="0" shapeId="0">
      <text>
        <t>fires when: japan_upgrade_waveforcebullets</t>
      </text>
    </comment>
    <comment ref="K129" authorId="0" shapeId="0">
      <text>
        <t>raw warhead damages: 18000, 9, 18000, 9
import scales all proportionally</t>
      </text>
    </comment>
    <comment ref="AA129" authorId="0" shapeId="0">
      <text>
        <t>fires when: !japan_upgrade_energizedarrows</t>
      </text>
    </comment>
    <comment ref="K130" authorId="0" shapeId="0">
      <text>
        <t>raw warhead damages: 8000, 4000, 4, 8000, 4000, 4, 8000, 4, 8000, 4
import scales all proportionally</t>
      </text>
    </comment>
    <comment ref="AA130" authorId="0" shapeId="0">
      <text>
        <t>fires when: japan_upgrade_energizedarrows</t>
      </text>
    </comment>
    <comment ref="K131" authorId="0" shapeId="0">
      <text>
        <t>raw warhead damages: 6000, 3
import scales all proportionally</t>
      </text>
    </comment>
    <comment ref="AA131" authorId="0" shapeId="0">
      <text>
        <t>fires when: !japan_upgrade_waveforcebullets</t>
      </text>
    </comment>
    <comment ref="K132" authorId="0" shapeId="0">
      <text>
        <t>raw warhead damages: 4000, 2, 1000, 1000, 500, 2, 4000, 2
import scales all proportionally</t>
      </text>
    </comment>
    <comment ref="AA132" authorId="0" shapeId="0">
      <text>
        <t>fires when: japan_upgrade_waveforcebullets</t>
      </text>
    </comment>
    <comment ref="K135" authorId="0" shapeId="0">
      <text>
        <t>raw warhead damages: 10000, 5000, 5, 10000, 5000, 5, 10000, 5000, 5, 10000, 5
import scales all proportionally</t>
      </text>
    </comment>
    <comment ref="K136" authorId="0" shapeId="0">
      <text>
        <t>raw warhead damages: 160000, 80
import scales all proportionally</t>
      </text>
    </comment>
    <comment ref="K137" authorId="0" shapeId="0">
      <text>
        <t>raw warhead damages: 10000, 5000, 5, 10000, 5000, 5, 10000, 5000, 5, 10000, 5
import scales all proportionally</t>
      </text>
    </comment>
    <comment ref="AA137" authorId="0" shapeId="0">
      <text>
        <t>fires when: japan_upgrade_energizedarrows</t>
      </text>
    </comment>
    <comment ref="K138" authorId="0" shapeId="0">
      <text>
        <t>raw warhead damages: 20000, 10, 20000, 10000, 10, 20000, 10000, 10, 20000, 10000, 10, 20000, 10, 20000, 10000, 10, 20000, 10, 20000, 10
import scales all proportionally</t>
      </text>
    </comment>
    <comment ref="AA138" authorId="0" shapeId="0">
      <text>
        <t>fires when: japan_upgrade_energizedarrows</t>
      </text>
    </comment>
    <comment ref="K140" authorId="0" shapeId="0">
      <text>
        <t>raw warhead damages: 4000, 1, 4000, 2
import scales all proportionally</t>
      </text>
    </comment>
    <comment ref="AA140" authorId="0" shapeId="0">
      <text>
        <t>fires when: !japan_upgrade_waveforcebullets</t>
      </text>
    </comment>
    <comment ref="K141" authorId="0" shapeId="0">
      <text>
        <t>raw warhead damages: 4000, 2, 1000, 4000, 1, 4000, 2
import scales all proportionally</t>
      </text>
    </comment>
    <comment ref="AA141" authorId="0" shapeId="0">
      <text>
        <t>fires when: japan_upgrade_waveforcebullets</t>
      </text>
    </comment>
  </commentList>
</comments>
</file>

<file path=xl/comments/comment17.xml><?xml version="1.0" encoding="utf-8"?>
<comments xmlns="http://schemas.openxmlformats.org/spreadsheetml/2006/main">
  <authors>
    <author>balance-pipeline</author>
  </authors>
  <commentList>
    <comment ref="K4" authorId="0" shapeId="0">
      <text>
        <t>raw warhead damages: 2000, 1, 2000, 1
import scales all proportionally</t>
      </text>
    </comment>
    <comment ref="K5" authorId="0" shapeId="0">
      <text>
        <t>raw warhead damages: 2000, 1, 2000, 1
import scales all proportionally</t>
      </text>
    </comment>
    <comment ref="K9" authorId="0" shapeId="0">
      <text>
        <t>raw warhead damages: 10000, 5
import scales all proportionally</t>
      </text>
    </comment>
    <comment ref="K10" authorId="0" shapeId="0">
      <text>
        <t>raw warhead damages: 10000, 5
import scales all proportionally</t>
      </text>
    </comment>
    <comment ref="K14" authorId="0" shapeId="0">
      <text>
        <t>raw warhead damages: 8000, 4, 8000, 4, 1000, 8000, 4, 8000, 4, 8000, 4
import scales all proportionally</t>
      </text>
    </comment>
    <comment ref="K15" authorId="0" shapeId="0">
      <text>
        <t>raw warhead damages: 8000, 4, 8000, 4, 1000, 8000, 4, 8000, 4, 8000, 4
import scales all proportionally</t>
      </text>
    </comment>
    <comment ref="K17" authorId="0" shapeId="0">
      <text>
        <t>raw warhead damages: 8000, 4, 8000, 4, 8000, 4000, 4, 8000, 4
import scales all proportionally</t>
      </text>
    </comment>
    <comment ref="AA17" authorId="0" shapeId="0">
      <text>
        <t>fires when: !ra1_soviets_upgrade_scorchedearth</t>
      </text>
    </comment>
    <comment ref="K18" authorId="0" shapeId="0">
      <text>
        <t>raw warhead damages: 8000, 4, 8000, 4, 8000, 4000, 4, 8000, 4
import scales all proportionally</t>
      </text>
    </comment>
    <comment ref="AA18" authorId="0" shapeId="0">
      <text>
        <t>fires when: !ra1_soviets_upgrade_scorchedearth</t>
      </text>
    </comment>
    <comment ref="K19" authorId="0" shapeId="0">
      <text>
        <t>raw warhead damages: 4000, 2000, 2, 4000, 2, 4000, 2000, 2, 4000, 2000, 2, 4000, 2, 4000, 2, 4000, 2000, 2, 4000, 2
import scales all proportionally</t>
      </text>
    </comment>
    <comment ref="AA19" authorId="0" shapeId="0">
      <text>
        <t>fires when: ra1_soviets_upgrade_scorchedearth</t>
      </text>
    </comment>
    <comment ref="K20" authorId="0" shapeId="0">
      <text>
        <t>raw warhead damages: 4000, 2000, 2, 4000, 2, 4000, 2000, 2, 4000, 2000, 2, 4000, 2, 4000, 2, 4000, 2000, 2, 4000, 2
import scales all proportionally</t>
      </text>
    </comment>
    <comment ref="AA20" authorId="0" shapeId="0">
      <text>
        <t>fires when: ra1_soviets_upgrade_scorchedearth</t>
      </text>
    </comment>
    <comment ref="K22" authorId="0" shapeId="0">
      <text>
        <t>raw warhead damages: 8000, 4000, 4
import scales all proportionally</t>
      </text>
    </comment>
    <comment ref="AA22" authorId="0" shapeId="0">
      <text>
        <t>fires when: !ra1_soviets_upgrade_scorchedearth</t>
      </text>
    </comment>
    <comment ref="K23" authorId="0" shapeId="0">
      <text>
        <t>raw warhead damages: 8000, 4000, 4
import scales all proportionally</t>
      </text>
    </comment>
    <comment ref="AA23" authorId="0" shapeId="0">
      <text>
        <t>fires when: !ra1_soviets_upgrade_scorchedearth</t>
      </text>
    </comment>
    <comment ref="K24" authorId="0" shapeId="0">
      <text>
        <t>raw warhead damages: 4000, 2000, 2, 4000, 2000, 2
import scales all proportionally</t>
      </text>
    </comment>
    <comment ref="AA24" authorId="0" shapeId="0">
      <text>
        <t>fires when: ra1_soviets_upgrade_scorchedearth</t>
      </text>
    </comment>
    <comment ref="K25" authorId="0" shapeId="0">
      <text>
        <t>raw warhead damages: 4000, 2000, 2, 4000, 2000, 2
import scales all proportionally</t>
      </text>
    </comment>
    <comment ref="AA25" authorId="0" shapeId="0">
      <text>
        <t>fires when: ra1_soviets_upgrade_scorchedearth</t>
      </text>
    </comment>
    <comment ref="K27" authorId="0" shapeId="0">
      <text>
        <t>raw warhead damages: 8000, 4000, 4, 8000, 4000, 4
import scales all proportionally</t>
      </text>
    </comment>
    <comment ref="AA27" authorId="0" shapeId="0">
      <text>
        <t>fires when: !ra1_soviets_upgrade_scorchedearth</t>
      </text>
    </comment>
    <comment ref="K28" authorId="0" shapeId="0">
      <text>
        <t>raw warhead damages: 8000, 4000, 4, 8000, 4000, 4
import scales all proportionally</t>
      </text>
    </comment>
    <comment ref="AA28" authorId="0" shapeId="0">
      <text>
        <t>fires when: !ra1_soviets_upgrade_scorchedearth</t>
      </text>
    </comment>
    <comment ref="K29" authorId="0" shapeId="0">
      <text>
        <t>raw warhead damages: 4000, 2000, 2, 4000, 2000, 2, 4000, 2000, 2, 4000, 2000, 2
import scales all proportionally</t>
      </text>
    </comment>
    <comment ref="AA29" authorId="0" shapeId="0">
      <text>
        <t>fires when: ra1_soviets_upgrade_scorchedearth</t>
      </text>
    </comment>
    <comment ref="K30" authorId="0" shapeId="0">
      <text>
        <t>raw warhead damages: 4000, 2000, 2, 4000, 2000, 2, 4000, 2000, 2, 4000, 2000, 2
import scales all proportionally</t>
      </text>
    </comment>
    <comment ref="AA30" authorId="0" shapeId="0">
      <text>
        <t>fires when: ra1_soviets_upgrade_scorchedearth</t>
      </text>
    </comment>
    <comment ref="K32" authorId="0" shapeId="0">
      <text>
        <t>raw warhead damages: 8000, 4000, 4, 8000, 4000, 4, 8000, 4000, 4, 8000, 4000, 4
import scales all proportionally</t>
      </text>
    </comment>
    <comment ref="AA32" authorId="0" shapeId="0">
      <text>
        <t>fires when: !ra1_soviets_upgrade_scorchedearth</t>
      </text>
    </comment>
    <comment ref="K33" authorId="0" shapeId="0">
      <text>
        <t>raw warhead damages: 8000, 4000, 4, 8000, 4000, 4, 8000, 4000, 4, 8000, 4000, 4
import scales all proportionally</t>
      </text>
    </comment>
    <comment ref="AA33" authorId="0" shapeId="0">
      <text>
        <t>fires when: !ra1_soviets_upgrade_scorchedearth</t>
      </text>
    </comment>
    <comment ref="K34" authorId="0" shapeId="0">
      <text>
        <t>raw warhead damages: 4000, 2, 4000, 2000, 2, 4000, 2000, 2, 4000, 2000, 2, 4000, 2000, 2, 4000, 2000, 2
import scales all proportionally</t>
      </text>
    </comment>
    <comment ref="AA34" authorId="0" shapeId="0">
      <text>
        <t>fires when: ra1_soviets_upgrade_scorchedearth</t>
      </text>
    </comment>
    <comment ref="K35" authorId="0" shapeId="0">
      <text>
        <t>raw warhead damages: 4000, 2, 4000, 2000, 2, 4000, 2000, 2, 4000, 2000, 2, 4000, 2000, 2, 4000, 2000, 2
import scales all proportionally</t>
      </text>
    </comment>
    <comment ref="AA35" authorId="0" shapeId="0">
      <text>
        <t>fires when: ra1_soviets_upgrade_scorchedearth</t>
      </text>
    </comment>
    <comment ref="K37" authorId="0" shapeId="0">
      <text>
        <t>raw warhead damages: 2000, 1
import scales all proportionally</t>
      </text>
    </comment>
    <comment ref="AA37" authorId="0" shapeId="0">
      <text>
        <t>fires when: !ra1_soviets_upgrade_incendiarybullets</t>
      </text>
    </comment>
    <comment ref="K38" authorId="0" shapeId="0">
      <text>
        <t>raw warhead damages: 2000, 1
import scales all proportionally</t>
      </text>
    </comment>
    <comment ref="AA38" authorId="0" shapeId="0">
      <text>
        <t>fires when: !ra1_soviets_upgrade_incendiarybullets</t>
      </text>
    </comment>
    <comment ref="K39" authorId="0" shapeId="0">
      <text>
        <t>raw warhead damages: 2000, 1000, 1, 2000, 1
import scales all proportionally</t>
      </text>
    </comment>
    <comment ref="AA39" authorId="0" shapeId="0">
      <text>
        <t>fires when: ra1_soviets_upgrade_incendiarybullets</t>
      </text>
    </comment>
    <comment ref="K40" authorId="0" shapeId="0">
      <text>
        <t>raw warhead damages: 2000, 1000, 1, 2000, 1
import scales all proportionally</t>
      </text>
    </comment>
    <comment ref="AA40" authorId="0" shapeId="0">
      <text>
        <t>fires when: ra1_soviets_upgrade_incendiarybullets</t>
      </text>
    </comment>
    <comment ref="K42" authorId="0" shapeId="0">
      <text>
        <t>raw warhead damages: 10000, 5, 10000, 5
import scales all proportionally</t>
      </text>
    </comment>
    <comment ref="K43" authorId="0" shapeId="0">
      <text>
        <t>raw warhead damages: 10000, 5, 10000, 5
import scales all proportionally</t>
      </text>
    </comment>
    <comment ref="K45" authorId="0" shapeId="0">
      <text>
        <t>raw warhead damages: 20000, 10000, 10
import scales all proportionally</t>
      </text>
    </comment>
    <comment ref="AA45" authorId="0" shapeId="0">
      <text>
        <t>fires when: !ra1_soviets_doctrine_teslaandexperimentaltech &amp;&amp; !ra1_soviets_upgrade_teslaarcing</t>
      </text>
    </comment>
    <comment ref="K46" authorId="0" shapeId="0">
      <text>
        <t>raw warhead damages: 20000, 10000, 10
import scales all proportionally</t>
      </text>
    </comment>
    <comment ref="AA46" authorId="0" shapeId="0">
      <text>
        <t>fires when: ra1_soviets_doctrine_teslaandexperimentaltech &amp;&amp; !ra1_soviets_upgrade_teslaarcing</t>
      </text>
    </comment>
    <comment ref="K47" authorId="0" shapeId="0">
      <text>
        <t>raw warhead damages: 20000, 10000, 10
import scales all proportionally</t>
      </text>
    </comment>
    <comment ref="AA47" authorId="0" shapeId="0">
      <text>
        <t>fires when: ra1_soviets_upgrade_teslaarcing</t>
      </text>
    </comment>
    <comment ref="K48" authorId="0" shapeId="0">
      <text>
        <t>raw warhead damages: 20000, 10000, 10
import scales all proportionally</t>
      </text>
    </comment>
    <comment ref="AA48" authorId="0" shapeId="0">
      <text>
        <t>fires when: !ra1_soviets_doctrine_teslaandexperimentaltech &amp;&amp; !ra1_soviets_upgrade_teslaarcing</t>
      </text>
    </comment>
    <comment ref="K49" authorId="0" shapeId="0">
      <text>
        <t>raw warhead damages: 20000, 10000, 10
import scales all proportionally</t>
      </text>
    </comment>
    <comment ref="AA49" authorId="0" shapeId="0">
      <text>
        <t>fires when: ra1_soviets_doctrine_teslaandexperimentaltech &amp;&amp; !ra1_soviets_upgrade_teslaarcing</t>
      </text>
    </comment>
    <comment ref="K50" authorId="0" shapeId="0">
      <text>
        <t>raw warhead damages: 20000, 10000, 10
import scales all proportionally</t>
      </text>
    </comment>
    <comment ref="AA50" authorId="0" shapeId="0">
      <text>
        <t>fires when: ra1_soviets_upgrade_teslaarcing</t>
      </text>
    </comment>
    <comment ref="K52" authorId="0" shapeId="0">
      <text>
        <t>raw warhead damages: 10000, 5, 10000, 5000, 5, 10000, 5000, 5
import scales all proportionally</t>
      </text>
    </comment>
    <comment ref="AA52" authorId="0" shapeId="0">
      <text>
        <t>fires when: !ra1_soviets_upgrade_incendiarybullets &amp;&amp; !ra1_soviets_upgrade_teslaarcing &amp;&amp; !ra1_soviets_upgrade_nucleartankshells</t>
      </text>
    </comment>
    <comment ref="K53" authorId="0" shapeId="0">
      <text>
        <t>raw warhead damages: 8000, 4, 8000, 4000, 4, 8000, 4000, 4, 8000, 4000, 4
import scales all proportionally</t>
      </text>
    </comment>
    <comment ref="AA53" authorId="0" shapeId="0">
      <text>
        <t>fires when: !ra1_soviets_upgrade_incendiarybullets &amp;&amp; ra1_soviets_upgrade_teslaarcing</t>
      </text>
    </comment>
    <comment ref="K54" authorId="0" shapeId="0">
      <text>
        <t>raw warhead damages: 40000, 20, 40000, 20, 40000, 20000, 20, 40000, 20000, 20
import scales all proportionally</t>
      </text>
    </comment>
    <comment ref="AA54" authorId="0" shapeId="0">
      <text>
        <t>fires when: !ra1_soviets_upgrade_incendiarybullets &amp;&amp; ra1_soviets_upgrade_nucleartankshells</t>
      </text>
    </comment>
    <comment ref="K55" authorId="0" shapeId="0">
      <text>
        <t>raw warhead damages: 10000, 5000, 5, 10000, 5, 10000, 5000, 5, 10000, 5000, 5
import scales all proportionally</t>
      </text>
    </comment>
    <comment ref="AA55" authorId="0" shapeId="0">
      <text>
        <t>fires when: ra1_soviets_upgrade_incendiarybullets &amp;&amp; !ra1_soviets_upgrade_teslaarcing &amp;&amp; !ra1_soviets_upgrade_nucleartankshells</t>
      </text>
    </comment>
    <comment ref="K56" authorId="0" shapeId="0">
      <text>
        <t>raw warhead damages: 8000, 4, 8000, 4000, 4, 8000, 4000, 4, 8000, 4000, 4, 8000, 4000, 4
import scales all proportionally</t>
      </text>
    </comment>
    <comment ref="AA56" authorId="0" shapeId="0">
      <text>
        <t>fires when: ra1_soviets_upgrade_incendiarybullets &amp;&amp; ra1_soviets_upgrade_teslaarcing</t>
      </text>
    </comment>
    <comment ref="K57" authorId="0" shapeId="0">
      <text>
        <t>raw warhead damages: 40000, 20000, 20, 40000, 20, 40000, 20, 40000, 20000, 20, 40000, 20000, 20
import scales all proportionally</t>
      </text>
    </comment>
    <comment ref="AA57" authorId="0" shapeId="0">
      <text>
        <t>fires when: ra1_soviets_upgrade_incendiarybullets &amp;&amp; ra1_soviets_upgrade_nucleartankshells</t>
      </text>
    </comment>
    <comment ref="K58" authorId="0" shapeId="0">
      <text>
        <t>raw warhead damages: 10000, 5, 10000, 5000, 5, 10000, 5000, 5
import scales all proportionally</t>
      </text>
    </comment>
    <comment ref="AA58" authorId="0" shapeId="0">
      <text>
        <t>fires when: !ra1_soviets_upgrade_incendiarybullets &amp;&amp; !ra1_soviets_upgrade_teslaarcing &amp;&amp; !ra1_soviets_upgrade_nucleartankshells</t>
      </text>
    </comment>
    <comment ref="K59" authorId="0" shapeId="0">
      <text>
        <t>raw warhead damages: 8000, 4, 8000, 4000, 4, 8000, 4000, 4, 8000, 4000, 4
import scales all proportionally</t>
      </text>
    </comment>
    <comment ref="AA59" authorId="0" shapeId="0">
      <text>
        <t>fires when: !ra1_soviets_upgrade_incendiarybullets &amp;&amp; ra1_soviets_upgrade_teslaarcing</t>
      </text>
    </comment>
    <comment ref="K60" authorId="0" shapeId="0">
      <text>
        <t>raw warhead damages: 40000, 20, 40000, 20, 40000, 20000, 20, 40000, 20000, 20
import scales all proportionally</t>
      </text>
    </comment>
    <comment ref="AA60" authorId="0" shapeId="0">
      <text>
        <t>fires when: !ra1_soviets_upgrade_incendiarybullets &amp;&amp; ra1_soviets_upgrade_nucleartankshells</t>
      </text>
    </comment>
    <comment ref="K61" authorId="0" shapeId="0">
      <text>
        <t>raw warhead damages: 10000, 5000, 5, 10000, 5, 10000, 5000, 5, 10000, 5000, 5
import scales all proportionally</t>
      </text>
    </comment>
    <comment ref="AA61" authorId="0" shapeId="0">
      <text>
        <t>fires when: ra1_soviets_upgrade_incendiarybullets &amp;&amp; !ra1_soviets_upgrade_teslaarcing &amp;&amp; !ra1_soviets_upgrade_nucleartankshells</t>
      </text>
    </comment>
    <comment ref="K62" authorId="0" shapeId="0">
      <text>
        <t>raw warhead damages: 8000, 4, 8000, 4000, 4, 8000, 4000, 4, 8000, 4000, 4, 8000, 4000, 4
import scales all proportionally</t>
      </text>
    </comment>
    <comment ref="AA62" authorId="0" shapeId="0">
      <text>
        <t>fires when: ra1_soviets_upgrade_incendiarybullets &amp;&amp; ra1_soviets_upgrade_teslaarcing</t>
      </text>
    </comment>
    <comment ref="K63" authorId="0" shapeId="0">
      <text>
        <t>raw warhead damages: 40000, 20000, 20, 40000, 20, 40000, 20, 40000, 20000, 20, 40000, 20000, 20
import scales all proportionally</t>
      </text>
    </comment>
    <comment ref="AA63" authorId="0" shapeId="0">
      <text>
        <t>fires when: ra1_soviets_upgrade_incendiarybullets &amp;&amp; ra1_soviets_upgrade_nucleartankshells</t>
      </text>
    </comment>
    <comment ref="K65" authorId="0" shapeId="0">
      <text>
        <t>raw warhead damages: 32000, 16000, 16
import scales all proportionally</t>
      </text>
    </comment>
    <comment ref="AA65" authorId="0" shapeId="0">
      <text>
        <t>fires when: !ra1_soviets_upgrade_teslaarcing</t>
      </text>
    </comment>
    <comment ref="K66" authorId="0" shapeId="0">
      <text>
        <t>raw warhead damages: 32000, 16000, 16
import scales all proportionally</t>
      </text>
    </comment>
    <comment ref="AA66" authorId="0" shapeId="0">
      <text>
        <t>fires when: ra1_soviets_upgrade_teslaarcing</t>
      </text>
    </comment>
    <comment ref="K67" authorId="0" shapeId="0">
      <text>
        <t>raw warhead damages: 32000, 16000, 16
import scales all proportionally</t>
      </text>
    </comment>
    <comment ref="AA67" authorId="0" shapeId="0">
      <text>
        <t>fires when: !ra1_soviets_upgrade_teslaarcing</t>
      </text>
    </comment>
    <comment ref="K68" authorId="0" shapeId="0">
      <text>
        <t>raw warhead damages: 32000, 16000, 16
import scales all proportionally</t>
      </text>
    </comment>
    <comment ref="AA68" authorId="0" shapeId="0">
      <text>
        <t>fires when: ra1_soviets_upgrade_teslaarcing</t>
      </text>
    </comment>
    <comment ref="K71" authorId="0" shapeId="0">
      <text>
        <t>raw warhead damages: 2000, 1, 2000, 1
import scales all proportionally</t>
      </text>
    </comment>
    <comment ref="K72" authorId="0" shapeId="0">
      <text>
        <t>raw warhead damages: 2000, 1, 2000, 1
import scales all proportionally</t>
      </text>
    </comment>
    <comment ref="K73" authorId="0" shapeId="0">
      <text>
        <t>raw warhead damages: 2000, 1, 2000, 1000, 1
import scales all proportionally</t>
      </text>
    </comment>
    <comment ref="AA73" authorId="0" shapeId="0">
      <text>
        <t>fires when: ra1_soviets_doctrine_teslaandexperimentaltech &amp;&amp; !ra1_soviets_upgrade_teslaarcing</t>
      </text>
    </comment>
    <comment ref="K74" authorId="0" shapeId="0">
      <text>
        <t>raw warhead damages: 2000, 1, 2000, 1000, 1
import scales all proportionally</t>
      </text>
    </comment>
    <comment ref="AA74" authorId="0" shapeId="0">
      <text>
        <t>fires when: ra1_soviets_upgrade_teslaarcing</t>
      </text>
    </comment>
    <comment ref="K75" authorId="0" shapeId="0">
      <text>
        <t>raw warhead damages: 2000, 1, 2000, 1000, 1
import scales all proportionally</t>
      </text>
    </comment>
    <comment ref="AA75" authorId="0" shapeId="0">
      <text>
        <t>fires when: ra1_soviets_doctrine_teslaandexperimentaltech &amp;&amp; !ra1_soviets_upgrade_teslaarcing</t>
      </text>
    </comment>
    <comment ref="K76" authorId="0" shapeId="0">
      <text>
        <t>raw warhead damages: 2000, 1, 2000, 1000, 1
import scales all proportionally</t>
      </text>
    </comment>
    <comment ref="AA76" authorId="0" shapeId="0">
      <text>
        <t>fires when: ra1_soviets_upgrade_teslaarcing</t>
      </text>
    </comment>
    <comment ref="K78" authorId="0" shapeId="0">
      <text>
        <t>raw warhead damages: 2000, 1, 2000, 1
import scales all proportionally</t>
      </text>
    </comment>
    <comment ref="K79" authorId="0" shapeId="0">
      <text>
        <t>raw warhead damages: 2000, 1, 2000, 1
import scales all proportionally</t>
      </text>
    </comment>
    <comment ref="K81" authorId="0" shapeId="0">
      <text>
        <t>raw warhead damages: 2000, 1
import scales all proportionally</t>
      </text>
    </comment>
    <comment ref="AA81" authorId="0" shapeId="0">
      <text>
        <t>fires when: !ra1_soviets_upgrade_incendiarybullets</t>
      </text>
    </comment>
    <comment ref="K82" authorId="0" shapeId="0">
      <text>
        <t>raw warhead damages: 2000, 1
import scales all proportionally</t>
      </text>
    </comment>
    <comment ref="AA82" authorId="0" shapeId="0">
      <text>
        <t>fires when: !ra1_soviets_upgrade_incendiarybullets</t>
      </text>
    </comment>
    <comment ref="K83" authorId="0" shapeId="0">
      <text>
        <t>raw warhead damages: 2000, 1, 2000, 1000, 1
import scales all proportionally</t>
      </text>
    </comment>
    <comment ref="AA83" authorId="0" shapeId="0">
      <text>
        <t>fires when: ra1_soviets_upgrade_incendiarybullets</t>
      </text>
    </comment>
    <comment ref="K84" authorId="0" shapeId="0">
      <text>
        <t>raw warhead damages: 2000, 1, 2000, 1000, 1
import scales all proportionally</t>
      </text>
    </comment>
    <comment ref="AA84" authorId="0" shapeId="0">
      <text>
        <t>fires when: ra1_soviets_upgrade_incendiarybullets</t>
      </text>
    </comment>
    <comment ref="K85" authorId="0" shapeId="0">
      <text>
        <t>raw warhead damages: 2000, 1000, 1
import scales all proportionally</t>
      </text>
    </comment>
    <comment ref="AA85" authorId="0" shapeId="0">
      <text>
        <t>fires when: ra1_soviets_doctrine_teslaandexperimentaltech &amp;&amp; !ra1_soviets_upgrade_teslaarcing</t>
      </text>
    </comment>
    <comment ref="K86" authorId="0" shapeId="0">
      <text>
        <t>raw warhead damages: 2000, 1000, 1
import scales all proportionally</t>
      </text>
    </comment>
    <comment ref="AA86" authorId="0" shapeId="0">
      <text>
        <t>fires when: ra1_soviets_upgrade_teslaarcing</t>
      </text>
    </comment>
    <comment ref="K87" authorId="0" shapeId="0">
      <text>
        <t>raw warhead damages: 2000, 1000, 1
import scales all proportionally</t>
      </text>
    </comment>
    <comment ref="AA87" authorId="0" shapeId="0">
      <text>
        <t>fires when: ra1_soviets_doctrine_teslaandexperimentaltech &amp;&amp; !ra1_soviets_upgrade_teslaarcing</t>
      </text>
    </comment>
    <comment ref="K88" authorId="0" shapeId="0">
      <text>
        <t>raw warhead damages: 2000, 1000, 1
import scales all proportionally</t>
      </text>
    </comment>
    <comment ref="AA88" authorId="0" shapeId="0">
      <text>
        <t>fires when: ra1_soviets_upgrade_teslaarcing</t>
      </text>
    </comment>
    <comment ref="K90" authorId="0" shapeId="0">
      <text>
        <t>raw warhead damages: 14000, 7000, 7
import scales all proportionally</t>
      </text>
    </comment>
    <comment ref="K92" authorId="0" shapeId="0">
      <text>
        <t>raw warhead damages: 8000, 4, 8000, 4000, 4
import scales all proportionally</t>
      </text>
    </comment>
    <comment ref="AA92" authorId="0" shapeId="0">
      <text>
        <t>fires when: !(ra1_soviets_upgrade_highexplosiverockets || ra1_soviets_upgrade_scorchedearth)</t>
      </text>
    </comment>
    <comment ref="K93" authorId="0" shapeId="0">
      <text>
        <t>raw warhead damages: 4000, 2000, 2, 4000, 2, 4000, 2, 4000, 2000, 2
import scales all proportionally</t>
      </text>
    </comment>
    <comment ref="AA93" authorId="0" shapeId="0">
      <text>
        <t>fires when: ra1_soviets_upgrade_highexplosiverockets || ra1_soviets_upgrade_scorchedearth</t>
      </text>
    </comment>
    <comment ref="K95" authorId="0" shapeId="0">
      <text>
        <t>raw warhead damages: 6000, 3, 6000, 3
import scales all proportionally</t>
      </text>
    </comment>
    <comment ref="AA95" authorId="0" shapeId="0">
      <text>
        <t>fires when: !ra1_soviets_upgrade_nucleartankshells</t>
      </text>
    </comment>
    <comment ref="K96" authorId="0" shapeId="0">
      <text>
        <t>raw warhead damages: 4000, 2, 4000, 2000, 2, 4000, 2, 4000, 2
import scales all proportionally</t>
      </text>
    </comment>
    <comment ref="AA96" authorId="0" shapeId="0">
      <text>
        <t>fires when: ra1_soviets_upgrade_nucleartankshells</t>
      </text>
    </comment>
    <comment ref="K97" authorId="0" shapeId="0">
      <text>
        <t>raw warhead damages: 2000, 1000, 1, 1000, 1, 2000, 1, 600, 2000, 1000, 1
import scales all proportionally</t>
      </text>
    </comment>
    <comment ref="AA97" authorId="0" shapeId="0">
      <text>
        <t>fires when: ra1_soviets_upgrade_shtoradefensesystem</t>
      </text>
    </comment>
    <comment ref="K99" authorId="0" shapeId="0">
      <text>
        <t>raw warhead damages: 2000, 1, 600, 2000, 1000, 1, 2000, 1000, 1
import scales all proportionally</t>
      </text>
    </comment>
    <comment ref="K100" authorId="0" shapeId="0">
      <text>
        <t>raw warhead damages: 2000, 1, 600, 2000, 1000, 1, 2000, 1000, 1
import scales all proportionally</t>
      </text>
    </comment>
    <comment ref="K101" authorId="0" shapeId="0">
      <text>
        <t>raw warhead damages: 2000, 1, 600, 2000, 1000, 1, 2000, 1000, 1
import scales all proportionally</t>
      </text>
    </comment>
    <comment ref="K102" authorId="0" shapeId="0">
      <text>
        <t>raw warhead damages: 2000, 1, 600, 2000, 1000, 1, 2000, 1000, 1
import scales all proportionally</t>
      </text>
    </comment>
    <comment ref="K105" authorId="0" shapeId="0">
      <text>
        <t>raw warhead damages: 10000, 5
import scales all proportionally</t>
      </text>
    </comment>
    <comment ref="AA105" authorId="0" shapeId="0">
      <text>
        <t>fires when: !ra1_soviets_upgrade_nucleartankshells</t>
      </text>
    </comment>
    <comment ref="K106" authorId="0" shapeId="0">
      <text>
        <t>raw warhead damages: 6000, 3000, 3, 6000, 3
import scales all proportionally</t>
      </text>
    </comment>
    <comment ref="AA106" authorId="0" shapeId="0">
      <text>
        <t>fires when: ra1_soviets_upgrade_nucleartankshells</t>
      </text>
    </comment>
    <comment ref="K108" authorId="0" shapeId="0">
      <text>
        <t>raw warhead damages: 10000, 5000, 5
import scales all proportionally</t>
      </text>
    </comment>
    <comment ref="K109" authorId="0" shapeId="0">
      <text>
        <t>raw warhead damages: 40000, 20000, 20
import scales all proportionally</t>
      </text>
    </comment>
    <comment ref="AA109" authorId="0" shapeId="0">
      <text>
        <t>fires when: !ra1_soviets_upgrade_teslaarcing</t>
      </text>
    </comment>
    <comment ref="K110" authorId="0" shapeId="0">
      <text>
        <t>raw warhead damages: 40000, 20000, 20
import scales all proportionally</t>
      </text>
    </comment>
    <comment ref="AA110" authorId="0" shapeId="0">
      <text>
        <t>fires when: ra1_soviets_upgrade_teslaarcing</t>
      </text>
    </comment>
    <comment ref="K112" authorId="0" shapeId="0">
      <text>
        <t>raw warhead damages: 6000, 3, 6000, 3
import scales all proportionally</t>
      </text>
    </comment>
    <comment ref="AA112" authorId="0" shapeId="0">
      <text>
        <t>fires when: !ra1_soviets_upgrade_nucleartankshells</t>
      </text>
    </comment>
    <comment ref="K113" authorId="0" shapeId="0">
      <text>
        <t>raw warhead damages: 4000, 2, 4000, 2000, 2, 4000, 2, 4000, 2
import scales all proportionally</t>
      </text>
    </comment>
    <comment ref="AA113" authorId="0" shapeId="0">
      <text>
        <t>fires when: ra1_soviets_upgrade_nucleartankshells</t>
      </text>
    </comment>
    <comment ref="K117" authorId="0" shapeId="0">
      <text>
        <t>raw warhead damages: 6000, 3, 6000, 3, 6000, 3000, 3, 6000, 3
import scales all proportionally</t>
      </text>
    </comment>
    <comment ref="AA117" authorId="0" shapeId="0">
      <text>
        <t>fires when: !ra1_soviets_upgrade_nucleartankshells &amp;&amp; !ra1_soviets_promotion_mammothtanktargetingcomputer</t>
      </text>
    </comment>
    <comment ref="K118" authorId="0" shapeId="0">
      <text>
        <t>raw warhead damages: 6000, 3, 6000, 3, 6000, 3000, 3, 6000, 3
import scales all proportionally</t>
      </text>
    </comment>
    <comment ref="AA118" authorId="0" shapeId="0">
      <text>
        <t>fires when: !ra1_soviets_upgrade_nucleartankshells &amp;&amp; ra1_soviets_promotion_mammothtanktargetingcomputer</t>
      </text>
    </comment>
    <comment ref="K119" authorId="0" shapeId="0">
      <text>
        <t>raw warhead damages: 8000, 4000, 4, 8000, 4, 8000, 4
import scales all proportionally</t>
      </text>
    </comment>
    <comment ref="AA119" authorId="0" shapeId="0">
      <text>
        <t>fires when: ra1_soviets_upgrade_nucleartankshells &amp;&amp; !ra1_soviets_promotion_mammothtanktargetingcomputer</t>
      </text>
    </comment>
    <comment ref="K120" authorId="0" shapeId="0">
      <text>
        <t>raw warhead damages: 8000, 4000, 4, 8000, 4, 8000, 4
import scales all proportionally</t>
      </text>
    </comment>
    <comment ref="AA120" authorId="0" shapeId="0">
      <text>
        <t>fires when: ra1_soviets_upgrade_nucleartankshells &amp;&amp; ra1_soviets_promotion_mammothtanktargetingcomputer</t>
      </text>
    </comment>
    <comment ref="K121" authorId="0" shapeId="0">
      <text>
        <t>raw warhead damages: 6000, 3000, 3, 6000, 3, 6000, 3, 6000, 3
import scales all proportionally</t>
      </text>
    </comment>
    <comment ref="AA121" authorId="0" shapeId="0">
      <text>
        <t>fires when: !ra1_soviets_upgrade_teslarockets &amp;&amp; !ra1_soviets_upgrade_thermonuclearrockets &amp;&amp; !ra1_soviets_promotion_mammothtanktargetingcomputer</t>
      </text>
    </comment>
    <comment ref="K122" authorId="0" shapeId="0">
      <text>
        <t>raw warhead damages: 6000, 3000, 3, 6000, 3, 6000, 3, 6000, 3
import scales all proportionally</t>
      </text>
    </comment>
    <comment ref="AA122" authorId="0" shapeId="0">
      <text>
        <t>fires when: !ra1_soviets_upgrade_teslarockets &amp;&amp; !ra1_soviets_upgrade_thermonuclearrockets &amp;&amp; ra1_soviets_promotion_mammothtanktargetingcomputer</t>
      </text>
    </comment>
    <comment ref="K123" authorId="0" shapeId="0">
      <text>
        <t>raw warhead damages: 8000, 4000, 4, 8000, 4000, 4, 8000, 4000, 4, 8000, 4
import scales all proportionally</t>
      </text>
    </comment>
    <comment ref="AA123" authorId="0" shapeId="0">
      <text>
        <t>fires when: ra1_soviets_upgrade_teslarockets &amp;&amp; !ra1_soviets_promotion_mammothtanktargetingcomputer</t>
      </text>
    </comment>
    <comment ref="K124" authorId="0" shapeId="0">
      <text>
        <t>raw warhead damages: 8000, 4000, 4, 8000, 4000, 4, 8000, 4000, 4, 8000, 4
import scales all proportionally</t>
      </text>
    </comment>
    <comment ref="AA124" authorId="0" shapeId="0">
      <text>
        <t>fires when: ra1_soviets_upgrade_teslarockets &amp;&amp; ra1_soviets_promotion_mammothtanktargetingcomputer</t>
      </text>
    </comment>
    <comment ref="K125" authorId="0" shapeId="0">
      <text>
        <t>raw warhead damages: 4000, 2000, 2, 4000, 2000, 2, 4000, 2000, 2, 4000, 2000, 2, 4000, 2, 4000, 2000, 2, 4000, 2, 4000, 2
import scales all proportionally</t>
      </text>
    </comment>
    <comment ref="AA125" authorId="0" shapeId="0">
      <text>
        <t>fires when: ra1_soviets_upgrade_thermonuclearrockets &amp;&amp; !ra1_soviets_promotion_mammothtanktargetingcomputer</t>
      </text>
    </comment>
    <comment ref="K126" authorId="0" shapeId="0">
      <text>
        <t>raw warhead damages: 4000, 2000, 2, 4000, 2000, 2, 4000, 2000, 2, 4000, 2000, 2, 4000, 2, 4000, 2000, 2, 4000, 2, 4000, 2
import scales all proportionally</t>
      </text>
    </comment>
    <comment ref="AA126" authorId="0" shapeId="0">
      <text>
        <t>fires when: ra1_soviets_upgrade_thermonuclearrockets &amp;&amp; ra1_soviets_promotion_mammothtanktargetingcomputer</t>
      </text>
    </comment>
    <comment ref="K129" authorId="0" shapeId="0">
      <text>
        <t>raw warhead damages: 40000, 20, 40000, 20
import scales all proportionally</t>
      </text>
    </comment>
    <comment ref="AA129" authorId="0" shapeId="0">
      <text>
        <t>fires when: !ra1_soviets_doctrine_inferno</t>
      </text>
    </comment>
    <comment ref="K130" authorId="0" shapeId="0">
      <text>
        <t>raw warhead damages: 40000, 20000, 20, 40000, 20, 40000, 20
import scales all proportionally</t>
      </text>
    </comment>
    <comment ref="AA130" authorId="0" shapeId="0">
      <text>
        <t>fires when: ra1_soviets_doctrine_inferno</t>
      </text>
    </comment>
    <comment ref="K131" authorId="0" shapeId="0">
      <text>
        <t>raw warhead damages: 20000, 10, 20000, 10
import scales all proportionally</t>
      </text>
    </comment>
    <comment ref="AA131" authorId="0" shapeId="0">
      <text>
        <t>fires when: !ra1_soviets_upgrade_teslarockets &amp;&amp; !ra1_soviets_upgrade_thermonuclearrockets</t>
      </text>
    </comment>
    <comment ref="K132" authorId="0" shapeId="0">
      <text>
        <t>raw warhead damages: 26750, 13250, 13, 26750, 13250, 13, 26750, 13250, 13, 26750, 13
import scales all proportionally</t>
      </text>
    </comment>
    <comment ref="AA132" authorId="0" shapeId="0">
      <text>
        <t>fires when: ra1_soviets_upgrade_teslarockets</t>
      </text>
    </comment>
    <comment ref="K133" authorId="0" shapeId="0">
      <text>
        <t>raw warhead damages: 13250, 6750, 7, 13250, 6750, 7, 13250, 6750, 7, 13250, 6750, 7, 13250, 7, 13250, 6750, 7, 13250, 7, 13250, 7
import scales all proportionally</t>
      </text>
    </comment>
    <comment ref="AA133" authorId="0" shapeId="0">
      <text>
        <t>fires when: ra1_soviets_upgrade_thermonuclearrockets</t>
      </text>
    </comment>
    <comment ref="K135" authorId="0" shapeId="0">
      <text>
        <t>raw warhead damages: 20000, 10, 20000, 10, 20000, 10, 20000, 10, 20000, 10000, 10, 20000, 10000, 10, 20000, 10000, 10, 20000, 10000, 10, 20000, 10000, 10, 20000, 10000, 10, 20000, 10000, 10, 20000, 1000, 10, 20000, 10, 20000, 10, 20000, 10
import scales all proportionally</t>
      </text>
    </comment>
    <comment ref="AA135" authorId="0" shapeId="0">
      <text>
        <t>fires when: !ra1_soviets_upgrade_thermonuclearrockets</t>
      </text>
    </comment>
    <comment ref="K136" authorId="0" shapeId="0">
      <text>
        <t>raw warhead damages: 20000, 10, 20000, 10, 20000, 10, 20000, 10, 20000, 10000, 10, 20000, 10000, 10, 20000, 10000, 10, 20000, 10000, 10, 20000, 10000, 10, 20000, 10000, 10, 20000, 10000, 10, 20000, 1000, 10, 20000, 10, 20000, 10, 20000, 10
import scales all proportionally</t>
      </text>
    </comment>
    <comment ref="AA136" authorId="0" shapeId="0">
      <text>
        <t>fires when: ra1_soviets_upgrade_thermonuclearrockets</t>
      </text>
    </comment>
    <comment ref="K141" authorId="0" shapeId="0">
      <text>
        <t>raw warhead damages: 16000, 8000, 8, 16000, 8000, 8, 16000, 8
import scales all proportionally</t>
      </text>
    </comment>
    <comment ref="AA141" authorId="0" shapeId="0">
      <text>
        <t>fires when: !ra1_soviets_upgrade_nucleartankshells &amp;&amp; !ra1_soviets_promotion_mammothtanktargetingcomputer</t>
      </text>
    </comment>
    <comment ref="K142" authorId="0" shapeId="0">
      <text>
        <t>raw warhead damages: 16000, 8000, 8, 16000, 8000, 8, 16000, 8
import scales all proportionally</t>
      </text>
    </comment>
    <comment ref="AA142" authorId="0" shapeId="0">
      <text>
        <t>fires when: !ra1_soviets_upgrade_nucleartankshells &amp;&amp; ra1_soviets_promotion_mammothtanktargetingcomputer</t>
      </text>
    </comment>
    <comment ref="K143" authorId="0" shapeId="0">
      <text>
        <t>raw warhead damages: 16000, 8000, 8, 16000, 8, 16000, 8
import scales all proportionally</t>
      </text>
    </comment>
    <comment ref="AA143" authorId="0" shapeId="0">
      <text>
        <t>fires when: ra1_soviets_upgrade_nucleartankshells &amp;&amp; !ra1_soviets_promotion_mammothtanktargetingcomputer</t>
      </text>
    </comment>
    <comment ref="K144" authorId="0" shapeId="0">
      <text>
        <t>raw warhead damages: 16000, 8000, 8, 16000, 8, 16000, 8
import scales all proportionally</t>
      </text>
    </comment>
    <comment ref="AA144" authorId="0" shapeId="0">
      <text>
        <t>fires when: ra1_soviets_upgrade_nucleartankshells &amp;&amp; ra1_soviets_promotion_mammothtanktargetingcomputer</t>
      </text>
    </comment>
    <comment ref="K145" authorId="0" shapeId="0">
      <text>
        <t>raw warhead damages: 16000, 8000, 8, 16000, 8000, 8, 16000, 8
import scales all proportionally</t>
      </text>
    </comment>
    <comment ref="AA145" authorId="0" shapeId="0">
      <text>
        <t>fires when: !ra1_soviets_upgrade_highexplosiverockets &amp;&amp; !ra1_soviets_promotion_mammothtanktargetingcomputer</t>
      </text>
    </comment>
    <comment ref="K146" authorId="0" shapeId="0">
      <text>
        <t>raw warhead damages: 16000, 8000, 8, 16000, 8000, 8, 16000, 8
import scales all proportionally</t>
      </text>
    </comment>
    <comment ref="AA146" authorId="0" shapeId="0">
      <text>
        <t>fires when: !ra1_soviets_upgrade_highexplosiverockets &amp;&amp; ra1_soviets_promotion_mammothtanktargetingcomputer</t>
      </text>
    </comment>
    <comment ref="K147" authorId="0" shapeId="0">
      <text>
        <t>raw warhead damages: 16000, 8000, 8, 16000, 8, 16000, 8
import scales all proportionally</t>
      </text>
    </comment>
    <comment ref="AA147" authorId="0" shapeId="0">
      <text>
        <t>fires when: ra1_soviets_upgrade_highexplosiverockets &amp;&amp; !ra1_soviets_promotion_mammothtanktargetingcomputer</t>
      </text>
    </comment>
    <comment ref="K148" authorId="0" shapeId="0">
      <text>
        <t>raw warhead damages: 16000, 8000, 8, 16000, 8, 16000, 8
import scales all proportionally</t>
      </text>
    </comment>
    <comment ref="AA148" authorId="0" shapeId="0">
      <text>
        <t>fires when: ra1_soviets_upgrade_highexplosiverockets &amp;&amp; ra1_soviets_promotion_mammothtanktargetingcomputer</t>
      </text>
    </comment>
    <comment ref="K151" authorId="0" shapeId="0">
      <text>
        <t>raw warhead damages: 40000, 20000, 20
import scales all proportionally</t>
      </text>
    </comment>
    <comment ref="AA151" authorId="0" shapeId="0">
      <text>
        <t>fires when: !ra1_soviets_doctrine_teslaandexperimentaltech &amp;&amp; !ra1_soviets_upgrade_teslaarcing</t>
      </text>
    </comment>
    <comment ref="K152" authorId="0" shapeId="0">
      <text>
        <t>raw warhead damages: 40000, 20000, 20
import scales all proportionally</t>
      </text>
    </comment>
    <comment ref="AA152" authorId="0" shapeId="0">
      <text>
        <t>fires when: ra1_soviets_doctrine_teslaandexperimentaltech &amp;&amp; !ra1_soviets_upgrade_teslaarcing</t>
      </text>
    </comment>
    <comment ref="K153" authorId="0" shapeId="0">
      <text>
        <t>raw warhead damages: 40000, 20000, 20
import scales all proportionally</t>
      </text>
    </comment>
    <comment ref="AA153" authorId="0" shapeId="0">
      <text>
        <t>fires when: ra1_soviets_upgrade_teslaarcing</t>
      </text>
    </comment>
    <comment ref="K155" authorId="0" shapeId="0">
      <text>
        <t>raw warhead damages: 12000, 6, 12000, 6000, 6
import scales all proportionally</t>
      </text>
    </comment>
    <comment ref="AA155" authorId="0" shapeId="0">
      <text>
        <t>fires when: !ra1_soviets_upgrade_scorchedearth</t>
      </text>
    </comment>
    <comment ref="K156" authorId="0" shapeId="0">
      <text>
        <t>raw warhead damages: 8000, 4, 8000, 4000, 4, 8000, 4000, 4
import scales all proportionally</t>
      </text>
    </comment>
    <comment ref="AA156" authorId="0" shapeId="0">
      <text>
        <t>fires when: ra1_soviets_upgrade_scorchedearth</t>
      </text>
    </comment>
    <comment ref="K158" authorId="0" shapeId="0">
      <text>
        <t>raw warhead damages: 60000, 30, 60000, 30000, 30
import scales all proportionally</t>
      </text>
    </comment>
    <comment ref="AA158" authorId="0" shapeId="0">
      <text>
        <t>fires when: !ra1_soviets_upgrade_highexplosiverockets &amp;&amp; !ra1_soviets_upgrade_teslarockets</t>
      </text>
    </comment>
    <comment ref="K159" authorId="0" shapeId="0">
      <text>
        <t>raw warhead damages: 40000, 20, 40000, 20, 40000, 20000, 20
import scales all proportionally</t>
      </text>
    </comment>
    <comment ref="AA159" authorId="0" shapeId="0">
      <text>
        <t>fires when: ra1_soviets_upgrade_highexplosiverockets</t>
      </text>
    </comment>
    <comment ref="K160" authorId="0" shapeId="0">
      <text>
        <t>raw warhead damages: 30000, 15000, 15, 30000, 15, 30000, 15000, 15
import scales all proportionally</t>
      </text>
    </comment>
    <comment ref="AA160" authorId="0" shapeId="0">
      <text>
        <t>fires when: ra1_soviets_upgrade_teslarockets</t>
      </text>
    </comment>
    <comment ref="K163" authorId="0" shapeId="0">
      <text>
        <t>raw warhead damages: 4000, 2
import scales all proportionally</t>
      </text>
    </comment>
    <comment ref="AA163" authorId="0" shapeId="0">
      <text>
        <t>fires when: !ra1_soviets_upgrade_incendiarybullets</t>
      </text>
    </comment>
    <comment ref="K164" authorId="0" shapeId="0">
      <text>
        <t>raw warhead damages: 4000, 2
import scales all proportionally</t>
      </text>
    </comment>
    <comment ref="AA164" authorId="0" shapeId="0">
      <text>
        <t>fires when: !ra1_soviets_upgrade_incendiarybullets</t>
      </text>
    </comment>
    <comment ref="K165" authorId="0" shapeId="0">
      <text>
        <t>raw warhead damages: 4000, 2, 4000, 2000, 2
import scales all proportionally</t>
      </text>
    </comment>
    <comment ref="AA165" authorId="0" shapeId="0">
      <text>
        <t>fires when: ra1_soviets_upgrade_incendiarybullets</t>
      </text>
    </comment>
    <comment ref="K166" authorId="0" shapeId="0">
      <text>
        <t>raw warhead damages: 4000, 2, 4000, 2000, 2
import scales all proportionally</t>
      </text>
    </comment>
    <comment ref="AA166" authorId="0" shapeId="0">
      <text>
        <t>fires when: ra1_soviets_upgrade_incendiarybullets</t>
      </text>
    </comment>
    <comment ref="K168" authorId="0" shapeId="0">
      <text>
        <t>raw warhead damages: 2000, 1000, 1, 2000, 1000, 1, 2000, 1, 2000, 1
import scales all proportionally</t>
      </text>
    </comment>
    <comment ref="AA168" authorId="0" shapeId="0">
      <text>
        <t>fires when: !ra1_soviets_upgrade_highexplosiverockets &amp;&amp; !ra1_soviets_upgrade_thermonuclearrockets &amp;&amp; !ra1_soviets_promotion_hurricanerocketpods</t>
      </text>
    </comment>
    <comment ref="K169" authorId="0" shapeId="0">
      <text>
        <t>raw warhead damages: 2000, 1000, 1, 2000, 1000, 1, 2000, 1, 2000, 1
import scales all proportionally</t>
      </text>
    </comment>
    <comment ref="AA169" authorId="0" shapeId="0">
      <text>
        <t>fires when: !ra1_soviets_upgrade_highexplosiverockets &amp;&amp; !ra1_soviets_upgrade_thermonuclearrockets &amp;&amp; ra1_soviets_promotion_hurricanerocketpods</t>
      </text>
    </comment>
    <comment ref="K170" authorId="0" shapeId="0">
      <text>
        <t>raw warhead damages: 2000, 1000, 1, 2000, 1000, 1, 2000, 1, 2000, 1
import scales all proportionally</t>
      </text>
    </comment>
    <comment ref="AA170" authorId="0" shapeId="0">
      <text>
        <t>fires when: !ra1_soviets_upgrade_highexplosiverockets &amp;&amp; !ra1_soviets_upgrade_thermonuclearrockets &amp;&amp; ra1_soviets_promotion_hurricanerocketpods</t>
      </text>
    </comment>
    <comment ref="K171" authorId="0" shapeId="0">
      <text>
        <t>raw warhead damages: 2000, 1000, 1, 2000, 1000, 1, 2000, 1000, 1, 2000, 1, 2000, 1
import scales all proportionally</t>
      </text>
    </comment>
    <comment ref="AA171" authorId="0" shapeId="0">
      <text>
        <t>fires when: ra1_soviets_upgrade_highexplosiverockets &amp;&amp; !ra1_soviets_promotion_hurricanerocketpods</t>
      </text>
    </comment>
    <comment ref="K172" authorId="0" shapeId="0">
      <text>
        <t>raw warhead damages: 2000, 1000, 1, 2000, 1000, 1, 2000, 1000, 1, 2000, 1, 2000, 1
import scales all proportionally</t>
      </text>
    </comment>
    <comment ref="AA172" authorId="0" shapeId="0">
      <text>
        <t>fires when: ra1_soviets_upgrade_highexplosiverockets &amp;&amp; ra1_soviets_promotion_hurricanerocketpods</t>
      </text>
    </comment>
    <comment ref="K173" authorId="0" shapeId="0">
      <text>
        <t>raw warhead damages: 2000, 1000, 1, 2000, 1000, 1, 2000, 1000, 1, 2000, 1, 2000, 1
import scales all proportionally</t>
      </text>
    </comment>
    <comment ref="AA173" authorId="0" shapeId="0">
      <text>
        <t>fires when: ra1_soviets_upgrade_highexplosiverockets &amp;&amp; ra1_soviets_promotion_hurricanerocketpods</t>
      </text>
    </comment>
    <comment ref="K174" authorId="0" shapeId="0">
      <text>
        <t>raw warhead damages: 2000, 1, 2000, 1000, 1, 2000, 1, 2000, 1
import scales all proportionally</t>
      </text>
    </comment>
    <comment ref="AA174" authorId="0" shapeId="0">
      <text>
        <t>fires when: ra1_soviets_upgrade_thermonuclearrockets &amp;&amp; !ra1_soviets_promotion_hurricanerocketpods</t>
      </text>
    </comment>
    <comment ref="K175" authorId="0" shapeId="0">
      <text>
        <t>raw warhead damages: 2000, 1, 2000, 1000, 1, 2000, 1, 2000, 1
import scales all proportionally</t>
      </text>
    </comment>
    <comment ref="AA175" authorId="0" shapeId="0">
      <text>
        <t>fires when: ra1_soviets_upgrade_thermonuclearrockets &amp;&amp; ra1_soviets_promotion_hurricanerocketpods</t>
      </text>
    </comment>
    <comment ref="K176" authorId="0" shapeId="0">
      <text>
        <t>raw warhead damages: 2000, 1, 2000, 1000, 1, 2000, 1, 2000, 1
import scales all proportionally</t>
      </text>
    </comment>
    <comment ref="AA176" authorId="0" shapeId="0">
      <text>
        <t>fires when: ra1_soviets_upgrade_thermonuclearrockets &amp;&amp; ra1_soviets_promotion_hurricanerocketpods</t>
      </text>
    </comment>
    <comment ref="K177" authorId="0" shapeId="0">
      <text>
        <t>raw warhead damages: 2000, 1
import scales all proportionally</t>
      </text>
    </comment>
    <comment ref="AA177" authorId="0" shapeId="0">
      <text>
        <t>fires when: !ra1_soviets_upgrade_incendiarybullets</t>
      </text>
    </comment>
    <comment ref="K178" authorId="0" shapeId="0">
      <text>
        <t>raw warhead damages: 2000, 1
import scales all proportionally</t>
      </text>
    </comment>
    <comment ref="AA178" authorId="0" shapeId="0">
      <text>
        <t>fires when: !ra1_soviets_upgrade_incendiarybullets</t>
      </text>
    </comment>
    <comment ref="K179" authorId="0" shapeId="0">
      <text>
        <t>raw warhead damages: 2000, 1, 2000, 1000, 1
import scales all proportionally</t>
      </text>
    </comment>
    <comment ref="AA179" authorId="0" shapeId="0">
      <text>
        <t>fires when: ra1_soviets_upgrade_incendiarybullets</t>
      </text>
    </comment>
    <comment ref="K180" authorId="0" shapeId="0">
      <text>
        <t>raw warhead damages: 2000, 1, 2000, 1000, 1
import scales all proportionally</t>
      </text>
    </comment>
    <comment ref="AA180" authorId="0" shapeId="0">
      <text>
        <t>fires when: ra1_soviets_upgrade_incendiarybullets</t>
      </text>
    </comment>
    <comment ref="K183" authorId="0" shapeId="0">
      <text>
        <t>raw warhead damages: 16000, 8, 16000, 8000, 8
import scales all proportionally</t>
      </text>
    </comment>
    <comment ref="AA183" authorId="0" shapeId="0">
      <text>
        <t>fires when: !ra1_soviets_upgrade_teslaarcing</t>
      </text>
    </comment>
    <comment ref="K184" authorId="0" shapeId="0">
      <text>
        <t>raw warhead damages: 16000, 8, 16000, 8000, 8
import scales all proportionally</t>
      </text>
    </comment>
    <comment ref="AA184" authorId="0" shapeId="0">
      <text>
        <t>fires when: ra1_soviets_upgrade_teslaarcing</t>
      </text>
    </comment>
    <comment ref="K185" authorId="0" shapeId="0">
      <text>
        <t>raw warhead damages: 2000, 1000, 1, 2000, 1000, 1, 2000, 1, 2000, 1
import scales all proportionally</t>
      </text>
    </comment>
    <comment ref="AA185" authorId="0" shapeId="0">
      <text>
        <t>fires when: !ra1_soviets_upgrade_teslarockets &amp;&amp; !ra1_soviets_promotion_hurricanerocketpods</t>
      </text>
    </comment>
    <comment ref="K186" authorId="0" shapeId="0">
      <text>
        <t>raw warhead damages: 2000, 1000, 1, 2000, 1000, 1, 2000, 1, 2000, 1
import scales all proportionally</t>
      </text>
    </comment>
    <comment ref="AA186" authorId="0" shapeId="0">
      <text>
        <t>fires when: !ra1_soviets_upgrade_teslarockets &amp;&amp; ra1_soviets_promotion_hurricanerocketpods</t>
      </text>
    </comment>
    <comment ref="K187" authorId="0" shapeId="0">
      <text>
        <t>raw warhead damages: 2000, 1000, 1, 2000, 1000, 1, 2000, 1, 2000, 1
import scales all proportionally</t>
      </text>
    </comment>
    <comment ref="AA187" authorId="0" shapeId="0">
      <text>
        <t>fires when: !ra1_soviets_upgrade_teslarockets &amp;&amp; ra1_soviets_promotion_hurricanerocketpods</t>
      </text>
    </comment>
    <comment ref="K188" authorId="0" shapeId="0">
      <text>
        <t>raw warhead damages: 2000, 1000, 1, 2000, 1000, 1, 2000, 1000, 1, 2000, 1000, 1, 2000, 1
import scales all proportionally</t>
      </text>
    </comment>
    <comment ref="AA188" authorId="0" shapeId="0">
      <text>
        <t>fires when: ra1_soviets_upgrade_teslarockets &amp;&amp; !ra1_soviets_promotion_hurricanerocketpods</t>
      </text>
    </comment>
    <comment ref="K189" authorId="0" shapeId="0">
      <text>
        <t>raw warhead damages: 2000, 1000, 1, 2000, 1000, 1, 2000, 1000, 1, 2000, 1000, 1, 2000, 1
import scales all proportionally</t>
      </text>
    </comment>
    <comment ref="AA189" authorId="0" shapeId="0">
      <text>
        <t>fires when: ra1_soviets_upgrade_teslarockets &amp;&amp; ra1_soviets_promotion_hurricanerocketpods</t>
      </text>
    </comment>
    <comment ref="K190" authorId="0" shapeId="0">
      <text>
        <t>raw warhead damages: 2000, 1000, 1, 2000, 1000, 1, 2000, 1000, 1, 2000, 1000, 1, 2000, 1
import scales all proportionally</t>
      </text>
    </comment>
    <comment ref="AA190" authorId="0" shapeId="0">
      <text>
        <t>fires when: ra1_soviets_upgrade_teslarockets &amp;&amp; ra1_soviets_promotion_hurricanerocketpods</t>
      </text>
    </comment>
    <comment ref="K191" authorId="0" shapeId="0">
      <text>
        <t>raw warhead damages: 2000, 1
import scales all proportionally</t>
      </text>
    </comment>
    <comment ref="AA191" authorId="0" shapeId="0">
      <text>
        <t>fires when: !ra1_soviets_upgrade_incendiarybullets</t>
      </text>
    </comment>
    <comment ref="K192" authorId="0" shapeId="0">
      <text>
        <t>raw warhead damages: 2000, 1
import scales all proportionally</t>
      </text>
    </comment>
    <comment ref="AA192" authorId="0" shapeId="0">
      <text>
        <t>fires when: !ra1_soviets_upgrade_incendiarybullets</t>
      </text>
    </comment>
    <comment ref="K193" authorId="0" shapeId="0">
      <text>
        <t>raw warhead damages: 2000, 1, 2000, 1000, 1
import scales all proportionally</t>
      </text>
    </comment>
    <comment ref="AA193" authorId="0" shapeId="0">
      <text>
        <t>fires when: ra1_soviets_upgrade_incendiarybullets</t>
      </text>
    </comment>
    <comment ref="K194" authorId="0" shapeId="0">
      <text>
        <t>raw warhead damages: 2000, 1, 2000, 1000, 1
import scales all proportionally</t>
      </text>
    </comment>
    <comment ref="AA194" authorId="0" shapeId="0">
      <text>
        <t>fires when: ra1_soviets_upgrade_incendiarybullets</t>
      </text>
    </comment>
    <comment ref="K196" authorId="0" shapeId="0">
      <text>
        <t>raw warhead damages: 40000, 20
import scales all proportionally</t>
      </text>
    </comment>
    <comment ref="AA196" authorId="0" shapeId="0">
      <text>
        <t>fires when: !ra1_soviets_upgrade_teslarockets &amp;&amp; !ra1_soviets_upgrade_thermonuclearrockets</t>
      </text>
    </comment>
    <comment ref="K197" authorId="0" shapeId="0">
      <text>
        <t>raw warhead damages: 40000, 20
import scales all proportionally</t>
      </text>
    </comment>
    <comment ref="AA197" authorId="0" shapeId="0">
      <text>
        <t>fires when: !ra1_soviets_upgrade_teslarockets &amp;&amp; !ra1_soviets_upgrade_thermonuclearrockets</t>
      </text>
    </comment>
    <comment ref="K198" authorId="0" shapeId="0">
      <text>
        <t>raw warhead damages: 16000, 8000, 8, 16000, 8
import scales all proportionally</t>
      </text>
    </comment>
    <comment ref="AA198" authorId="0" shapeId="0">
      <text>
        <t>fires when: ra1_soviets_upgrade_teslarockets</t>
      </text>
    </comment>
    <comment ref="K199" authorId="0" shapeId="0">
      <text>
        <t>raw warhead damages: 16000, 8000, 8, 16000, 8
import scales all proportionally</t>
      </text>
    </comment>
    <comment ref="AA199" authorId="0" shapeId="0">
      <text>
        <t>fires when: ra1_soviets_upgrade_teslarockets</t>
      </text>
    </comment>
    <comment ref="K200" authorId="0" shapeId="0">
      <text>
        <t>raw warhead damages: 12000, 6, 12000, 6, 12000, 6000, 6, 12000, 6
import scales all proportionally</t>
      </text>
    </comment>
    <comment ref="AA200" authorId="0" shapeId="0">
      <text>
        <t>fires when: ra1_soviets_upgrade_thermonuclearrockets</t>
      </text>
    </comment>
    <comment ref="K201" authorId="0" shapeId="0">
      <text>
        <t>raw warhead damages: 12000, 6, 12000, 6, 12000, 6000, 6, 12000, 6
import scales all proportionally</t>
      </text>
    </comment>
    <comment ref="AA201" authorId="0" shapeId="0">
      <text>
        <t>fires when: ra1_soviets_upgrade_thermonuclearrockets</t>
      </text>
    </comment>
    <comment ref="K203" authorId="0" shapeId="0">
      <text>
        <t>raw warhead damages: 50000, 25, 50000, 25000, 25, 50000, 25000, 25, 50000, 25
import scales all proportionally</t>
      </text>
    </comment>
    <comment ref="K204" authorId="0" shapeId="0">
      <text>
        <t>raw warhead damages: 4000, 2
import scales all proportionally</t>
      </text>
    </comment>
    <comment ref="AA204" authorId="0" shapeId="0">
      <text>
        <t>fires when: !ra1_soviets_upgrade_incendiarybullets</t>
      </text>
    </comment>
    <comment ref="K205" authorId="0" shapeId="0">
      <text>
        <t>raw warhead damages: 4000, 2
import scales all proportionally</t>
      </text>
    </comment>
    <comment ref="AA205" authorId="0" shapeId="0">
      <text>
        <t>fires when: !ra1_soviets_upgrade_incendiarybullets</t>
      </text>
    </comment>
    <comment ref="K206" authorId="0" shapeId="0">
      <text>
        <t>raw warhead damages: 4000, 2, 4000, 2000, 2
import scales all proportionally</t>
      </text>
    </comment>
    <comment ref="AA206" authorId="0" shapeId="0">
      <text>
        <t>fires when: ra1_soviets_upgrade_incendiarybullets</t>
      </text>
    </comment>
    <comment ref="K207" authorId="0" shapeId="0">
      <text>
        <t>raw warhead damages: 4000, 2, 4000, 2000, 2
import scales all proportionally</t>
      </text>
    </comment>
    <comment ref="AA207" authorId="0" shapeId="0">
      <text>
        <t>fires when: ra1_soviets_upgrade_incendiarybullets</t>
      </text>
    </comment>
    <comment ref="K209" authorId="0" shapeId="0">
      <text>
        <t>raw warhead damages: 20000, 10, 20000, 10
import scales all proportionally</t>
      </text>
    </comment>
    <comment ref="AA209" authorId="0" shapeId="0">
      <text>
        <t>fires when: !ra1_soviets_upgrade_highexplosiverockets</t>
      </text>
    </comment>
    <comment ref="K210" authorId="0" shapeId="0">
      <text>
        <t>raw warhead damages: 14000, 7000, 7, 14000, 7, 14000, 7
import scales all proportionally</t>
      </text>
    </comment>
    <comment ref="AA210" authorId="0" shapeId="0">
      <text>
        <t>fires when: ra1_soviets_upgrade_highexplosiverockets</t>
      </text>
    </comment>
    <comment ref="K211" authorId="0" shapeId="0">
      <text>
        <t>raw warhead damages: 4000, 2
import scales all proportionally</t>
      </text>
    </comment>
    <comment ref="AA211" authorId="0" shapeId="0">
      <text>
        <t>fires when: !ra1_soviets_upgrade_incendiarybullets</t>
      </text>
    </comment>
    <comment ref="K212" authorId="0" shapeId="0">
      <text>
        <t>raw warhead damages: 4000, 2
import scales all proportionally</t>
      </text>
    </comment>
    <comment ref="AA212" authorId="0" shapeId="0">
      <text>
        <t>fires when: !ra1_soviets_upgrade_incendiarybullets</t>
      </text>
    </comment>
    <comment ref="K213" authorId="0" shapeId="0">
      <text>
        <t>raw warhead damages: 4000, 2, 4000, 2000, 2
import scales all proportionally</t>
      </text>
    </comment>
    <comment ref="AA213" authorId="0" shapeId="0">
      <text>
        <t>fires when: ra1_soviets_upgrade_incendiarybullets</t>
      </text>
    </comment>
    <comment ref="K214" authorId="0" shapeId="0">
      <text>
        <t>raw warhead damages: 4000, 2, 4000, 2000, 2
import scales all proportionally</t>
      </text>
    </comment>
    <comment ref="AA214" authorId="0" shapeId="0">
      <text>
        <t>fires when: ra1_soviets_upgrade_incendiarybullets</t>
      </text>
    </comment>
    <comment ref="K216" authorId="0" shapeId="0">
      <text>
        <t>raw warhead damages: 100000, 50, 100000, 50000, 50, 100000, 50000, 50, 100000, 50
import scales all proportionally</t>
      </text>
    </comment>
    <comment ref="K218" authorId="0" shapeId="0">
      <text>
        <t>raw warhead damages: 40000, 20000, 20, 40000, 20, 40000, 20000, 20, 40000, 20000, 20
import scales all proportionally</t>
      </text>
    </comment>
    <comment ref="K219" authorId="0" shapeId="0">
      <text>
        <t>raw warhead damages: 8000, 4, 8000, 4000, 4
import scales all proportionally</t>
      </text>
    </comment>
    <comment ref="AA219" authorId="0" shapeId="0">
      <text>
        <t>fires when: !ra1_soviets_upgrade_teslaarcing</t>
      </text>
    </comment>
    <comment ref="K220" authorId="0" shapeId="0">
      <text>
        <t>raw warhead damages: 8000, 4, 8000, 4000, 4
import scales all proportionally</t>
      </text>
    </comment>
    <comment ref="AA220" authorId="0" shapeId="0">
      <text>
        <t>fires when: ra1_soviets_upgrade_teslaarcing</t>
      </text>
    </comment>
    <comment ref="K221" authorId="0" shapeId="0">
      <text>
        <t>raw warhead damages: 4000, 2
import scales all proportionally</t>
      </text>
    </comment>
    <comment ref="AA221" authorId="0" shapeId="0">
      <text>
        <t>fires when: !ra1_soviets_upgrade_incendiarybullets</t>
      </text>
    </comment>
    <comment ref="K222" authorId="0" shapeId="0">
      <text>
        <t>raw warhead damages: 4000, 2
import scales all proportionally</t>
      </text>
    </comment>
    <comment ref="AA222" authorId="0" shapeId="0">
      <text>
        <t>fires when: !ra1_soviets_upgrade_incendiarybullets</t>
      </text>
    </comment>
    <comment ref="K223" authorId="0" shapeId="0">
      <text>
        <t>raw warhead damages: 4000, 2, 4000, 2000, 2
import scales all proportionally</t>
      </text>
    </comment>
    <comment ref="AA223" authorId="0" shapeId="0">
      <text>
        <t>fires when: ra1_soviets_upgrade_incendiarybullets</t>
      </text>
    </comment>
    <comment ref="K224" authorId="0" shapeId="0">
      <text>
        <t>raw warhead damages: 4000, 2, 4000, 2000, 2
import scales all proportionally</t>
      </text>
    </comment>
    <comment ref="AA224" authorId="0" shapeId="0">
      <text>
        <t>fires when: ra1_soviets_upgrade_incendiarybullets</t>
      </text>
    </comment>
    <comment ref="K226" authorId="0" shapeId="0">
      <text>
        <t>raw warhead damages: 10000, 5000, 5, 10000, 5, 10000, 5000, 5, 10000, 5000, 5
import scales all proportionally</t>
      </text>
    </comment>
    <comment ref="K227" authorId="0" shapeId="0">
      <text>
        <t>raw warhead damages: 4000, 2
import scales all proportionally</t>
      </text>
    </comment>
    <comment ref="AA227" authorId="0" shapeId="0">
      <text>
        <t>fires when: !ra1_soviets_upgrade_incendiarybullets</t>
      </text>
    </comment>
    <comment ref="K228" authorId="0" shapeId="0">
      <text>
        <t>raw warhead damages: 4000, 2
import scales all proportionally</t>
      </text>
    </comment>
    <comment ref="AA228" authorId="0" shapeId="0">
      <text>
        <t>fires when: !ra1_soviets_upgrade_incendiarybullets</t>
      </text>
    </comment>
    <comment ref="K229" authorId="0" shapeId="0">
      <text>
        <t>raw warhead damages: 4000, 2, 4000, 2000, 2
import scales all proportionally</t>
      </text>
    </comment>
    <comment ref="AA229" authorId="0" shapeId="0">
      <text>
        <t>fires when: ra1_soviets_upgrade_incendiarybullets</t>
      </text>
    </comment>
    <comment ref="K230" authorId="0" shapeId="0">
      <text>
        <t>raw warhead damages: 4000, 2, 4000, 2000, 2
import scales all proportionally</t>
      </text>
    </comment>
    <comment ref="AA230" authorId="0" shapeId="0">
      <text>
        <t>fires when: ra1_soviets_upgrade_incendiarybullets</t>
      </text>
    </comment>
    <comment ref="K233" authorId="0" shapeId="0">
      <text>
        <t>raw warhead damages: 18000, 9000, 9
import scales all proportionally</t>
      </text>
    </comment>
    <comment ref="AA233" authorId="0" shapeId="0">
      <text>
        <t>fires when: !ra1_soviets_doctrine_inferno</t>
      </text>
    </comment>
    <comment ref="K234" authorId="0" shapeId="0">
      <text>
        <t>raw warhead damages: 10000, 5000, 5, 10000, 5000, 5
import scales all proportionally</t>
      </text>
    </comment>
    <comment ref="AA234" authorId="0" shapeId="0">
      <text>
        <t>fires when: ra1_soviets_doctrine_inferno</t>
      </text>
    </comment>
    <comment ref="K238" authorId="0" shapeId="0">
      <text>
        <t>raw warhead damages: 4000, 2, 4000, 2, 4000, 2, 4000, 2
import scales all proportionally</t>
      </text>
    </comment>
    <comment ref="K240" authorId="0" shapeId="0">
      <text>
        <t>raw warhead damages: 32000, 16000, 16
import scales all proportionally</t>
      </text>
    </comment>
    <comment ref="AA240" authorId="0" shapeId="0">
      <text>
        <t>fires when: !ra1_soviets_doctrine_teslaandexperimentaltech &amp;&amp; !ra1_soviets_upgrade_teslaarcing</t>
      </text>
    </comment>
    <comment ref="K241" authorId="0" shapeId="0">
      <text>
        <t>raw warhead damages: 32000, 16000, 16
import scales all proportionally</t>
      </text>
    </comment>
    <comment ref="AA241" authorId="0" shapeId="0">
      <text>
        <t>fires when: ra1_soviets_doctrine_teslaandexperimentaltech &amp;&amp; !ra1_soviets_upgrade_teslaarcing</t>
      </text>
    </comment>
    <comment ref="K242" authorId="0" shapeId="0">
      <text>
        <t>raw warhead damages: 32000, 16000, 16
import scales all proportionally</t>
      </text>
    </comment>
    <comment ref="AA242" authorId="0" shapeId="0">
      <text>
        <t>fires when: ra1_soviets_upgrade_teslaarcing</t>
      </text>
    </comment>
  </commentList>
</comments>
</file>

<file path=xl/comments/comment18.xml><?xml version="1.0" encoding="utf-8"?>
<comments xmlns="http://schemas.openxmlformats.org/spreadsheetml/2006/main">
  <authors>
    <author>balance-pipeline</author>
  </authors>
  <commentList>
    <comment ref="K7" authorId="0" shapeId="0">
      <text>
        <t>raw warhead damages: 1000, 1, 1000, 1, 2000
import scales all proportionally</t>
      </text>
    </comment>
    <comment ref="K8" authorId="0" shapeId="0">
      <text>
        <t>raw warhead damages: 1000, 1, 3200
import scales all proportionally</t>
      </text>
    </comment>
    <comment ref="K10" authorId="0" shapeId="0">
      <text>
        <t>raw warhead damages: 2000, 1, 2000, 1
import scales all proportionally</t>
      </text>
    </comment>
    <comment ref="AA10" authorId="0" shapeId="0">
      <text>
        <t>fires when: !ixian_upgrade_tungstenneedleguns</t>
      </text>
    </comment>
    <comment ref="K11" authorId="0" shapeId="0">
      <text>
        <t>raw warhead damages: 2000, 1, 2000, 1, 2000, 1
import scales all proportionally</t>
      </text>
    </comment>
    <comment ref="AA11" authorId="0" shapeId="0">
      <text>
        <t>fires when: ixian_upgrade_tungstenneedleguns</t>
      </text>
    </comment>
    <comment ref="K12" authorId="0" shapeId="0">
      <text>
        <t>raw warhead damages: 2000, 1, 2000, 1
import scales all proportionally</t>
      </text>
    </comment>
    <comment ref="AA12" authorId="0" shapeId="0">
      <text>
        <t>fires when: !ixian_upgrade_tungstenneedleguns</t>
      </text>
    </comment>
    <comment ref="K13" authorId="0" shapeId="0">
      <text>
        <t>raw warhead damages: 2000, 1, 2000, 1, 2000, 1
import scales all proportionally</t>
      </text>
    </comment>
    <comment ref="AA13" authorId="0" shapeId="0">
      <text>
        <t>fires when: ixian_upgrade_tungstenneedleguns</t>
      </text>
    </comment>
    <comment ref="K15" authorId="0" shapeId="0">
      <text>
        <t>raw warhead damages: 8000, 4, 8000, 4, 8000, 4
import scales all proportionally</t>
      </text>
    </comment>
    <comment ref="K16" authorId="0" shapeId="0">
      <text>
        <t>raw warhead damages: 8000, 4, 8000, 4, 8000, 4
import scales all proportionally</t>
      </text>
    </comment>
    <comment ref="K19" authorId="0" shapeId="0">
      <text>
        <t>raw warhead damages: 12000, 6000, 6, 12000, 6000, 6, 12000, 6, 12000, 6
import scales all proportionally</t>
      </text>
    </comment>
  </commentList>
</comments>
</file>

<file path=xl/comments/comment19.xml><?xml version="1.0" encoding="utf-8"?>
<comments xmlns="http://schemas.openxmlformats.org/spreadsheetml/2006/main">
  <authors>
    <author>balance-pipeline</author>
  </authors>
  <commentList>
    <comment ref="K6" authorId="0" shapeId="0">
      <text>
        <t>raw warhead damages: 10000, 5, 10000, 5
import scales all proportionally</t>
      </text>
    </comment>
    <comment ref="AA6" authorId="0" shapeId="0">
      <text>
        <t>fires when: !ra1_allies_upgrade_cryomissiles</t>
      </text>
    </comment>
    <comment ref="K7" authorId="0" shapeId="0">
      <text>
        <t>raw warhead damages: 10000, 5, 10000, 5
import scales all proportionally</t>
      </text>
    </comment>
    <comment ref="AA7" authorId="0" shapeId="0">
      <text>
        <t>fires when: !ra1_allies_upgrade_cryomissiles</t>
      </text>
    </comment>
    <comment ref="K8" authorId="0" shapeId="0">
      <text>
        <t>raw warhead damages: 10000, 5, 10000, 5
import scales all proportionally</t>
      </text>
    </comment>
    <comment ref="AA8" authorId="0" shapeId="0">
      <text>
        <t>fires when: ra1_allies_upgrade_cryomissiles</t>
      </text>
    </comment>
    <comment ref="K9" authorId="0" shapeId="0">
      <text>
        <t>raw warhead damages: 10000, 5, 10000, 5
import scales all proportionally</t>
      </text>
    </comment>
    <comment ref="AA9" authorId="0" shapeId="0">
      <text>
        <t>fires when: ra1_allies_upgrade_cryomissiles</t>
      </text>
    </comment>
    <comment ref="K11" authorId="0" shapeId="0">
      <text>
        <t>raw warhead damages: 2000, 1
import scales all proportionally</t>
      </text>
    </comment>
    <comment ref="AA11" authorId="0" shapeId="0">
      <text>
        <t>fires when: !ra1_allies_upgrade_cryomissiles</t>
      </text>
    </comment>
    <comment ref="K12" authorId="0" shapeId="0">
      <text>
        <t>raw warhead damages: 2000, 1
import scales all proportionally</t>
      </text>
    </comment>
    <comment ref="AA12" authorId="0" shapeId="0">
      <text>
        <t>fires when: !ra1_allies_upgrade_cryomissiles</t>
      </text>
    </comment>
    <comment ref="K13" authorId="0" shapeId="0">
      <text>
        <t>raw warhead damages: 2000, 1
import scales all proportionally</t>
      </text>
    </comment>
    <comment ref="AA13" authorId="0" shapeId="0">
      <text>
        <t>fires when: ra1_allies_upgrade_cryomissiles</t>
      </text>
    </comment>
    <comment ref="K14" authorId="0" shapeId="0">
      <text>
        <t>raw warhead damages: 2000, 1
import scales all proportionally</t>
      </text>
    </comment>
    <comment ref="AA14" authorId="0" shapeId="0">
      <text>
        <t>fires when: ra1_allies_upgrade_cryomissiles</t>
      </text>
    </comment>
    <comment ref="K23" authorId="0" shapeId="0">
      <text>
        <t>raw warhead damages: 8000, 4000, 4, 8000, 4000, 4
import scales all proportionally</t>
      </text>
    </comment>
    <comment ref="K24" authorId="0" shapeId="0">
      <text>
        <t>raw warhead damages: 8000, 4000, 4, 8000, 4000, 4
import scales all proportionally</t>
      </text>
    </comment>
    <comment ref="K29" authorId="0" shapeId="0">
      <text>
        <t>raw warhead damages: 2000, 1, 2000, 1
import scales all proportionally</t>
      </text>
    </comment>
    <comment ref="K30" authorId="0" shapeId="0">
      <text>
        <t>raw warhead damages: 2000, 1, 2000, 1
import scales all proportionally</t>
      </text>
    </comment>
    <comment ref="K32" authorId="0" shapeId="0">
      <text>
        <t>raw warhead damages: 8000, 4, 8000, 4
import scales all proportionally</t>
      </text>
    </comment>
    <comment ref="K36" authorId="0" shapeId="0">
      <text>
        <t>raw warhead damages: 10000, 5000, 5, 10000, 5000, 5, 10000, 5000, 5, 10000, 5000, 5, 10000, 5
import scales all proportionally</t>
      </text>
    </comment>
    <comment ref="K39" authorId="0" shapeId="0">
      <text>
        <t>raw warhead damages: 20000, 10, 20000, 10000, 10
import scales all proportionally</t>
      </text>
    </comment>
    <comment ref="K43" authorId="0" shapeId="0">
      <text>
        <t>raw warhead damages: 20000, 10, 20000, 10000, 10
import scales all proportionally</t>
      </text>
    </comment>
    <comment ref="K53" authorId="0" shapeId="0">
      <text>
        <t>raw warhead damages: 2000, 1, 2000, 1
import scales all proportionally</t>
      </text>
    </comment>
    <comment ref="AA53" authorId="0" shapeId="0">
      <text>
        <t>fires when: !japan_upgrade_waveforcebullets</t>
      </text>
    </comment>
    <comment ref="K54" authorId="0" shapeId="0">
      <text>
        <t>raw warhead damages: 2000, 1, 1000, 2000, 1, 2000, 1
import scales all proportionally</t>
      </text>
    </comment>
    <comment ref="AA54" authorId="0" shapeId="0">
      <text>
        <t>fires when: japan_upgrade_waveforcebullets</t>
      </text>
    </comment>
    <comment ref="K55" authorId="0" shapeId="0">
      <text>
        <t>raw warhead damages: 60000, 30000, 30
import scales all proportionally</t>
      </text>
    </comment>
    <comment ref="K56" authorId="0" shapeId="0">
      <text>
        <t>raw warhead damages: 60000, 30000, 30
import scales all proportionally</t>
      </text>
    </comment>
    <comment ref="K58" authorId="0" shapeId="0">
      <text>
        <t>raw warhead damages: 20000, 10, 20000, 10
import scales all proportionally</t>
      </text>
    </comment>
    <comment ref="K59" authorId="0" shapeId="0">
      <text>
        <t>raw warhead damages: 20000, 10, 20000, 10
import scales all proportionally</t>
      </text>
    </comment>
    <comment ref="K60" authorId="0" shapeId="0">
      <text>
        <t>raw warhead damages: 2000, 1
import scales all proportionally</t>
      </text>
    </comment>
    <comment ref="K62" authorId="0" shapeId="0">
      <text>
        <t>raw warhead damages: 6000, 3
import scales all proportionally</t>
      </text>
    </comment>
    <comment ref="AA62" authorId="0" shapeId="0">
      <text>
        <t>fires when: !japan_upgrade_waveforcebullets</t>
      </text>
    </comment>
    <comment ref="K63" authorId="0" shapeId="0">
      <text>
        <t>raw warhead damages: 6000, 3
import scales all proportionally</t>
      </text>
    </comment>
    <comment ref="AA63" authorId="0" shapeId="0">
      <text>
        <t>fires when: !japan_upgrade_waveforcebullets</t>
      </text>
    </comment>
    <comment ref="K64" authorId="0" shapeId="0">
      <text>
        <t>raw warhead damages: 4000, 2, 1000, 1000, 500, 2, 4000, 2
import scales all proportionally</t>
      </text>
    </comment>
    <comment ref="AA64" authorId="0" shapeId="0">
      <text>
        <t>fires when: japan_upgrade_waveforcebullets</t>
      </text>
    </comment>
    <comment ref="K65" authorId="0" shapeId="0">
      <text>
        <t>raw warhead damages: 4000, 2, 1000, 1000, 500, 2, 4000, 2
import scales all proportionally</t>
      </text>
    </comment>
    <comment ref="AA65" authorId="0" shapeId="0">
      <text>
        <t>fires when: japan_upgrade_waveforcebullets</t>
      </text>
    </comment>
    <comment ref="K66" authorId="0" shapeId="0">
      <text>
        <t>raw warhead damages: 10000, 5
import scales all proportionally</t>
      </text>
    </comment>
    <comment ref="K68" authorId="0" shapeId="0">
      <text>
        <t>raw warhead damages: 40000, 20, 40000, 20000, 20
import scales all proportionally</t>
      </text>
    </comment>
    <comment ref="K69" authorId="0" shapeId="0">
      <text>
        <t>raw warhead damages: 40000, 20, 40000, 20000, 20
import scales all proportionally</t>
      </text>
    </comment>
    <comment ref="K71" authorId="0" shapeId="0">
      <text>
        <t>raw warhead damages: 10000, 5
import scales all proportionally</t>
      </text>
    </comment>
    <comment ref="AA71" authorId="0" shapeId="0">
      <text>
        <t>fires when: !ra1_allies_upgrade_cryomissiles</t>
      </text>
    </comment>
    <comment ref="K72" authorId="0" shapeId="0">
      <text>
        <t>raw warhead damages: 10000, 5
import scales all proportionally</t>
      </text>
    </comment>
    <comment ref="AA72" authorId="0" shapeId="0">
      <text>
        <t>fires when: ra1_allies_upgrade_cryomissiles</t>
      </text>
    </comment>
    <comment ref="K73" authorId="0" shapeId="0">
      <text>
        <t>raw warhead damages: 60000, 30000, 30
import scales all proportionally</t>
      </text>
    </comment>
    <comment ref="K74" authorId="0" shapeId="0">
      <text>
        <t>raw warhead damages: 60000, 30000, 30
import scales all proportionally</t>
      </text>
    </comment>
    <comment ref="K76" authorId="0" shapeId="0">
      <text>
        <t>raw warhead damages: 30000, 15
import scales all proportionally</t>
      </text>
    </comment>
    <comment ref="K77" authorId="0" shapeId="0">
      <text>
        <t>raw warhead damages: 60000, 30000, 30
import scales all proportionally</t>
      </text>
    </comment>
    <comment ref="K80" authorId="0" shapeId="0">
      <text>
        <t>raw warhead damages: 2000, 1, 2000, 1000, 1, 2000, 1, 2000, 1
import scales all proportionally</t>
      </text>
    </comment>
    <comment ref="K82" authorId="0" shapeId="0">
      <text>
        <t>raw warhead damages: 16000, 8000, 8, 16000, 8
import scales all proportionally</t>
      </text>
    </comment>
    <comment ref="AA82" authorId="0" shapeId="0">
      <text>
        <t>fires when: !ra1_soviets_doctrine_inferno</t>
      </text>
    </comment>
    <comment ref="K83" authorId="0" shapeId="0">
      <text>
        <t>raw warhead damages: 16000, 8, 16000, 8
import scales all proportionally</t>
      </text>
    </comment>
    <comment ref="AA83" authorId="0" shapeId="0">
      <text>
        <t>fires when: ra1_soviets_doctrine_inferno</t>
      </text>
    </comment>
  </commentList>
</comments>
</file>

<file path=xl/comments/comment20.xml><?xml version="1.0" encoding="utf-8"?>
<comments xmlns="http://schemas.openxmlformats.org/spreadsheetml/2006/main">
  <authors>
    <author>balance-pipeline</author>
  </authors>
  <commentList>
    <comment ref="K9" authorId="0" shapeId="0">
      <text>
        <t>raw warhead damages: 2000, 1000, 1
import scales all proportionally</t>
      </text>
    </comment>
    <comment ref="K10" authorId="0" shapeId="0">
      <text>
        <t>raw warhead damages: 2000, 1000, 1
import scales all proportionally</t>
      </text>
    </comment>
    <comment ref="K14" authorId="0" shapeId="0">
      <text>
        <t>raw warhead damages: 4000, 2, 4000, 2
import scales all proportionally</t>
      </text>
    </comment>
    <comment ref="K19" authorId="0" shapeId="0">
      <text>
        <t>raw warhead damages: 4000, 2, 4000, 2
import scales all proportionally</t>
      </text>
    </comment>
    <comment ref="K23" authorId="0" shapeId="0">
      <text>
        <t>raw warhead damages: 4000, 2, 4000, 2
import scales all proportionally</t>
      </text>
    </comment>
    <comment ref="K25" authorId="0" shapeId="0">
      <text>
        <t>raw warhead damages: 10000, 5
import scales all proportionally</t>
      </text>
    </comment>
    <comment ref="AA25" authorId="0" shapeId="0">
      <text>
        <t>fires when: !rank-elite</t>
      </text>
    </comment>
    <comment ref="K26" authorId="0" shapeId="0">
      <text>
        <t>raw warhead damages: 10000, 5
import scales all proportionally</t>
      </text>
    </comment>
    <comment ref="AA26" authorId="0" shapeId="0">
      <text>
        <t>fires when: rank-elite</t>
      </text>
    </comment>
    <comment ref="K27" authorId="0" shapeId="0">
      <text>
        <t>raw warhead damages: 2000, 1, 2000, 1
import scales all proportionally</t>
      </text>
    </comment>
    <comment ref="K29" authorId="0" shapeId="0">
      <text>
        <t>raw warhead damages: 2000, 1, 2000, 1
import scales all proportionally</t>
      </text>
    </comment>
    <comment ref="AA29" authorId="0" shapeId="0">
      <text>
        <t>fires when: !rank-elite</t>
      </text>
    </comment>
    <comment ref="K30" authorId="0" shapeId="0">
      <text>
        <t>raw warhead damages: 2000, 1, 2000, 1
import scales all proportionally</t>
      </text>
    </comment>
    <comment ref="AA30" authorId="0" shapeId="0">
      <text>
        <t>fires when: rank-elite</t>
      </text>
    </comment>
    <comment ref="K32" authorId="0" shapeId="0">
      <text>
        <t>raw warhead damages: 2000, 1, 2000, 1
import scales all proportionally</t>
      </text>
    </comment>
    <comment ref="AA32" authorId="0" shapeId="0">
      <text>
        <t>fires when: !rank-elite</t>
      </text>
    </comment>
    <comment ref="K33" authorId="0" shapeId="0">
      <text>
        <t>raw warhead damages: 2000, 1, 2000, 1
import scales all proportionally</t>
      </text>
    </comment>
    <comment ref="AA33" authorId="0" shapeId="0">
      <text>
        <t>fires when: rank-elite</t>
      </text>
    </comment>
    <comment ref="K35" authorId="0" shapeId="0">
      <text>
        <t>raw warhead damages: 2000, 1, 2000, 1
import scales all proportionally</t>
      </text>
    </comment>
    <comment ref="AA35" authorId="0" shapeId="0">
      <text>
        <t>fires when: !rank-elite</t>
      </text>
    </comment>
    <comment ref="K36" authorId="0" shapeId="0">
      <text>
        <t>raw warhead damages: 2000, 1, 2000, 1
import scales all proportionally</t>
      </text>
    </comment>
    <comment ref="AA36" authorId="0" shapeId="0">
      <text>
        <t>fires when: rank-elite</t>
      </text>
    </comment>
    <comment ref="K37" authorId="0" shapeId="0">
      <text>
        <t>raw warhead damages: 4000, 2, 4000, 2
import scales all proportionally</t>
      </text>
    </comment>
    <comment ref="AA37" authorId="0" shapeId="0">
      <text>
        <t>fires when: !rank-elite</t>
      </text>
    </comment>
    <comment ref="K38" authorId="0" shapeId="0">
      <text>
        <t>raw warhead damages: 4000, 2, 4000, 2
import scales all proportionally</t>
      </text>
    </comment>
    <comment ref="AA38" authorId="0" shapeId="0">
      <text>
        <t>fires when: rank-elite</t>
      </text>
    </comment>
    <comment ref="K42" authorId="0" shapeId="0">
      <text>
        <t>raw warhead damages: 4000, 2, 4000, 2
import scales all proportionally</t>
      </text>
    </comment>
    <comment ref="K46" authorId="0" shapeId="0">
      <text>
        <t>raw warhead damages: 4000, 2, 4000, 2
import scales all proportionally</t>
      </text>
    </comment>
    <comment ref="K50" authorId="0" shapeId="0">
      <text>
        <t>raw warhead damages: 4000, 2, 4000, 2
import scales all proportionally</t>
      </text>
    </comment>
    <comment ref="K54" authorId="0" shapeId="0">
      <text>
        <t>raw warhead damages: 4000, 2, 4000, 2
import scales all proportionally</t>
      </text>
    </comment>
    <comment ref="K58" authorId="0" shapeId="0">
      <text>
        <t>raw warhead damages: 4000, 2, 4000, 2
import scales all proportionally</t>
      </text>
    </comment>
    <comment ref="K62" authorId="0" shapeId="0">
      <text>
        <t>raw warhead damages: 4000, 2, 4000, 2
import scales all proportionally</t>
      </text>
    </comment>
    <comment ref="K66" authorId="0" shapeId="0">
      <text>
        <t>raw warhead damages: 4000, 2, 4000, 2
import scales all proportionally</t>
      </text>
    </comment>
    <comment ref="K70" authorId="0" shapeId="0">
      <text>
        <t>raw warhead damages: 4000, 2, 4000, 2
import scales all proportionally</t>
      </text>
    </comment>
    <comment ref="K74" authorId="0" shapeId="0">
      <text>
        <t>raw warhead damages: 4000, 2, 4000, 2
import scales all proportionally</t>
      </text>
    </comment>
    <comment ref="K78" authorId="0" shapeId="0">
      <text>
        <t>raw warhead damages: 4000, 2, 4000, 2
import scales all proportionally</t>
      </text>
    </comment>
    <comment ref="K82" authorId="0" shapeId="0">
      <text>
        <t>raw warhead damages: 4000, 2, 4000, 2
import scales all proportionally</t>
      </text>
    </comment>
    <comment ref="K87" authorId="0" shapeId="0">
      <text>
        <t>raw warhead damages: 4000, 2, 4000, 2
import scales all proportionally</t>
      </text>
    </comment>
    <comment ref="K91" authorId="0" shapeId="0">
      <text>
        <t>raw warhead damages: 4000, 2, 4000, 2
import scales all proportionally</t>
      </text>
    </comment>
    <comment ref="K95" authorId="0" shapeId="0">
      <text>
        <t>raw warhead damages: 4000, 2, 4000, 2
import scales all proportionally</t>
      </text>
    </comment>
    <comment ref="K99" authorId="0" shapeId="0">
      <text>
        <t>raw warhead damages: 4000, 2, 4000, 2
import scales all proportionally</t>
      </text>
    </comment>
    <comment ref="K103" authorId="0" shapeId="0">
      <text>
        <t>raw warhead damages: 4000, 2, 4000, 2
import scales all proportionally</t>
      </text>
    </comment>
    <comment ref="K106" authorId="0" shapeId="0">
      <text>
        <t>raw warhead damages: 60000, 30000, 30
import scales all proportionally</t>
      </text>
    </comment>
    <comment ref="K113" authorId="0" shapeId="0">
      <text>
        <t>raw warhead damages: 16000, 8
import scales all proportionally</t>
      </text>
    </comment>
    <comment ref="AA113" authorId="0" shapeId="0">
      <text>
        <t>fires when: !rank-elite</t>
      </text>
    </comment>
    <comment ref="K114" authorId="0" shapeId="0">
      <text>
        <t>raw warhead damages: 16000, 8
import scales all proportionally</t>
      </text>
    </comment>
    <comment ref="AA114" authorId="0" shapeId="0">
      <text>
        <t>fires when: rank-elite</t>
      </text>
    </comment>
    <comment ref="K117" authorId="0" shapeId="0">
      <text>
        <t>raw warhead damages: 2000, 1, 888, 1000
import scales all proportionally</t>
      </text>
    </comment>
    <comment ref="K122" authorId="0" shapeId="0">
      <text>
        <t>raw warhead damages: 2000, 1
import scales all proportionally</t>
      </text>
    </comment>
    <comment ref="AA122" authorId="0" shapeId="0">
      <text>
        <t>fires when: !rank-elite</t>
      </text>
    </comment>
    <comment ref="K123" authorId="0" shapeId="0">
      <text>
        <t>raw warhead damages: 2000, 1
import scales all proportionally</t>
      </text>
    </comment>
    <comment ref="AA123" authorId="0" shapeId="0">
      <text>
        <t>fires when: rank-elite</t>
      </text>
    </comment>
    <comment ref="K124" authorId="0" shapeId="0">
      <text>
        <t>raw warhead damages: 2000, 1, 2000, 1
import scales all proportionally</t>
      </text>
    </comment>
    <comment ref="K128" authorId="0" shapeId="0">
      <text>
        <t>raw warhead damages: 2000, 1000, 1, 2000, 1, 2000, 1
import scales all proportionally</t>
      </text>
    </comment>
    <comment ref="K131" authorId="0" shapeId="0">
      <text>
        <t>raw warhead damages: 10000, 5
import scales all proportionally</t>
      </text>
    </comment>
    <comment ref="AA131" authorId="0" shapeId="0">
      <text>
        <t>fires when: !rank-elite</t>
      </text>
    </comment>
    <comment ref="K132" authorId="0" shapeId="0">
      <text>
        <t>raw warhead damages: 10000, 5
import scales all proportionally</t>
      </text>
    </comment>
    <comment ref="AA132" authorId="0" shapeId="0">
      <text>
        <t>fires when: rank-elite</t>
      </text>
    </comment>
    <comment ref="K133" authorId="0" shapeId="0">
      <text>
        <t>raw warhead damages: 2000, 1, 2000, 1
import scales all proportionally</t>
      </text>
    </comment>
    <comment ref="K139" authorId="0" shapeId="0">
      <text>
        <t>raw warhead damages: 24000, 12000, 12
import scales all proportionally</t>
      </text>
    </comment>
    <comment ref="AA139" authorId="0" shapeId="0">
      <text>
        <t>fires when: (!ra2_soviets_upgrade_teslaoverload &amp;&amp; !rank-elite)</t>
      </text>
    </comment>
    <comment ref="K140" authorId="0" shapeId="0">
      <text>
        <t>raw warhead damages: 24000, 12000, 12
import scales all proportionally</t>
      </text>
    </comment>
    <comment ref="AA140" authorId="0" shapeId="0">
      <text>
        <t>fires when: (ra2_soviets_upgrade_teslaoverload &amp;&amp; !rank-elite) || (!ra2_soviets_upgrade_teslaoverload &amp;&amp; rank-elite)</t>
      </text>
    </comment>
    <comment ref="K141" authorId="0" shapeId="0">
      <text>
        <t>raw warhead damages: 24000, 12000, 12
import scales all proportionally</t>
      </text>
    </comment>
    <comment ref="AA141" authorId="0" shapeId="0">
      <text>
        <t>fires when: (ra2_soviets_upgrade_teslaoverload &amp;&amp; rank-elite)</t>
      </text>
    </comment>
    <comment ref="K143" authorId="0" shapeId="0">
      <text>
        <t>raw warhead damages: 24000, 12000, 12
import scales all proportionally</t>
      </text>
    </comment>
    <comment ref="AA143" authorId="0" shapeId="0">
      <text>
        <t>fires when: (!ra2_soviets_upgrade_teslaoverload &amp;&amp; !rank-elite)</t>
      </text>
    </comment>
    <comment ref="K144" authorId="0" shapeId="0">
      <text>
        <t>raw warhead damages: 24000, 12000, 12
import scales all proportionally</t>
      </text>
    </comment>
    <comment ref="AA144" authorId="0" shapeId="0">
      <text>
        <t>fires when: (ra2_soviets_upgrade_teslaoverload &amp;&amp; !rank-elite) || (!ra2_soviets_upgrade_teslaoverload &amp;&amp; rank-elite)</t>
      </text>
    </comment>
    <comment ref="K145" authorId="0" shapeId="0">
      <text>
        <t>raw warhead damages: 24000, 12000, 12
import scales all proportionally</t>
      </text>
    </comment>
    <comment ref="AA145" authorId="0" shapeId="0">
      <text>
        <t>fires when: (ra2_soviets_upgrade_teslaoverload &amp;&amp; rank-elite)</t>
      </text>
    </comment>
    <comment ref="K147" authorId="0" shapeId="0">
      <text>
        <t>raw warhead damages: 24000, 12000, 12
import scales all proportionally</t>
      </text>
    </comment>
    <comment ref="AA147" authorId="0" shapeId="0">
      <text>
        <t>fires when: (!ra2_soviets_upgrade_teslaoverload &amp;&amp; !rank-elite)</t>
      </text>
    </comment>
    <comment ref="K148" authorId="0" shapeId="0">
      <text>
        <t>raw warhead damages: 24000, 12000, 12
import scales all proportionally</t>
      </text>
    </comment>
    <comment ref="AA148" authorId="0" shapeId="0">
      <text>
        <t>fires when: (ra2_soviets_upgrade_teslaoverload &amp;&amp; !rank-elite) || (!ra2_soviets_upgrade_teslaoverload &amp;&amp; rank-elite)</t>
      </text>
    </comment>
    <comment ref="K149" authorId="0" shapeId="0">
      <text>
        <t>raw warhead damages: 24000, 12000, 12
import scales all proportionally</t>
      </text>
    </comment>
    <comment ref="AA149" authorId="0" shapeId="0">
      <text>
        <t>fires when: (ra2_soviets_upgrade_teslaoverload &amp;&amp; rank-elite)</t>
      </text>
    </comment>
    <comment ref="K152" authorId="0" shapeId="0">
      <text>
        <t>raw warhead damages: 24000, 12
import scales all proportionally</t>
      </text>
    </comment>
    <comment ref="AA152" authorId="0" shapeId="0">
      <text>
        <t>fires when: !rank-elite</t>
      </text>
    </comment>
    <comment ref="K153" authorId="0" shapeId="0">
      <text>
        <t>raw warhead damages: 24000, 12
import scales all proportionally</t>
      </text>
    </comment>
    <comment ref="AA153" authorId="0" shapeId="0">
      <text>
        <t>fires when: !rank-elite</t>
      </text>
    </comment>
    <comment ref="K154" authorId="0" shapeId="0">
      <text>
        <t>raw warhead damages: 48000, 24
import scales all proportionally</t>
      </text>
    </comment>
    <comment ref="AA154" authorId="0" shapeId="0">
      <text>
        <t>fires when: rank-elite</t>
      </text>
    </comment>
    <comment ref="K155" authorId="0" shapeId="0">
      <text>
        <t>raw warhead damages: 48000, 24
import scales all proportionally</t>
      </text>
    </comment>
    <comment ref="AA155" authorId="0" shapeId="0">
      <text>
        <t>fires when: rank-elite</t>
      </text>
    </comment>
    <comment ref="K160" authorId="0" shapeId="0">
      <text>
        <t>raw warhead damages: 18000, 9000, 9, 18000, 9
import scales all proportionally</t>
      </text>
    </comment>
    <comment ref="AA160" authorId="0" shapeId="0">
      <text>
        <t>fires when: !rank-elite</t>
      </text>
    </comment>
    <comment ref="K161" authorId="0" shapeId="0">
      <text>
        <t>raw warhead damages: 18000, 9000, 9, 18000, 9
import scales all proportionally</t>
      </text>
    </comment>
    <comment ref="AA161" authorId="0" shapeId="0">
      <text>
        <t>fires when: rank-elite</t>
      </text>
    </comment>
    <comment ref="K164" authorId="0" shapeId="0">
      <text>
        <t>raw warhead damages: 8000, 4, 8000, 4, 8000, 4, 8000, 4
import scales all proportionally</t>
      </text>
    </comment>
    <comment ref="AA164" authorId="0" shapeId="0">
      <text>
        <t>fires when: !ra2_soviets_doctrine_nuclearmunitions &amp;&amp; !ra2_soviets_doctrine_firemunitions &amp;&amp; !ra2_soviets_doctrine_teslamunitions</t>
      </text>
    </comment>
    <comment ref="K165" authorId="0" shapeId="0">
      <text>
        <t>raw warhead damages: 4000, 2000, 2, 4000, 2000, 2, 8000, 4, 8000, 4, 8000, 4, 8000, 4
import scales all proportionally</t>
      </text>
    </comment>
    <comment ref="AA165" authorId="0" shapeId="0">
      <text>
        <t>fires when: ra2_soviets_doctrine_nuclearmunitions</t>
      </text>
    </comment>
    <comment ref="K166" authorId="0" shapeId="0">
      <text>
        <t>raw warhead damages: 8000, 4, 8000, 4, 8000, 4, 8000, 4
import scales all proportionally</t>
      </text>
    </comment>
    <comment ref="AA166" authorId="0" shapeId="0">
      <text>
        <t>fires when: ra2_soviets_doctrine_firemunitions</t>
      </text>
    </comment>
    <comment ref="K167" authorId="0" shapeId="0">
      <text>
        <t>raw warhead damages: 8000, 4, 8000, 4, 8000, 4, 8000, 4
import scales all proportionally</t>
      </text>
    </comment>
    <comment ref="AA167" authorId="0" shapeId="0">
      <text>
        <t>fires when: ra2_soviets_doctrine_teslamunitions</t>
      </text>
    </comment>
    <comment ref="K171" authorId="0" shapeId="0">
      <text>
        <t>raw warhead damages: 8000, 4000, 4, 8000, 4, 600, 8000, 4, 1000
import scales all proportionally</t>
      </text>
    </comment>
    <comment ref="AA171" authorId="0" shapeId="0">
      <text>
        <t>fires when: !rank-elite</t>
      </text>
    </comment>
    <comment ref="K172" authorId="0" shapeId="0">
      <text>
        <t>raw warhead damages: 8000, 4000, 4, 8000, 4, 600, 8000, 4, 1000
import scales all proportionally</t>
      </text>
    </comment>
    <comment ref="AA172" authorId="0" shapeId="0">
      <text>
        <t>fires when: rank-elite</t>
      </text>
    </comment>
    <comment ref="K174" authorId="0" shapeId="0">
      <text>
        <t>raw warhead damages: 4000, 2, 4000, 2
import scales all proportionally</t>
      </text>
    </comment>
  </commentList>
</comments>
</file>

<file path=xl/comments/comment21.xml><?xml version="1.0" encoding="utf-8"?>
<comments xmlns="http://schemas.openxmlformats.org/spreadsheetml/2006/main">
  <authors>
    <author>balance-pipeline</author>
  </authors>
  <commentList>
    <comment ref="K4" authorId="0" shapeId="0">
      <text>
        <t>raw warhead damages: 8000, 4000, 4, 8000, 4, 1000
import scales all proportionally</t>
      </text>
    </comment>
    <comment ref="K5" authorId="0" shapeId="0">
      <text>
        <t>raw warhead damages: 8000, 4000, 4, 8000, 4, 1000
import scales all proportionally</t>
      </text>
    </comment>
    <comment ref="K7" authorId="0" shapeId="0">
      <text>
        <t>raw warhead damages: 30000, 15000, 15
import scales all proportionally</t>
      </text>
    </comment>
    <comment ref="K9" authorId="0" shapeId="0">
      <text>
        <t>raw warhead damages: 20000, 10000, 1
import scales all proportionally</t>
      </text>
    </comment>
    <comment ref="K12" authorId="0" shapeId="0">
      <text>
        <t>raw warhead damages: 8000, 4000, 4
import scales all proportionally</t>
      </text>
    </comment>
    <comment ref="K13" authorId="0" shapeId="0">
      <text>
        <t>raw warhead damages: 8000, 4000, 4
import scales all proportionally</t>
      </text>
    </comment>
    <comment ref="K14" authorId="0" shapeId="0">
      <text>
        <t>raw warhead damages: 8000, 4000, 4
import scales all proportionally</t>
      </text>
    </comment>
    <comment ref="K15" authorId="0" shapeId="0">
      <text>
        <t>raw warhead damages: 8000, 4000, 4
import scales all proportionally</t>
      </text>
    </comment>
    <comment ref="K16" authorId="0" shapeId="0">
      <text>
        <t>raw warhead damages: 8000, 4000, 4
import scales all proportionally</t>
      </text>
    </comment>
    <comment ref="K17" authorId="0" shapeId="0">
      <text>
        <t>raw warhead damages: 8000, 4000, 4
import scales all proportionally</t>
      </text>
    </comment>
    <comment ref="K18" authorId="0" shapeId="0">
      <text>
        <t>raw warhead damages: 8000, 4000, 4
import scales all proportionally</t>
      </text>
    </comment>
    <comment ref="K19" authorId="0" shapeId="0">
      <text>
        <t>raw warhead damages: 8000, 4000, 4
import scales all proportionally</t>
      </text>
    </comment>
    <comment ref="K21" authorId="0" shapeId="0">
      <text>
        <t>raw warhead damages: 32000, 16000, 16
import scales all proportionally</t>
      </text>
    </comment>
    <comment ref="K23" authorId="0" shapeId="0">
      <text>
        <t>raw warhead damages: 2000, 1000, 1, 2000, 1000, 1, 2000, 1, 2000, 1, 2000, 1, 2000, 1
import scales all proportionally</t>
      </text>
    </comment>
    <comment ref="K24" authorId="0" shapeId="0">
      <text>
        <t>raw warhead damages: 2000, 1000, 1, 2000, 1000, 1, 2000, 1, 2000, 1, 2000, 1, 2000, 1
import scales all proportionally</t>
      </text>
    </comment>
    <comment ref="K26" authorId="0" shapeId="0">
      <text>
        <t>raw warhead damages: 8000, 4000, 4
import scales all proportionally</t>
      </text>
    </comment>
    <comment ref="K28" authorId="0" shapeId="0">
      <text>
        <t>raw warhead damages: 64000, 32000, 32
import scales all proportionally</t>
      </text>
    </comment>
    <comment ref="K31" authorId="0" shapeId="0">
      <text>
        <t>raw warhead damages: 10000, 5000, 5
import scales all proportionally</t>
      </text>
    </comment>
    <comment ref="K32" authorId="0" shapeId="0">
      <text>
        <t>raw warhead damages: -2000, -1000, -1
import scales all proportionally</t>
      </text>
    </comment>
    <comment ref="K34" authorId="0" shapeId="0">
      <text>
        <t>raw warhead damages: 30000, 15000, 15
import scales all proportionally</t>
      </text>
    </comment>
    <comment ref="K36" authorId="0" shapeId="0">
      <text>
        <t>raw warhead damages: 2000, 1000, 1, 2000, 1, 2000, 1, 2000, 1, 2000, 1
import scales all proportionally</t>
      </text>
    </comment>
    <comment ref="K38" authorId="0" shapeId="0">
      <text>
        <t>raw warhead damages: 10000, 5, 10000, 5, 10000, 5, 10000, 5
import scales all proportionally</t>
      </text>
    </comment>
    <comment ref="K40" authorId="0" shapeId="0">
      <text>
        <t>raw warhead damages: 10000, 5, 10000, 5, 1000
import scales all proportionally</t>
      </text>
    </comment>
    <comment ref="K41" authorId="0" shapeId="0">
      <text>
        <t>raw warhead damages: 10000, 5000, 5, 10000, 5
import scales all proportionally</t>
      </text>
    </comment>
    <comment ref="K42" authorId="0" shapeId="0">
      <text>
        <t>raw warhead damages: 10000, 5000, 5, 10000, 5000, 5
import scales all proportionally</t>
      </text>
    </comment>
    <comment ref="K44" authorId="0" shapeId="0">
      <text>
        <t>raw warhead damages: 2000, 1000, 1, 2000, 1, 2000, 1
import scales all proportionally</t>
      </text>
    </comment>
    <comment ref="K45" authorId="0" shapeId="0">
      <text>
        <t>raw warhead damages: 2000, 1000, 1, 2000, 1, 2000, 1
import scales all proportionally</t>
      </text>
    </comment>
    <comment ref="K48" authorId="0" shapeId="0">
      <text>
        <t>raw warhead damages: 8000, 1, 8000, 1, 8000, 4000, 1, 8000, 1, 8000, 1
import scales all proportionally</t>
      </text>
    </comment>
    <comment ref="K50" authorId="0" shapeId="0">
      <text>
        <t>raw warhead damages: 10000, 5000, 5
import scales all proportionally</t>
      </text>
    </comment>
    <comment ref="K52" authorId="0" shapeId="0">
      <text>
        <t>raw warhead damages: 50000, 25, 50000, 25000, 25, 50000, 25, 50000, 25
import scales all proportionally</t>
      </text>
    </comment>
    <comment ref="AA53" authorId="0" shapeId="0">
      <text>
        <t>fires when: !protoss_upgrade_reavercapacity</t>
      </text>
    </comment>
    <comment ref="K56" authorId="0" shapeId="0">
      <text>
        <t>raw warhead damages: 10000, 5, 10000, 5, 10000, 5, 10000, 5
import scales all proportionally</t>
      </text>
    </comment>
    <comment ref="K61" authorId="0" shapeId="0">
      <text>
        <t>raw warhead damages: 5000, 2500, 5
import scales all proportionally</t>
      </text>
    </comment>
    <comment ref="K62" authorId="0" shapeId="0">
      <text>
        <t>raw warhead damages: 2000, 1000, 1, 2000, 1, 2000, 1, 2000, 1
import scales all proportionally</t>
      </text>
    </comment>
    <comment ref="K63" authorId="0" shapeId="0">
      <text>
        <t>raw warhead damages: 2000, 1000, 1, 2000, 1, 2000, 1, 2000, 1
import scales all proportionally</t>
      </text>
    </comment>
    <comment ref="K65" authorId="0" shapeId="0">
      <text>
        <t>raw warhead damages: 2000, 1000, 1, 2000, 1, 2000, 1, 2000, 1, 2000, 1, 2000, 1000, 1, 2000, 1, 2000, 1, 2000, 1, 2000, 1
import scales all proportionally</t>
      </text>
    </comment>
    <comment ref="K66" authorId="0" shapeId="0">
      <text>
        <t>raw warhead damages: 2000, 1000, 1, 2000, 1, 2000, 1, 2000, 1, 2000, 1, 2000, 1000, 1, 2000, 1, 2000, 1, 2000, 1, 2000, 1
import scales all proportionally</t>
      </text>
    </comment>
    <comment ref="K68" authorId="0" shapeId="0">
      <text>
        <t>raw warhead damages: 10000, 5000, 5, 10000, 5000, 5, 10000, 5000, 5, 10000, 5000, 5, 10000, 5, 10000, 5, 10000, 5, 10000, 5
import scales all proportionally</t>
      </text>
    </comment>
    <comment ref="K71" authorId="0" shapeId="0">
      <text>
        <t>raw warhead damages: 2000, 1000, 1, 2000, 1, 2000, 1, 2000, 1
import scales all proportionally</t>
      </text>
    </comment>
    <comment ref="K72" authorId="0" shapeId="0">
      <text>
        <t>raw warhead damages: 2000, 1000, 1, 2000, 1, 2000, 1, 2000, 1
import scales all proportionally</t>
      </text>
    </comment>
    <comment ref="K73" authorId="0" shapeId="0">
      <text>
        <t>raw warhead damages: 2000, 1, 2000, 1, 2000, 1, 2000, 1, 2000, 1
import scales all proportionally</t>
      </text>
    </comment>
    <comment ref="K74" authorId="0" shapeId="0">
      <text>
        <t>raw warhead damages: 2000, 1, 2000, 1, 2000, 1, 2000, 1, 2000, 1
import scales all proportionally</t>
      </text>
    </comment>
    <comment ref="K77" authorId="0" shapeId="0">
      <text>
        <t>raw warhead damages: 2000, 1, 2000, 1, 2000, 1, 2000, 1, 2000, 1000, 1, 2000, 1, 600
import scales all proportionally</t>
      </text>
    </comment>
    <comment ref="K79" authorId="0" shapeId="0">
      <text>
        <t>raw warhead damages: 2000, 1, 2000, 1, 2000, 1, 2000, 1, 2000, 1000, 1, 2000, 1, 600
import scales all proportionally</t>
      </text>
    </comment>
    <comment ref="K82" authorId="0" shapeId="0">
      <text>
        <t>raw warhead damages: 10000, 5, 10000, 5, 10000, 5, 10000, 5
import scales all proportionally</t>
      </text>
    </comment>
    <comment ref="K97" authorId="0" shapeId="0">
      <text>
        <t>raw warhead damages: -2000, -1000, -1
import scales all proportionally</t>
      </text>
    </comment>
  </commentList>
</comments>
</file>

<file path=xl/comments/comment22.xml><?xml version="1.0" encoding="utf-8"?>
<comments xmlns="http://schemas.openxmlformats.org/spreadsheetml/2006/main">
  <authors>
    <author>balance-pipeline</author>
  </authors>
  <commentList>
    <comment ref="K4" authorId="0" shapeId="0">
      <text>
        <t>raw warhead damages: 2000, 1000, 1
import scales all proportionally</t>
      </text>
    </comment>
    <comment ref="K5" authorId="0" shapeId="0">
      <text>
        <t>raw warhead damages: 2000, 1000, 1
import scales all proportionally</t>
      </text>
    </comment>
    <comment ref="K6" authorId="0" shapeId="0">
      <text>
        <t>raw warhead damages: 2000, 1000, 1
import scales all proportionally</t>
      </text>
    </comment>
    <comment ref="K7" authorId="0" shapeId="0">
      <text>
        <t>raw warhead damages: 2000, 1000, 1
import scales all proportionally</t>
      </text>
    </comment>
    <comment ref="K9" authorId="0" shapeId="0">
      <text>
        <t>raw warhead damages: 4000, 2000, 2, 4000, 2, 4000, 2, 4000, 2, 4000, 2, 4000, 2
import scales all proportionally</t>
      </text>
    </comment>
    <comment ref="K10" authorId="0" shapeId="0">
      <text>
        <t>raw warhead damages: 2000, 1, 2000, 1, 2000, 1, 2000, 1, 2000, 1
import scales all proportionally</t>
      </text>
    </comment>
    <comment ref="K11" authorId="0" shapeId="0">
      <text>
        <t>raw warhead damages: 2000, 1, 2000, 1, 2000, 1, 2000, 1, 2000, 1
import scales all proportionally</t>
      </text>
    </comment>
    <comment ref="K13" authorId="0" shapeId="0">
      <text>
        <t>raw warhead damages: 2000, 1000, 1, 2000, 1000, 1
import scales all proportionally</t>
      </text>
    </comment>
    <comment ref="K14" authorId="0" shapeId="0">
      <text>
        <t>raw warhead damages: 2000, 1000, 1, 2000, 1000, 1
import scales all proportionally</t>
      </text>
    </comment>
    <comment ref="K15" authorId="0" shapeId="0">
      <text>
        <t>raw warhead damages: 2000, 1000, 1, 2000, 1000, 1
import scales all proportionally</t>
      </text>
    </comment>
    <comment ref="K16" authorId="0" shapeId="0">
      <text>
        <t>raw warhead damages: 2000, 1000, 1, 2000, 1000, 1
import scales all proportionally</t>
      </text>
    </comment>
    <comment ref="K18" authorId="0" shapeId="0">
      <text>
        <t>raw warhead damages: 2000, 1, 2000, 1
import scales all proportionally</t>
      </text>
    </comment>
    <comment ref="K19" authorId="0" shapeId="0">
      <text>
        <t>raw warhead damages: 2000, 1, 2000, 1
import scales all proportionally</t>
      </text>
    </comment>
    <comment ref="K21" authorId="0" shapeId="0">
      <text>
        <t>raw warhead damages: 2000, 1, 2000, 1, 2000, 1
import scales all proportionally</t>
      </text>
    </comment>
    <comment ref="K22" authorId="0" shapeId="0">
      <text>
        <t>raw warhead damages: 2000, 1, 2000, 1, 2000, 1
import scales all proportionally</t>
      </text>
    </comment>
    <comment ref="K24" authorId="0" shapeId="0">
      <text>
        <t>raw warhead damages: 10000, 5, 10000, 5, 10000, 5
import scales all proportionally</t>
      </text>
    </comment>
    <comment ref="K25" authorId="0" shapeId="0">
      <text>
        <t>raw warhead damages: 10000, 5, 10000, 5, 10000, 5
import scales all proportionally</t>
      </text>
    </comment>
    <comment ref="K27" authorId="0" shapeId="0">
      <text>
        <t>raw warhead damages: 2000, 1, 2000, 1, 2000, 1
import scales all proportionally</t>
      </text>
    </comment>
    <comment ref="K28" authorId="0" shapeId="0">
      <text>
        <t>raw warhead damages: 2000, 1, 2000, 1, 2000, 1
import scales all proportionally</t>
      </text>
    </comment>
    <comment ref="K30" authorId="0" shapeId="0">
      <text>
        <t>raw warhead damages: 2000, 1000, 1, 1000, 1, 2000, 1, 600, 2000, 1000, 1
import scales all proportionally</t>
      </text>
    </comment>
    <comment ref="K31" authorId="0" shapeId="0">
      <text>
        <t>raw warhead damages: -2000, -1000, -1
import scales all proportionally</t>
      </text>
    </comment>
    <comment ref="K32" authorId="0" shapeId="0">
      <text>
        <t>raw warhead damages: 2000, 1000, 1, 1000, 1, 2000, 1, 600, 2000, 1000, 1
import scales all proportionally</t>
      </text>
    </comment>
    <comment ref="K34" authorId="0" shapeId="0">
      <text>
        <t>raw warhead damages: 4000, 2
import scales all proportionally</t>
      </text>
    </comment>
    <comment ref="K35" authorId="0" shapeId="0">
      <text>
        <t>raw warhead damages: 4000, 2
import scales all proportionally</t>
      </text>
    </comment>
    <comment ref="K36" authorId="0" shapeId="0">
      <text>
        <t>raw warhead damages: 4000, 2000, 2, 4000, 2000, 2, 4000, 2
import scales all proportionally</t>
      </text>
    </comment>
    <comment ref="K37" authorId="0" shapeId="0">
      <text>
        <t>raw warhead damages: 4000, 2
import scales all proportionally</t>
      </text>
    </comment>
    <comment ref="K38" authorId="0" shapeId="0">
      <text>
        <t>raw warhead damages: 4000, 2
import scales all proportionally</t>
      </text>
    </comment>
    <comment ref="K39" authorId="0" shapeId="0">
      <text>
        <t>raw warhead damages: 4000, 2000, 2, 4000, 2000, 2, 4000, 2
import scales all proportionally</t>
      </text>
    </comment>
    <comment ref="K41" authorId="0" shapeId="0">
      <text>
        <t>raw warhead damages: 8000, 4000, 4, 8000, 4, 8000, 4, 8000, 4, 8000, 4, 8000, 4
import scales all proportionally</t>
      </text>
    </comment>
    <comment ref="K42" authorId="0" shapeId="0">
      <text>
        <t>raw warhead damages: 4000, 2, 4000, 2, 4000, 2, 4000, 2, 4000, 2
import scales all proportionally</t>
      </text>
    </comment>
    <comment ref="K43" authorId="0" shapeId="0">
      <text>
        <t>raw warhead damages: 4000, 2, 4000, 2, 4000, 2, 4000, 2, 4000, 2
import scales all proportionally</t>
      </text>
    </comment>
    <comment ref="K46" authorId="0" shapeId="0">
      <text>
        <t>raw warhead damages: 2000, 1, 2000, 1
import scales all proportionally</t>
      </text>
    </comment>
    <comment ref="AA46" authorId="0" shapeId="0">
      <text>
        <t>fires when: !lockedon</t>
      </text>
    </comment>
    <comment ref="K47" authorId="0" shapeId="0">
      <text>
        <t>raw warhead damages: 2000, 1, 2000, 1
import scales all proportionally</t>
      </text>
    </comment>
    <comment ref="AA47" authorId="0" shapeId="0">
      <text>
        <t>fires when: lockedon</t>
      </text>
    </comment>
    <comment ref="K49" authorId="0" shapeId="0">
      <text>
        <t>raw warhead damages: 2000, 1000, 1, 2000, 1, 2000, 1
import scales all proportionally</t>
      </text>
    </comment>
    <comment ref="K50" authorId="0" shapeId="0">
      <text>
        <t>raw warhead damages: 2000, 1000, 1, 2000, 1, 2000, 1
import scales all proportionally</t>
      </text>
    </comment>
    <comment ref="K51" authorId="0" shapeId="0">
      <text>
        <t>raw warhead damages: 6000, 3, 6000, 3, 6000, 3, 6000, 3, 6000, 3
import scales all proportionally</t>
      </text>
    </comment>
    <comment ref="K52" authorId="0" shapeId="0">
      <text>
        <t>raw warhead damages: 6000, 3, 6000, 3, 6000, 3, 6000, 3, 6000, 3
import scales all proportionally</t>
      </text>
    </comment>
    <comment ref="K54" authorId="0" shapeId="0">
      <text>
        <t>raw warhead damages: 2000, 1000, 1, 2000, 1, 2000, 1, 2000, 1
import scales all proportionally</t>
      </text>
    </comment>
    <comment ref="K55" authorId="0" shapeId="0">
      <text>
        <t>raw warhead damages: 2000, 1000, 1, 2000, 1, 2000, 1, 2000, 1
import scales all proportionally</t>
      </text>
    </comment>
    <comment ref="K56" authorId="0" shapeId="0">
      <text>
        <t>raw warhead damages: 8000, 4, 8000, 4, 8000, 4, 8000, 4
import scales all proportionally</t>
      </text>
    </comment>
    <comment ref="K57" authorId="0" shapeId="0">
      <text>
        <t>raw warhead damages: 8000, 4, 8000, 4, 8000, 4, 8000, 4
import scales all proportionally</t>
      </text>
    </comment>
    <comment ref="K59" authorId="0" shapeId="0">
      <text>
        <t>raw warhead damages: 2000, 1000, 1, 2000, 1000, 1, 2000, 1000, 1
import scales all proportionally</t>
      </text>
    </comment>
    <comment ref="AA59" authorId="0" shapeId="0">
      <text>
        <t>fires when: undeployed</t>
      </text>
    </comment>
    <comment ref="K60" authorId="0" shapeId="0">
      <text>
        <t>raw warhead damages: 32000, 16, 600
import scales all proportionally</t>
      </text>
    </comment>
    <comment ref="AA60" authorId="0" shapeId="0">
      <text>
        <t>fires when: deployed</t>
      </text>
    </comment>
    <comment ref="K63" authorId="0" shapeId="0">
      <text>
        <t>raw warhead damages: 10000, 5000, 5
import scales all proportionally</t>
      </text>
    </comment>
    <comment ref="K64" authorId="0" shapeId="0">
      <text>
        <t>raw warhead damages: -2000, -1000, -1
import scales all proportionally</t>
      </text>
    </comment>
    <comment ref="K66" authorId="0" shapeId="0">
      <text>
        <t>raw warhead damages: 10000, 5, 10000, 5, 10000, 5
import scales all proportionally</t>
      </text>
    </comment>
    <comment ref="AA66" authorId="0" shapeId="0">
      <text>
        <t>fires when: undeployed</t>
      </text>
    </comment>
    <comment ref="K67" authorId="0" shapeId="0">
      <text>
        <t>raw warhead damages: 10000, 5, 10000, 5, 10000, 5000, 5, 10000, 5000, 5, 10000, 5000, 5, 10000, 5000, 5, 10000, 5000, 5, 10000, 5000, 5, 10000, 5000, 5, 10000, 5000, 5, 10000, 5, 10000, 5, 10000, 5, 10000, 5
import scales all proportionally</t>
      </text>
    </comment>
    <comment ref="AA67" authorId="0" shapeId="0">
      <text>
        <t>fires when: deployed</t>
      </text>
    </comment>
    <comment ref="K69" authorId="0" shapeId="0">
      <text>
        <t>raw warhead damages: 4000, 2, 4000, 2, 4000, 2000, 2, 4000, 2, 4000, 2
import scales all proportionally</t>
      </text>
    </comment>
    <comment ref="K71" authorId="0" shapeId="0">
      <text>
        <t>raw warhead damages: 4000, 2000, 2, 4000, 2, 4000, 2000, 2, 4000, 2
import scales all proportionally</t>
      </text>
    </comment>
    <comment ref="K72" authorId="0" shapeId="0">
      <text>
        <t>raw warhead damages: 4000, 2000, 2, 4000, 2, 4000, 2, 4000, 2
import scales all proportionally</t>
      </text>
    </comment>
    <comment ref="K75" authorId="0" shapeId="0">
      <text>
        <t>raw warhead damages: 4000, 2, 4000, 2, 1000, 4000, 2, 4000, 2, 4000, 2, 4000, 2, 4000, 2000, 2, 4000, 2000, 2, 4000, 2, 600
import scales all proportionally</t>
      </text>
    </comment>
    <comment ref="K76" authorId="0" shapeId="0">
      <text>
        <t>raw warhead damages: 16000, 8, 16000, 8, 1000, 16000, 8, 16000, 8, 16000, 8, 16000, 8, 16000, 8000, 8, 16000, 8000, 8, 16000, 8, 600
import scales all proportionally</t>
      </text>
    </comment>
    <comment ref="AA76" authorId="0" shapeId="0">
      <text>
        <t>fires when: terran_upgrade_yamatocannonandtacticaljumpupgrade</t>
      </text>
    </comment>
    <comment ref="K79" authorId="0" shapeId="0">
      <text>
        <t>raw warhead damages: -2000, -1000, -1
import scales all proportionally</t>
      </text>
    </comment>
    <comment ref="K81" authorId="0" shapeId="0">
      <text>
        <t>raw warhead damages: 6000, 3, 1000, 6000, 3, 6000, 3, 6000, 3, 6000, 3, 6000, 3000, 3, 6000, 3000, 3, 6000, 3, 600
import scales all proportionally</t>
      </text>
    </comment>
    <comment ref="K82" authorId="0" shapeId="0">
      <text>
        <t>raw warhead damages: 16000, 8, 16000, 8, 1000, 16000, 8, 16000, 8, 16000, 8, 16000, 8, 16000, 8000, 8, 16000, 8000, 8, 16000, 8, 600
import scales all proportionally</t>
      </text>
    </comment>
    <comment ref="AA82" authorId="0" shapeId="0">
      <text>
        <t>fires when: terran_upgrade_yamatocannonandtacticaljumpupgrade</t>
      </text>
    </comment>
    <comment ref="K84" authorId="0" shapeId="0">
      <text>
        <t>raw warhead damages: 2000, 1, 2000, 1
import scales all proportionally</t>
      </text>
    </comment>
    <comment ref="K86" authorId="0" shapeId="0">
      <text>
        <t>raw warhead damages: -2000, -1000, -1
import scales all proportionally</t>
      </text>
    </comment>
    <comment ref="K90" authorId="0" shapeId="0">
      <text>
        <t>raw warhead damages: 100000, 50000, 50
import scales all proportionally</t>
      </text>
    </comment>
    <comment ref="K92" authorId="0" shapeId="0">
      <text>
        <t>raw warhead damages: 16000, 8, 600
import scales all proportionally</t>
      </text>
    </comment>
    <comment ref="K93" authorId="0" shapeId="0">
      <text>
        <t>raw warhead damages: 2000, 1, 2000, 1, 2000, 1, 2000, 1, 2000, 1
import scales all proportionally</t>
      </text>
    </comment>
    <comment ref="K94" authorId="0" shapeId="0">
      <text>
        <t>raw warhead damages: 2000, 1, 2000, 1, 2000, 1, 2000, 1, 2000, 1
import scales all proportionally</t>
      </text>
    </comment>
    <comment ref="K96" authorId="0" shapeId="0">
      <text>
        <t>raw warhead damages: 2000, 1, 2000, 1, 2000, 1, 2000, 1
import scales all proportionally</t>
      </text>
    </comment>
    <comment ref="K97" authorId="0" shapeId="0">
      <text>
        <t>raw warhead damages: 2000, 1, 2000, 1, 2000, 1, 2000, 1
import scales all proportionally</t>
      </text>
    </comment>
    <comment ref="K99" authorId="0" shapeId="0">
      <text>
        <t>raw warhead damages: 16000, 8, 600
import scales all proportionally</t>
      </text>
    </comment>
    <comment ref="K100" authorId="0" shapeId="0">
      <text>
        <t>raw warhead damages: 2000, 1, 2000, 1, 2000, 1, 2000, 1, 2000, 1
import scales all proportionally</t>
      </text>
    </comment>
    <comment ref="K101" authorId="0" shapeId="0">
      <text>
        <t>raw warhead damages: 2000, 1, 2000, 1, 2000, 1, 2000, 1, 2000, 1
import scales all proportionally</t>
      </text>
    </comment>
    <comment ref="K103" authorId="0" shapeId="0">
      <text>
        <t>raw warhead damages: 2000, 1000, 1, 2000, 1000, 1, 2000, 1, 2000, 1, 2000, 1, 2000, 1, 2000, 1, 2000, 1
import scales all proportionally</t>
      </text>
    </comment>
    <comment ref="K104" authorId="0" shapeId="0">
      <text>
        <t>raw warhead damages: 2000, 1000, 1, 2000, 1000, 1, 2000, 1, 2000, 1, 2000, 1, 2000, 1, 2000, 1, 2000, 1
import scales all proportionally</t>
      </text>
    </comment>
    <comment ref="K109" authorId="0" shapeId="0">
      <text>
        <t>raw warhead damages: 4000, 2, 4000, 2, 4000, 2, 4000, 2, 4000, 2
import scales all proportionally</t>
      </text>
    </comment>
    <comment ref="K110" authorId="0" shapeId="0">
      <text>
        <t>raw warhead damages: 4000, 2, 4000, 2, 4000, 2, 4000, 2, 4000, 2
import scales all proportionally</t>
      </text>
    </comment>
    <comment ref="K112" authorId="0" shapeId="0">
      <text>
        <t>raw warhead damages: 2000, 1, 2000, 1, 2000, 1, 2000, 1, 600
import scales all proportionally</t>
      </text>
    </comment>
    <comment ref="AA112" authorId="0" shapeId="0">
      <text>
        <t>fires when: !schwarzermond_upgrade_crystallens</t>
      </text>
    </comment>
  </commentList>
</comments>
</file>

<file path=xl/comments/comment23.xml><?xml version="1.0" encoding="utf-8"?>
<comments xmlns="http://schemas.openxmlformats.org/spreadsheetml/2006/main">
  <authors>
    <author>balance-pipeline</author>
  </authors>
  <commentList>
    <comment ref="K4" authorId="0" shapeId="0">
      <text>
        <t>raw warhead damages: 30000, 15000, 15
import scales all proportionally</t>
      </text>
    </comment>
    <comment ref="K6" authorId="0" shapeId="0">
      <text>
        <t>raw warhead damages: 2000, 1000, 1, 2000, 1, 2000, 1, 2000, 1
import scales all proportionally</t>
      </text>
    </comment>
    <comment ref="K7" authorId="0" shapeId="0">
      <text>
        <t>raw warhead damages: 2000, 1000, 1, 2000, 1, 2000, 1, 2000, 1
import scales all proportionally</t>
      </text>
    </comment>
    <comment ref="K11" authorId="0" shapeId="0">
      <text>
        <t>raw warhead damages: 40000, 20000, 20
import scales all proportionally</t>
      </text>
    </comment>
    <comment ref="K13" authorId="0" shapeId="0">
      <text>
        <t>raw warhead damages: 4000, 2000, 2
import scales all proportionally</t>
      </text>
    </comment>
    <comment ref="K15" authorId="0" shapeId="0">
      <text>
        <t>raw warhead damages: 2000, 1, 2000, 1, 2000, 1
import scales all proportionally</t>
      </text>
    </comment>
    <comment ref="K16" authorId="0" shapeId="0">
      <text>
        <t>raw warhead damages: 2000, 1, 2000, 1, 2000, 1
import scales all proportionally</t>
      </text>
    </comment>
    <comment ref="K18" authorId="0" shapeId="0">
      <text>
        <t>raw warhead damages: 2000, 1000, 1, 2000, 1000, 1, 2000, 1000, 1, 2000, 1000, 1, 2000, 1, 2000, 1, 2000, 1, 2000, 1
import scales all proportionally</t>
      </text>
    </comment>
    <comment ref="K20" authorId="0" shapeId="0">
      <text>
        <t>raw warhead damages: 6000, 3000, 3
import scales all proportionally</t>
      </text>
    </comment>
    <comment ref="K22" authorId="0" shapeId="0">
      <text>
        <t>raw warhead damages: 40000, 20000, 20
import scales all proportionally</t>
      </text>
    </comment>
    <comment ref="K24" authorId="0" shapeId="0">
      <text>
        <t>raw warhead damages: 2000, 1000, 1
import scales all proportionally</t>
      </text>
    </comment>
    <comment ref="K27" authorId="0" shapeId="0">
      <text>
        <t>raw warhead damages: 10000, 5000, 5
import scales all proportionally</t>
      </text>
    </comment>
    <comment ref="K29" authorId="0" shapeId="0">
      <text>
        <t>raw warhead damages: 30000, 15000, 15
import scales all proportionally</t>
      </text>
    </comment>
    <comment ref="K32" authorId="0" shapeId="0">
      <text>
        <t>raw warhead damages: 2000, 1000, 1, 2000, 1000, 1, 2000, 1, 2000, 1, 2000, 1, 2000, 1
import scales all proportionally</t>
      </text>
    </comment>
    <comment ref="AA34" authorId="0" shapeId="0">
      <text>
        <t>fires when: !deployed</t>
      </text>
    </comment>
    <comment ref="AA35" authorId="0" shapeId="0">
      <text>
        <t>fires when: deployed || undeployed</t>
      </text>
    </comment>
    <comment ref="K37" authorId="0" shapeId="0">
      <text>
        <t>raw warhead damages: 2000, 1, 2000, 1, 2000, 1, 2000, 1000, 1, 2000, 1000, 1, 2000, 1, 2000, 1, 2000, 1, 2000, 1
import scales all proportionally</t>
      </text>
    </comment>
    <comment ref="K38" authorId="0" shapeId="0">
      <text>
        <t>raw warhead damages: 2000, 1, 2000, 1, 2000, 1, 2000, 1000, 1, 2000, 1000, 1, 2000, 1, 2000, 1, 2000, 1, 2000, 1
import scales all proportionally</t>
      </text>
    </comment>
    <comment ref="K41" authorId="0" shapeId="0">
      <text>
        <t>raw warhead damages: 2000, 1000, 1, 2000, 1000, 1, 2000, 1, 2000, 1000, 1, 2000, 1000, 1, 2000, 1
import scales all proportionally</t>
      </text>
    </comment>
    <comment ref="K43" authorId="0" shapeId="0">
      <text>
        <t>raw warhead damages: -2000, -1000, -1
import scales all proportionally</t>
      </text>
    </comment>
    <comment ref="K45" authorId="0" shapeId="0">
      <text>
        <t>raw warhead damages: 10000, 5000, 5
import scales all proportionally</t>
      </text>
    </comment>
    <comment ref="K47" authorId="0" shapeId="0">
      <text>
        <t>raw warhead damages: 8000, 4000, 4, 20000, 10000, 10, 8000, 4, 8000, 4
import scales all proportionally</t>
      </text>
    </comment>
    <comment ref="K49" authorId="0" shapeId="0">
      <text>
        <t>raw warhead damages: 2000, 1000, 1, 2000, 1, 2000, 1000, 1, 1000, 1, 2000, 1000, 1, 2000, 1, 600
import scales all proportionally</t>
      </text>
    </comment>
    <comment ref="K51" authorId="0" shapeId="0">
      <text>
        <t>raw warhead damages: 14000, 7000, 7
import scales all proportionally</t>
      </text>
    </comment>
    <comment ref="K53" authorId="0" shapeId="0">
      <text>
        <t>raw warhead damages: 8000, 4000, 4, 8000, 4000, 4, 8000, 4
import scales all proportionally</t>
      </text>
    </comment>
    <comment ref="K55" authorId="0" shapeId="0">
      <text>
        <t>raw warhead damages: 8000, 4000, 4, 8000, 4000, 4, 8000, 4, 8000, 4
import scales all proportionally</t>
      </text>
    </comment>
    <comment ref="K58" authorId="0" shapeId="0">
      <text>
        <t>raw warhead damages: 10000, 5000, 5, 10000, 5
import scales all proportionally</t>
      </text>
    </comment>
    <comment ref="K60" authorId="0" shapeId="0">
      <text>
        <t>raw warhead damages: 50000, 25, 50000, 25000, 25, 50000, 25000, 25
import scales all proportionally</t>
      </text>
    </comment>
    <comment ref="K63" authorId="0" shapeId="0">
      <text>
        <t>raw warhead damages: 6000, 3, 1000, 6000, 3, 6000, 3, 6000, 3000, 3
import scales all proportionally</t>
      </text>
    </comment>
    <comment ref="AA63" authorId="0" shapeId="0">
      <text>
        <t>fires when: sunken</t>
      </text>
    </comment>
    <comment ref="K64" authorId="0" shapeId="0">
      <text>
        <t>raw warhead damages: 12000, 6, 12000, 6, 12000, 6
import scales all proportionally</t>
      </text>
    </comment>
    <comment ref="AA64" authorId="0" shapeId="0">
      <text>
        <t>fires when: spore</t>
      </text>
    </comment>
    <comment ref="K66" authorId="0" shapeId="0">
      <text>
        <t>raw warhead damages: 6000, 3, 1000, 6000, 3, 6000, 3, 6000, 3000, 3
import scales all proportionally</t>
      </text>
    </comment>
    <comment ref="AA66" authorId="0" shapeId="0">
      <text>
        <t>fires when: sunken</t>
      </text>
    </comment>
    <comment ref="K67" authorId="0" shapeId="0">
      <text>
        <t>raw warhead damages: 12000, 6, 12000, 6, 12000, 6
import scales all proportionally</t>
      </text>
    </comment>
    <comment ref="AA67" authorId="0" shapeId="0">
      <text>
        <t>fires when: spore</t>
      </text>
    </comment>
    <comment ref="K69" authorId="0" shapeId="0">
      <text>
        <t>raw warhead damages: 6000, 3, 1000, 6000, 3, 6000, 3, 6000, 3000, 3
import scales all proportionally</t>
      </text>
    </comment>
    <comment ref="AA69" authorId="0" shapeId="0">
      <text>
        <t>fires when: sunken</t>
      </text>
    </comment>
    <comment ref="K70" authorId="0" shapeId="0">
      <text>
        <t>raw warhead damages: 12000, 6, 12000, 6, 12000, 6
import scales all proportionally</t>
      </text>
    </comment>
    <comment ref="AA70" authorId="0" shapeId="0">
      <text>
        <t>fires when: spore</t>
      </text>
    </comment>
    <comment ref="K72" authorId="0" shapeId="0">
      <text>
        <t>raw warhead damages: 6000, 3, 1000, 6000, 3, 6000, 3, 6000, 3000, 3
import scales all proportionally</t>
      </text>
    </comment>
    <comment ref="AA72" authorId="0" shapeId="0">
      <text>
        <t>fires when: sunken</t>
      </text>
    </comment>
    <comment ref="K73" authorId="0" shapeId="0">
      <text>
        <t>raw warhead damages: 12000, 6, 12000, 6, 12000, 6
import scales all proportionally</t>
      </text>
    </comment>
    <comment ref="AA73" authorId="0" shapeId="0">
      <text>
        <t>fires when: spore</t>
      </text>
    </comment>
  </commentList>
</comments>
</file>

<file path=xl/comments/comment24.xml><?xml version="1.0" encoding="utf-8"?>
<comments xmlns="http://schemas.openxmlformats.org/spreadsheetml/2006/main">
  <authors>
    <author>balance-pipeline</author>
  </authors>
  <commentList>
    <comment ref="K4" authorId="0" shapeId="0">
      <text>
        <t>raw warhead damages: 2000, 1
import scales all proportionally</t>
      </text>
    </comment>
    <comment ref="AA4" authorId="0" shapeId="0">
      <text>
        <t>fires when: !td_gdi_upgrade_armorpiercingbullets</t>
      </text>
    </comment>
    <comment ref="K5" authorId="0" shapeId="0">
      <text>
        <t>raw warhead damages: 2000, 1
import scales all proportionally</t>
      </text>
    </comment>
    <comment ref="AA5" authorId="0" shapeId="0">
      <text>
        <t>fires when: !td_gdi_upgrade_armorpiercingbullets</t>
      </text>
    </comment>
    <comment ref="K6" authorId="0" shapeId="0">
      <text>
        <t>raw warhead damages: 4000, 2
import scales all proportionally</t>
      </text>
    </comment>
    <comment ref="AA6" authorId="0" shapeId="0">
      <text>
        <t>fires when: td_gdi_upgrade_armorpiercingbullets</t>
      </text>
    </comment>
    <comment ref="K7" authorId="0" shapeId="0">
      <text>
        <t>raw warhead damages: 4000, 2
import scales all proportionally</t>
      </text>
    </comment>
    <comment ref="AA7" authorId="0" shapeId="0">
      <text>
        <t>fires when: td_gdi_upgrade_armorpiercingbullets</t>
      </text>
    </comment>
    <comment ref="K9" authorId="0" shapeId="0">
      <text>
        <t>raw warhead damages: 18000, 9
import scales all proportionally</t>
      </text>
    </comment>
    <comment ref="AA9" authorId="0" shapeId="0">
      <text>
        <t>fires when: !td_gdi_upgrade_advancedmissiletargeting</t>
      </text>
    </comment>
    <comment ref="K10" authorId="0" shapeId="0">
      <text>
        <t>raw warhead damages: 18000, 9
import scales all proportionally</t>
      </text>
    </comment>
    <comment ref="AA10" authorId="0" shapeId="0">
      <text>
        <t>fires when: !td_gdi_upgrade_advancedmissiletargeting</t>
      </text>
    </comment>
    <comment ref="K11" authorId="0" shapeId="0">
      <text>
        <t>raw warhead damages: 18000, 9
import scales all proportionally</t>
      </text>
    </comment>
    <comment ref="AA11" authorId="0" shapeId="0">
      <text>
        <t>fires when: td_gdi_upgrade_advancedmissiletargeting</t>
      </text>
    </comment>
    <comment ref="K12" authorId="0" shapeId="0">
      <text>
        <t>raw warhead damages: 18000, 9
import scales all proportionally</t>
      </text>
    </comment>
    <comment ref="AA12" authorId="0" shapeId="0">
      <text>
        <t>fires when: td_gdi_upgrade_advancedmissiletargeting</t>
      </text>
    </comment>
    <comment ref="K16" authorId="0" shapeId="0">
      <text>
        <t>raw warhead damages: 40000, 20
import scales all proportionally</t>
      </text>
    </comment>
    <comment ref="AA16" authorId="0" shapeId="0">
      <text>
        <t>fires when: !td_gdi_upgrade_armorpiercingbullets</t>
      </text>
    </comment>
    <comment ref="K17" authorId="0" shapeId="0">
      <text>
        <t>raw warhead damages: 40000, 20
import scales all proportionally</t>
      </text>
    </comment>
    <comment ref="AA17" authorId="0" shapeId="0">
      <text>
        <t>fires when: !td_gdi_upgrade_armorpiercingbullets</t>
      </text>
    </comment>
    <comment ref="K18" authorId="0" shapeId="0">
      <text>
        <t>raw warhead damages: 20000, 10, 1000, 20000, 10
import scales all proportionally</t>
      </text>
    </comment>
    <comment ref="AA18" authorId="0" shapeId="0">
      <text>
        <t>fires when: td_gdi_upgrade_armorpiercingbullets</t>
      </text>
    </comment>
    <comment ref="K19" authorId="0" shapeId="0">
      <text>
        <t>raw warhead damages: 20000, 10, 1000, 20000, 10
import scales all proportionally</t>
      </text>
    </comment>
    <comment ref="AA19" authorId="0" shapeId="0">
      <text>
        <t>fires when: td_gdi_upgrade_armorpiercingbullets</t>
      </text>
    </comment>
    <comment ref="K21" authorId="0" shapeId="0">
      <text>
        <t>raw warhead damages: 8000, 4000, 4, 8000, 4000, 4, 8000, 4000, 4, 8000, 4000, 4, 8000, 4, 8000, 4, 8000, 4, 8000, 4
import scales all proportionally</t>
      </text>
    </comment>
    <comment ref="K22" authorId="0" shapeId="0">
      <text>
        <t>raw warhead damages: 8000, 4000, 4, 8000, 4000, 4, 8000, 4000, 4, 8000, 4000, 4, 8000, 4, 8000, 4, 8000, 4, 8000, 4
import scales all proportionally</t>
      </text>
    </comment>
    <comment ref="K24" authorId="0" shapeId="0">
      <text>
        <t>raw warhead damages: 16000, 8000, 8
import scales all proportionally</t>
      </text>
    </comment>
    <comment ref="K25" authorId="0" shapeId="0">
      <text>
        <t>raw warhead damages: 16000, 8000, 8
import scales all proportionally</t>
      </text>
    </comment>
    <comment ref="K27" authorId="0" shapeId="0">
      <text>
        <t>raw warhead damages: 20000, 10, 20000, 10
import scales all proportionally</t>
      </text>
    </comment>
    <comment ref="K28" authorId="0" shapeId="0">
      <text>
        <t>raw warhead damages: 20000, 10, 20000, 10
import scales all proportionally</t>
      </text>
    </comment>
    <comment ref="K29" authorId="0" shapeId="0">
      <text>
        <t>raw warhead damages: 20000, 10000, 10, 20000, 10000, 10
import scales all proportionally</t>
      </text>
    </comment>
    <comment ref="K30" authorId="0" shapeId="0">
      <text>
        <t>raw warhead damages: 4000, 2, 4000, 2
import scales all proportionally</t>
      </text>
    </comment>
    <comment ref="K31" authorId="0" shapeId="0">
      <text>
        <t>raw warhead damages: 20000, 10, 20000, 10
import scales all proportionally</t>
      </text>
    </comment>
    <comment ref="K32" authorId="0" shapeId="0">
      <text>
        <t>raw warhead damages: 20000, 10, 20000, 10
import scales all proportionally</t>
      </text>
    </comment>
    <comment ref="K33" authorId="0" shapeId="0">
      <text>
        <t>raw warhead damages: 20000, 10000, 10, 20000, 10000, 10
import scales all proportionally</t>
      </text>
    </comment>
    <comment ref="K34" authorId="0" shapeId="0">
      <text>
        <t>raw warhead damages: 4000, 2, 4000, 2
import scales all proportionally</t>
      </text>
    </comment>
    <comment ref="K37" authorId="0" shapeId="0">
      <text>
        <t>raw warhead damages: 8000, 4, 8000, 4000, 4, 8000, 4, 8000, 4
import scales all proportionally</t>
      </text>
    </comment>
    <comment ref="K38" authorId="0" shapeId="0">
      <text>
        <t>raw warhead damages: 8000, 4, 8000, 4000, 4, 8000, 4, 8000, 4
import scales all proportionally</t>
      </text>
    </comment>
    <comment ref="K40" authorId="0" shapeId="0">
      <text>
        <t>raw warhead damages: 2000, 1
import scales all proportionally</t>
      </text>
    </comment>
    <comment ref="AA40" authorId="0" shapeId="0">
      <text>
        <t>fires when: !td_gdi_upgrade_armorpiercingbullets</t>
      </text>
    </comment>
    <comment ref="K41" authorId="0" shapeId="0">
      <text>
        <t>raw warhead damages: 2000, 1
import scales all proportionally</t>
      </text>
    </comment>
    <comment ref="AA41" authorId="0" shapeId="0">
      <text>
        <t>fires when: !td_gdi_upgrade_armorpiercingbullets</t>
      </text>
    </comment>
    <comment ref="K42" authorId="0" shapeId="0">
      <text>
        <t>raw warhead damages: 4000, 2
import scales all proportionally</t>
      </text>
    </comment>
    <comment ref="AA42" authorId="0" shapeId="0">
      <text>
        <t>fires when: td_gdi_upgrade_armorpiercingbullets</t>
      </text>
    </comment>
    <comment ref="K43" authorId="0" shapeId="0">
      <text>
        <t>raw warhead damages: 4000, 2
import scales all proportionally</t>
      </text>
    </comment>
    <comment ref="AA43" authorId="0" shapeId="0">
      <text>
        <t>fires when: td_gdi_upgrade_armorpiercingbullets</t>
      </text>
    </comment>
    <comment ref="K45" authorId="0" shapeId="0">
      <text>
        <t>raw warhead damages: 2000, 1, 2000, 1
import scales all proportionally</t>
      </text>
    </comment>
    <comment ref="AA45" authorId="0" shapeId="0">
      <text>
        <t>fires when: !td_gdi_upgrade_armorpiercingbullets</t>
      </text>
    </comment>
    <comment ref="K46" authorId="0" shapeId="0">
      <text>
        <t>raw warhead damages: 2000, 1, 2000, 1
import scales all proportionally</t>
      </text>
    </comment>
    <comment ref="AA46" authorId="0" shapeId="0">
      <text>
        <t>fires when: !td_gdi_upgrade_armorpiercingbullets</t>
      </text>
    </comment>
    <comment ref="K47" authorId="0" shapeId="0">
      <text>
        <t>raw warhead damages: 4000, 2
import scales all proportionally</t>
      </text>
    </comment>
    <comment ref="AA47" authorId="0" shapeId="0">
      <text>
        <t>fires when: td_gdi_upgrade_armorpiercingbullets</t>
      </text>
    </comment>
    <comment ref="K48" authorId="0" shapeId="0">
      <text>
        <t>raw warhead damages: 4000, 2
import scales all proportionally</t>
      </text>
    </comment>
    <comment ref="AA48" authorId="0" shapeId="0">
      <text>
        <t>fires when: td_gdi_upgrade_armorpiercingbullets</t>
      </text>
    </comment>
    <comment ref="K50" authorId="0" shapeId="0">
      <text>
        <t>raw warhead damages: 18000, 9
import scales all proportionally</t>
      </text>
    </comment>
    <comment ref="AA50" authorId="0" shapeId="0">
      <text>
        <t>fires when: !td_gdi_upgrade_advancedmissiletargeting</t>
      </text>
    </comment>
    <comment ref="K51" authorId="0" shapeId="0">
      <text>
        <t>raw warhead damages: 18000, 9
import scales all proportionally</t>
      </text>
    </comment>
    <comment ref="AA51" authorId="0" shapeId="0">
      <text>
        <t>fires when: !td_gdi_upgrade_advancedmissiletargeting</t>
      </text>
    </comment>
    <comment ref="K52" authorId="0" shapeId="0">
      <text>
        <t>raw warhead damages: 18000, 9
import scales all proportionally</t>
      </text>
    </comment>
    <comment ref="AA52" authorId="0" shapeId="0">
      <text>
        <t>fires when: td_gdi_upgrade_advancedmissiletargeting</t>
      </text>
    </comment>
    <comment ref="K53" authorId="0" shapeId="0">
      <text>
        <t>raw warhead damages: 18000, 9
import scales all proportionally</t>
      </text>
    </comment>
    <comment ref="AA53" authorId="0" shapeId="0">
      <text>
        <t>fires when: td_gdi_upgrade_advancedmissiletargeting</t>
      </text>
    </comment>
    <comment ref="K55" authorId="0" shapeId="0">
      <text>
        <t>raw warhead damages: 2000, 1, 2000, 1
import scales all proportionally</t>
      </text>
    </comment>
    <comment ref="K56" authorId="0" shapeId="0">
      <text>
        <t>raw warhead damages: 2000, 1, 2000, 1
import scales all proportionally</t>
      </text>
    </comment>
    <comment ref="K58" authorId="0" shapeId="0">
      <text>
        <t>raw warhead damages: 10000, 5, 10000, 5000, 5, 10000, 5000, 5, 10000, 5, 1000, 10000, 5
import scales all proportionally</t>
      </text>
    </comment>
    <comment ref="K59" authorId="0" shapeId="0">
      <text>
        <t>raw warhead damages: 10000, 5, 10000, 5000, 5, 10000, 5000, 5, 10000, 5, 1000, 10000, 5
import scales all proportionally</t>
      </text>
    </comment>
    <comment ref="K62" authorId="0" shapeId="0">
      <text>
        <t>raw warhead damages: 2000, 1, 2000, 1
import scales all proportionally</t>
      </text>
    </comment>
    <comment ref="K63" authorId="0" shapeId="0">
      <text>
        <t>raw warhead damages: 2000, 1, 2000, 1
import scales all proportionally</t>
      </text>
    </comment>
    <comment ref="K65" authorId="0" shapeId="0">
      <text>
        <t>raw warhead damages: 14000, 7, 14000, 7, 14000, 7000, 7, 14000, 7000, 7, 14000, 7
import scales all proportionally</t>
      </text>
    </comment>
    <comment ref="K67" authorId="0" shapeId="0">
      <text>
        <t>raw warhead damages: 2000, 1
import scales all proportionally</t>
      </text>
    </comment>
    <comment ref="AA67" authorId="0" shapeId="0">
      <text>
        <t>fires when: !td_gdi_upgrade_armorpiercingbullets</t>
      </text>
    </comment>
    <comment ref="K68" authorId="0" shapeId="0">
      <text>
        <t>raw warhead damages: 2000, 1
import scales all proportionally</t>
      </text>
    </comment>
    <comment ref="AA68" authorId="0" shapeId="0">
      <text>
        <t>fires when: !td_gdi_upgrade_armorpiercingbullets</t>
      </text>
    </comment>
    <comment ref="K69" authorId="0" shapeId="0">
      <text>
        <t>raw warhead damages: 2000, 1
import scales all proportionally</t>
      </text>
    </comment>
    <comment ref="AA69" authorId="0" shapeId="0">
      <text>
        <t>fires when: td_gdi_upgrade_armorpiercingbullets</t>
      </text>
    </comment>
    <comment ref="K70" authorId="0" shapeId="0">
      <text>
        <t>raw warhead damages: 2000, 1
import scales all proportionally</t>
      </text>
    </comment>
    <comment ref="AA70" authorId="0" shapeId="0">
      <text>
        <t>fires when: td_gdi_upgrade_armorpiercingbullets</t>
      </text>
    </comment>
    <comment ref="K72" authorId="0" shapeId="0">
      <text>
        <t>raw warhead damages: 8000, 4
import scales all proportionally</t>
      </text>
    </comment>
    <comment ref="AA72" authorId="0" shapeId="0">
      <text>
        <t>fires when: !td_gdi_upgrade_highvelocitycannons</t>
      </text>
    </comment>
    <comment ref="K73" authorId="0" shapeId="0">
      <text>
        <t>raw warhead damages: 16000, 8
import scales all proportionally</t>
      </text>
    </comment>
    <comment ref="AA73" authorId="0" shapeId="0">
      <text>
        <t>fires when: td_gdi_upgrade_highvelocitycannons</t>
      </text>
    </comment>
    <comment ref="K74" authorId="0" shapeId="0">
      <text>
        <t>raw warhead damages: 8000, 4
import scales all proportionally</t>
      </text>
    </comment>
    <comment ref="AA74" authorId="0" shapeId="0">
      <text>
        <t>fires when: !td_gdi_upgrade_advancedmissiletargeting</t>
      </text>
    </comment>
    <comment ref="K75" authorId="0" shapeId="0">
      <text>
        <t>raw warhead damages: 8000, 4
import scales all proportionally</t>
      </text>
    </comment>
    <comment ref="AA75" authorId="0" shapeId="0">
      <text>
        <t>fires when: td_gdi_upgrade_advancedmissiletargeting</t>
      </text>
    </comment>
    <comment ref="K76" authorId="0" shapeId="0">
      <text>
        <t>raw warhead damages: 2000, 1
import scales all proportionally</t>
      </text>
    </comment>
    <comment ref="AA76" authorId="0" shapeId="0">
      <text>
        <t>fires when: td_gdi_upgrade_armorpiercingbullets</t>
      </text>
    </comment>
    <comment ref="K78" authorId="0" shapeId="0">
      <text>
        <t>raw warhead damages: 2000, 1, 2000, 1, 2000, 1000, 1, 2000, 1, 2000, 1, 2000, 1
import scales all proportionally</t>
      </text>
    </comment>
    <comment ref="K79" authorId="0" shapeId="0">
      <text>
        <t>raw warhead damages: 2000, 1, 2000, 1, 2000, 1000, 1, 2000, 1, 2000, 1, 2000, 1
import scales all proportionally</t>
      </text>
    </comment>
    <comment ref="K81" authorId="0" shapeId="0">
      <text>
        <t>raw warhead damages: 2000, 1, 600
import scales all proportionally</t>
      </text>
    </comment>
    <comment ref="AA81" authorId="0" shapeId="0">
      <text>
        <t>fires when: undeployed</t>
      </text>
    </comment>
    <comment ref="K82" authorId="0" shapeId="0">
      <text>
        <t>raw warhead damages: 2000, 1, 600
import scales all proportionally</t>
      </text>
    </comment>
    <comment ref="AA82" authorId="0" shapeId="0">
      <text>
        <t>fires when: deployed</t>
      </text>
    </comment>
    <comment ref="K83" authorId="0" shapeId="0">
      <text>
        <t>raw warhead damages: -2000, -1000, -1
import scales all proportionally</t>
      </text>
    </comment>
    <comment ref="AA83" authorId="0" shapeId="0">
      <text>
        <t>fires when: undeployed</t>
      </text>
    </comment>
    <comment ref="K84" authorId="0" shapeId="0">
      <text>
        <t>raw warhead damages: -2000, -1000, -1
import scales all proportionally</t>
      </text>
    </comment>
    <comment ref="AA84" authorId="0" shapeId="0">
      <text>
        <t>fires when: deployed</t>
      </text>
    </comment>
    <comment ref="K85" authorId="0" shapeId="0">
      <text>
        <t>raw warhead damages: 4000, 2, 4000, 2, 4000, 1000, 2, 4000, 2, 4000, 2, 4000, 2
import scales all proportionally</t>
      </text>
    </comment>
    <comment ref="AA85" authorId="0" shapeId="0">
      <text>
        <t>fires when: undeployed</t>
      </text>
    </comment>
    <comment ref="K86" authorId="0" shapeId="0">
      <text>
        <t>raw warhead damages: 4000, 2, 4000, 2, 4000, 1000, 2, 4000, 2, 4000, 2, 4000, 2
import scales all proportionally</t>
      </text>
    </comment>
    <comment ref="AA86" authorId="0" shapeId="0">
      <text>
        <t>fires when: deployed</t>
      </text>
    </comment>
    <comment ref="K87" authorId="0" shapeId="0">
      <text>
        <t>raw warhead damages: 160000, 80, 1000
import scales all proportionally</t>
      </text>
    </comment>
    <comment ref="AA87" authorId="0" shapeId="0">
      <text>
        <t>fires when: deployed</t>
      </text>
    </comment>
    <comment ref="K88" authorId="0" shapeId="0">
      <text>
        <t>raw warhead damages: 8000, 4, 8000, 4000, 4, 8000, 4, 8000, 4
import scales all proportionally</t>
      </text>
    </comment>
    <comment ref="AA88" authorId="0" shapeId="0">
      <text>
        <t>fires when: !td_gdi_upgrade_advancedmissiletargeting &amp;&amp; deployed</t>
      </text>
    </comment>
    <comment ref="K89" authorId="0" shapeId="0">
      <text>
        <t>raw warhead damages: 8000, 4, 8000, 4000, 4, 8000, 4, 8000, 4
import scales all proportionally</t>
      </text>
    </comment>
    <comment ref="AA89" authorId="0" shapeId="0">
      <text>
        <t>fires when: td_gdi_upgrade_advancedmissiletargeting &amp;&amp; deployed</t>
      </text>
    </comment>
    <comment ref="K91" authorId="0" shapeId="0">
      <text>
        <t>raw warhead damages: 20000, 10, 1000
import scales all proportionally</t>
      </text>
    </comment>
    <comment ref="K93" authorId="0" shapeId="0">
      <text>
        <t>raw warhead damages: 6000, 3
import scales all proportionally</t>
      </text>
    </comment>
    <comment ref="AA93" authorId="0" shapeId="0">
      <text>
        <t>fires when: !td_gdi_upgrade_armorpiercingbullets</t>
      </text>
    </comment>
    <comment ref="K94" authorId="0" shapeId="0">
      <text>
        <t>raw warhead damages: 6000, 3
import scales all proportionally</t>
      </text>
    </comment>
    <comment ref="AA94" authorId="0" shapeId="0">
      <text>
        <t>fires when: td_gdi_upgrade_armorpiercingbullets</t>
      </text>
    </comment>
    <comment ref="K96" authorId="0" shapeId="0">
      <text>
        <t>raw warhead damages: 2000, 1
import scales all proportionally</t>
      </text>
    </comment>
    <comment ref="AA96" authorId="0" shapeId="0">
      <text>
        <t>fires when: !td_gdi_upgrade_armorpiercingbullets</t>
      </text>
    </comment>
    <comment ref="K97" authorId="0" shapeId="0">
      <text>
        <t>raw warhead damages: 2000, 1
import scales all proportionally</t>
      </text>
    </comment>
    <comment ref="AA97" authorId="0" shapeId="0">
      <text>
        <t>fires when: td_gdi_upgrade_armorpiercingbullets</t>
      </text>
    </comment>
    <comment ref="K98" authorId="0" shapeId="0">
      <text>
        <t>raw warhead damages: 2000, 1
import scales all proportionally</t>
      </text>
    </comment>
    <comment ref="AA98" authorId="0" shapeId="0">
      <text>
        <t>fires when: !td_gdi_upgrade_armorpiercingbullets</t>
      </text>
    </comment>
    <comment ref="K99" authorId="0" shapeId="0">
      <text>
        <t>raw warhead damages: 2000, 1
import scales all proportionally</t>
      </text>
    </comment>
    <comment ref="AA99" authorId="0" shapeId="0">
      <text>
        <t>fires when: td_gdi_upgrade_armorpiercingbullets</t>
      </text>
    </comment>
    <comment ref="K100" authorId="0" shapeId="0">
      <text>
        <t>raw warhead damages: 16000, 8
import scales all proportionally</t>
      </text>
    </comment>
    <comment ref="AA100" authorId="0" shapeId="0">
      <text>
        <t>fires when: !td_gdi_upgrade_advancedmissiletargeting</t>
      </text>
    </comment>
    <comment ref="K101" authorId="0" shapeId="0">
      <text>
        <t>raw warhead damages: 16000, 8
import scales all proportionally</t>
      </text>
    </comment>
    <comment ref="AA101" authorId="0" shapeId="0">
      <text>
        <t>fires when: !td_gdi_upgrade_advancedmissiletargeting</t>
      </text>
    </comment>
    <comment ref="K102" authorId="0" shapeId="0">
      <text>
        <t>raw warhead damages: 16000, 8, 16000, 8
import scales all proportionally</t>
      </text>
    </comment>
    <comment ref="AA102" authorId="0" shapeId="0">
      <text>
        <t>fires when: td_gdi_upgrade_advancedmissiletargeting</t>
      </text>
    </comment>
    <comment ref="K103" authorId="0" shapeId="0">
      <text>
        <t>raw warhead damages: 16000, 8, 16000, 8
import scales all proportionally</t>
      </text>
    </comment>
    <comment ref="AA103" authorId="0" shapeId="0">
      <text>
        <t>fires when: td_gdi_upgrade_advancedmissiletargeting</t>
      </text>
    </comment>
    <comment ref="K105" authorId="0" shapeId="0">
      <text>
        <t>raw warhead damages: 8000, 4
import scales all proportionally</t>
      </text>
    </comment>
    <comment ref="AA105" authorId="0" shapeId="0">
      <text>
        <t>fires when: !td_gdi_upgrade_highvelocitycannons</t>
      </text>
    </comment>
    <comment ref="K106" authorId="0" shapeId="0">
      <text>
        <t>raw warhead damages: 16000, 8
import scales all proportionally</t>
      </text>
    </comment>
    <comment ref="AA106" authorId="0" shapeId="0">
      <text>
        <t>fires when: td_gdi_upgrade_highvelocitycannons</t>
      </text>
    </comment>
    <comment ref="K107" authorId="0" shapeId="0">
      <text>
        <t>raw warhead damages: 8000, 4
import scales all proportionally</t>
      </text>
    </comment>
    <comment ref="AA107" authorId="0" shapeId="0">
      <text>
        <t>fires when: !td_gdi_upgrade_advancedmissiletargeting</t>
      </text>
    </comment>
    <comment ref="K108" authorId="0" shapeId="0">
      <text>
        <t>raw warhead damages: 8000, 4
import scales all proportionally</t>
      </text>
    </comment>
    <comment ref="AA108" authorId="0" shapeId="0">
      <text>
        <t>fires when: td_gdi_upgrade_advancedmissiletargeting</t>
      </text>
    </comment>
    <comment ref="K110" authorId="0" shapeId="0">
      <text>
        <t>raw warhead damages: 12000, 6
import scales all proportionally</t>
      </text>
    </comment>
    <comment ref="AA110" authorId="0" shapeId="0">
      <text>
        <t>fires when: !td_gdi_upgrade_highvelocitycannons</t>
      </text>
    </comment>
    <comment ref="K111" authorId="0" shapeId="0">
      <text>
        <t>raw warhead damages: 24000, 12
import scales all proportionally</t>
      </text>
    </comment>
    <comment ref="AA111" authorId="0" shapeId="0">
      <text>
        <t>fires when: td_gdi_upgrade_highvelocitycannons</t>
      </text>
    </comment>
    <comment ref="K112" authorId="0" shapeId="0">
      <text>
        <t>raw warhead damages: 12000, 6
import scales all proportionally</t>
      </text>
    </comment>
    <comment ref="AA112" authorId="0" shapeId="0">
      <text>
        <t>fires when: !td_gdi_upgrade_advancedmissiletargeting</t>
      </text>
    </comment>
    <comment ref="K113" authorId="0" shapeId="0">
      <text>
        <t>raw warhead damages: 12000, 6
import scales all proportionally</t>
      </text>
    </comment>
    <comment ref="AA113" authorId="0" shapeId="0">
      <text>
        <t>fires when: td_gdi_upgrade_advancedmissiletargeting</t>
      </text>
    </comment>
    <comment ref="K115" authorId="0" shapeId="0">
      <text>
        <t>raw warhead damages: 2000, 1, 2000, 1000, 1, 2000, 1, 2000, 1
import scales all proportionally</t>
      </text>
    </comment>
    <comment ref="AA115" authorId="0" shapeId="0">
      <text>
        <t>fires when: !td_gdi_upgrade_advancedmissiletargeting</t>
      </text>
    </comment>
    <comment ref="K116" authorId="0" shapeId="0">
      <text>
        <t>raw warhead damages: 2000, 1, 2000, 1000, 1, 2000, 1, 2000, 1
import scales all proportionally</t>
      </text>
    </comment>
    <comment ref="AA116" authorId="0" shapeId="0">
      <text>
        <t>fires when: td_gdi_upgrade_advancedmissiletargeting</t>
      </text>
    </comment>
    <comment ref="K119" authorId="0" shapeId="0">
      <text>
        <t>raw warhead damages: 8000, 4
import scales all proportionally</t>
      </text>
    </comment>
    <comment ref="AA119" authorId="0" shapeId="0">
      <text>
        <t>fires when: !td_gdi_upgrade_highvelocitycannons</t>
      </text>
    </comment>
    <comment ref="K120" authorId="0" shapeId="0">
      <text>
        <t>raw warhead damages: 16000, 8
import scales all proportionally</t>
      </text>
    </comment>
    <comment ref="AA120" authorId="0" shapeId="0">
      <text>
        <t>fires when: td_gdi_upgrade_highvelocitycannons</t>
      </text>
    </comment>
    <comment ref="K121" authorId="0" shapeId="0">
      <text>
        <t>raw warhead damages: 8000, 4
import scales all proportionally</t>
      </text>
    </comment>
    <comment ref="AA121" authorId="0" shapeId="0">
      <text>
        <t>fires when: !td_gdi_upgrade_advancedmissiletargeting</t>
      </text>
    </comment>
    <comment ref="K122" authorId="0" shapeId="0">
      <text>
        <t>raw warhead damages: 8000, 4
import scales all proportionally</t>
      </text>
    </comment>
    <comment ref="AA122" authorId="0" shapeId="0">
      <text>
        <t>fires when: td_gdi_upgrade_advancedmissiletargeting</t>
      </text>
    </comment>
    <comment ref="K123" authorId="0" shapeId="0">
      <text>
        <t>raw warhead damages: 2000, 1
import scales all proportionally</t>
      </text>
    </comment>
    <comment ref="AA123" authorId="0" shapeId="0">
      <text>
        <t>fires when: td_gdi_upgrade_armorpiercingbullets</t>
      </text>
    </comment>
    <comment ref="K128" authorId="0" shapeId="0">
      <text>
        <t>raw warhead damages: 12000, 6
import scales all proportionally</t>
      </text>
    </comment>
    <comment ref="K129" authorId="0" shapeId="0">
      <text>
        <t>raw warhead damages: 6000, 3, 6000, 3000, 3
import scales all proportionally</t>
      </text>
    </comment>
    <comment ref="K131" authorId="0" shapeId="0">
      <text>
        <t>raw warhead damages: 6000, 3
import scales all proportionally</t>
      </text>
    </comment>
    <comment ref="K132" authorId="0" shapeId="0">
      <text>
        <t>raw warhead damages: 4000, 2, 4000, 2000, 2
import scales all proportionally</t>
      </text>
    </comment>
    <comment ref="K133" authorId="0" shapeId="0">
      <text>
        <t>raw warhead damages: 12000, 6
import scales all proportionally</t>
      </text>
    </comment>
    <comment ref="K135" authorId="0" shapeId="0">
      <text>
        <t>raw warhead damages: 2000, 1, 600
import scales all proportionally</t>
      </text>
    </comment>
    <comment ref="K136" authorId="0" shapeId="0">
      <text>
        <t>raw warhead damages: -2000, -1000, -1
import scales all proportionally</t>
      </text>
    </comment>
    <comment ref="K139" authorId="0" shapeId="0">
      <text>
        <t>raw warhead damages: 20000, 10
import scales all proportionally</t>
      </text>
    </comment>
    <comment ref="K140" authorId="0" shapeId="0">
      <text>
        <t>raw warhead damages: 20000, 10
import scales all proportionally</t>
      </text>
    </comment>
    <comment ref="AA140" authorId="0" shapeId="0">
      <text>
        <t>fires when: td_gdi_upgrade_cuttingedgeequipment</t>
      </text>
    </comment>
    <comment ref="K141" authorId="0" shapeId="0">
      <text>
        <t>raw warhead damages: 10000, 5, 10000, 5, 10000, 5000, 5, 10000, 5000, 5
import scales all proportionally</t>
      </text>
    </comment>
    <comment ref="K143" authorId="0" shapeId="0">
      <text>
        <t>raw warhead damages: 2000, 1, 2000, 1, 2000, 1000, 1, 2000, 1000, 1, 2000, 1, 2000, 1
import scales all proportionally</t>
      </text>
    </comment>
    <comment ref="AA143" authorId="0" shapeId="0">
      <text>
        <t>fires when: !td_gdi_upgrade_advancedmissiletargeting</t>
      </text>
    </comment>
    <comment ref="K144" authorId="0" shapeId="0">
      <text>
        <t>raw warhead damages: 2000, 1, 2000, 1, 2000, 1000, 1, 2000, 1000, 1, 2000, 1, 2000, 1
import scales all proportionally</t>
      </text>
    </comment>
    <comment ref="AA144" authorId="0" shapeId="0">
      <text>
        <t>fires when: td_gdi_upgrade_advancedmissiletargeting</t>
      </text>
    </comment>
    <comment ref="K147" authorId="0" shapeId="0">
      <text>
        <t>raw warhead damages: 50000, 25, 1000
import scales all proportionally</t>
      </text>
    </comment>
    <comment ref="K148" authorId="0" shapeId="0">
      <text>
        <t>raw warhead damages: 50000, 25, 1000
import scales all proportionally</t>
      </text>
    </comment>
    <comment ref="K150" authorId="0" shapeId="0">
      <text>
        <t>raw warhead damages: 18000, 9
import scales all proportionally</t>
      </text>
    </comment>
    <comment ref="AA150" authorId="0" shapeId="0">
      <text>
        <t>fires when: !td_gdi_upgrade_advancedmissiletargeting</t>
      </text>
    </comment>
    <comment ref="K151" authorId="0" shapeId="0">
      <text>
        <t>raw warhead damages: 18000, 9
import scales all proportionally</t>
      </text>
    </comment>
    <comment ref="AA151" authorId="0" shapeId="0">
      <text>
        <t>fires when: td_gdi_upgrade_advancedmissiletargeting</t>
      </text>
    </comment>
    <comment ref="K152" authorId="0" shapeId="0">
      <text>
        <t>raw warhead damages: 60000, 30000, 30
import scales all proportionally</t>
      </text>
    </comment>
    <comment ref="K153" authorId="0" shapeId="0">
      <text>
        <t>raw warhead damages: 60000, 30000, 30
import scales all proportionally</t>
      </text>
    </comment>
    <comment ref="K161" authorId="0" shapeId="0">
      <text>
        <t>raw warhead damages: 2000, 1, 2000, 1000, 1, 2000, 1000, 1, 2000, 1, 2000, 1, 2000, 1, 2000, 1
import scales all proportionally</t>
      </text>
    </comment>
    <comment ref="AA161" authorId="0" shapeId="0">
      <text>
        <t>fires when: !td_gdi_upgrade_advancedmissiletargeting</t>
      </text>
    </comment>
    <comment ref="K162" authorId="0" shapeId="0">
      <text>
        <t>raw warhead damages: 2000, 1, 2000, 1000, 1, 2000, 1000, 1, 2000, 1, 2000, 1, 2000, 1, 2000, 1
import scales all proportionally</t>
      </text>
    </comment>
    <comment ref="AA162" authorId="0" shapeId="0">
      <text>
        <t>fires when: td_gdi_upgrade_advancedmissiletargeting</t>
      </text>
    </comment>
    <comment ref="K167" authorId="0" shapeId="0">
      <text>
        <t>raw warhead damages: 2000, 1, 2000, 1
import scales all proportionally</t>
      </text>
    </comment>
    <comment ref="AA167" authorId="0" shapeId="0">
      <text>
        <t>fires when: !td_gdi_upgrade_armorpiercingbullets</t>
      </text>
    </comment>
    <comment ref="K168" authorId="0" shapeId="0">
      <text>
        <t>raw warhead damages: 4000, 2
import scales all proportionally</t>
      </text>
    </comment>
    <comment ref="AA168" authorId="0" shapeId="0">
      <text>
        <t>fires when: td_gdi_upgrade_armorpiercingbullets</t>
      </text>
    </comment>
    <comment ref="K173" authorId="0" shapeId="0">
      <text>
        <t>raw warhead damages: 2000, 1, 2000, 1, 2000, 1, 2000, 1
import scales all proportionally</t>
      </text>
    </comment>
  </commentList>
</comments>
</file>

<file path=xl/comments/comment25.xml><?xml version="1.0" encoding="utf-8"?>
<comments xmlns="http://schemas.openxmlformats.org/spreadsheetml/2006/main">
  <authors>
    <author>balance-pipeline</author>
  </authors>
  <commentList>
    <comment ref="K4" authorId="0" shapeId="0">
      <text>
        <t>raw warhead damages: 4000, 2000, 2
import scales all proportionally</t>
      </text>
    </comment>
    <comment ref="K5" authorId="0" shapeId="0">
      <text>
        <t>raw warhead damages: 4000, 2000, 2
import scales all proportionally</t>
      </text>
    </comment>
    <comment ref="K7" authorId="0" shapeId="0">
      <text>
        <t>raw warhead damages: 12000, 6000, 6, 12000, 6000, 6, 12000, 6
import scales all proportionally</t>
      </text>
    </comment>
    <comment ref="K8" authorId="0" shapeId="0">
      <text>
        <t>raw warhead damages: 12000, 6000, 6, 12000, 6000, 6, 12000, 6
import scales all proportionally</t>
      </text>
    </comment>
    <comment ref="K10" authorId="0" shapeId="0">
      <text>
        <t>raw warhead damages: 48000, 24000, 24
import scales all proportionally</t>
      </text>
    </comment>
    <comment ref="K11" authorId="0" shapeId="0">
      <text>
        <t>raw warhead damages: 48000, 24000, 24
import scales all proportionally</t>
      </text>
    </comment>
    <comment ref="K15" authorId="0" shapeId="0">
      <text>
        <t>raw warhead damages: 40000, 20
import scales all proportionally</t>
      </text>
    </comment>
    <comment ref="K16" authorId="0" shapeId="0">
      <text>
        <t>raw warhead damages: 40000, 20
import scales all proportionally</t>
      </text>
    </comment>
    <comment ref="K18" authorId="0" shapeId="0">
      <text>
        <t>raw warhead damages: 20000, 10000, 10
import scales all proportionally</t>
      </text>
    </comment>
    <comment ref="K19" authorId="0" shapeId="0">
      <text>
        <t>raw warhead damages: 20000, 10000, 10
import scales all proportionally</t>
      </text>
    </comment>
    <comment ref="K21" authorId="0" shapeId="0">
      <text>
        <t>raw warhead damages: 12000, 6, 600
import scales all proportionally</t>
      </text>
    </comment>
    <comment ref="K22" authorId="0" shapeId="0">
      <text>
        <t>raw warhead damages: 12000, 6, 600
import scales all proportionally</t>
      </text>
    </comment>
    <comment ref="K23" authorId="0" shapeId="0">
      <text>
        <t>raw warhead damages: 12000, 6, 600
import scales all proportionally</t>
      </text>
    </comment>
    <comment ref="K26" authorId="0" shapeId="0">
      <text>
        <t>raw warhead damages: 30000, 15, 600
import scales all proportionally</t>
      </text>
    </comment>
    <comment ref="K27" authorId="0" shapeId="0">
      <text>
        <t>raw warhead damages: 30000, 15, 600
import scales all proportionally</t>
      </text>
    </comment>
    <comment ref="K29" authorId="0" shapeId="0">
      <text>
        <t>raw warhead damages: 2000, 1
import scales all proportionally</t>
      </text>
    </comment>
    <comment ref="AA29" authorId="0" shapeId="0">
      <text>
        <t>fires when: !td_nod_upgrade_blackmarketupgrades</t>
      </text>
    </comment>
    <comment ref="K30" authorId="0" shapeId="0">
      <text>
        <t>raw warhead damages: 2000, 1
import scales all proportionally</t>
      </text>
    </comment>
    <comment ref="AA30" authorId="0" shapeId="0">
      <text>
        <t>fires when: !td_nod_upgrade_blackmarketupgrades</t>
      </text>
    </comment>
    <comment ref="K31" authorId="0" shapeId="0">
      <text>
        <t>raw warhead damages: 2000, 1, 2000, 1, 2000, 1, 600
import scales all proportionally</t>
      </text>
    </comment>
    <comment ref="AA31" authorId="0" shapeId="0">
      <text>
        <t>fires when: td_nod_upgrade_blackmarketupgrades</t>
      </text>
    </comment>
    <comment ref="K32" authorId="0" shapeId="0">
      <text>
        <t>raw warhead damages: 2000, 1, 2000, 1, 2000, 1, 600
import scales all proportionally</t>
      </text>
    </comment>
    <comment ref="AA32" authorId="0" shapeId="0">
      <text>
        <t>fires when: td_nod_upgrade_blackmarketupgrades</t>
      </text>
    </comment>
    <comment ref="K34" authorId="0" shapeId="0">
      <text>
        <t>raw warhead damages: 18000, 9
import scales all proportionally</t>
      </text>
    </comment>
    <comment ref="K35" authorId="0" shapeId="0">
      <text>
        <t>raw warhead damages: 18000, 9
import scales all proportionally</t>
      </text>
    </comment>
    <comment ref="K37" authorId="0" shapeId="0">
      <text>
        <t>raw warhead damages: 2000, 1000, 1, 2000, 1, 2000, 1, 2000, 1000, 1, 2000, 1
import scales all proportionally</t>
      </text>
    </comment>
    <comment ref="K38" authorId="0" shapeId="0">
      <text>
        <t>raw warhead damages: 2000, 1000, 1, 2000, 1, 2000, 1, 2000, 1000, 1, 2000, 1
import scales all proportionally</t>
      </text>
    </comment>
    <comment ref="K41" authorId="0" shapeId="0">
      <text>
        <t>raw warhead damages: 16000, 8000, 8, 16000, 8000, 8
import scales all proportionally</t>
      </text>
    </comment>
    <comment ref="AA41" authorId="0" shapeId="0">
      <text>
        <t>fires when: !td_nod_upgrade_blackmarketupgrades</t>
      </text>
    </comment>
    <comment ref="K42" authorId="0" shapeId="0">
      <text>
        <t>raw warhead damages: 6000, 3000, 3, 6000, 3000, 3, 6000, 3000, 3, 6000, 3000, 3, 6000, 3, 6000, 3
import scales all proportionally</t>
      </text>
    </comment>
    <comment ref="AA42" authorId="0" shapeId="0">
      <text>
        <t>fires when: td_nod_upgrade_blackmarketupgrades</t>
      </text>
    </comment>
    <comment ref="K44" authorId="0" shapeId="0">
      <text>
        <t>raw warhead damages: 4000, 2
import scales all proportionally</t>
      </text>
    </comment>
    <comment ref="K45" authorId="0" shapeId="0">
      <text>
        <t>raw warhead damages: 2000, 1000, 1
import scales all proportionally</t>
      </text>
    </comment>
    <comment ref="AA45" authorId="0" shapeId="0">
      <text>
        <t>fires when: td_nod_upgrade_blackmarketupgrades</t>
      </text>
    </comment>
    <comment ref="K47" authorId="0" shapeId="0">
      <text>
        <t>raw warhead damages: 2000, 1, 2000, 1, 2000, 1
import scales all proportionally</t>
      </text>
    </comment>
    <comment ref="K48" authorId="0" shapeId="0">
      <text>
        <t>raw warhead damages: 2000, 1000, 1, 2000, 1000, 1, 2000, 1000, 1
import scales all proportionally</t>
      </text>
    </comment>
    <comment ref="AA48" authorId="0" shapeId="0">
      <text>
        <t>fires when: td_nod_upgrade_blackmarketupgrades</t>
      </text>
    </comment>
    <comment ref="K49" authorId="0" shapeId="0">
      <text>
        <t>raw warhead damages: 2000, 1, 2000, 1, 2000, 1
import scales all proportionally</t>
      </text>
    </comment>
    <comment ref="K50" authorId="0" shapeId="0">
      <text>
        <t>raw warhead damages: 2000, 1000, 1, 2000, 1, 2000, 1, 600
import scales all proportionally</t>
      </text>
    </comment>
    <comment ref="AA50" authorId="0" shapeId="0">
      <text>
        <t>fires when: td_nod_upgrade_blackmarketupgrades</t>
      </text>
    </comment>
    <comment ref="K51" authorId="0" shapeId="0">
      <text>
        <t>raw warhead damages: 2000, 1000, 1, 2000, 1, 2000, 1, 600
import scales all proportionally</t>
      </text>
    </comment>
    <comment ref="AA51" authorId="0" shapeId="0">
      <text>
        <t>fires when: td_nod_upgrade_blackmarketupgrades</t>
      </text>
    </comment>
    <comment ref="AA53" authorId="0" shapeId="0">
      <text>
        <t>fires when: td_nod_upgrade_blackmarketupgrades</t>
      </text>
    </comment>
    <comment ref="K54" authorId="0" shapeId="0">
      <text>
        <t>raw warhead damages: 8000, 4, 8000, 4000, 4, 8000, 4, 8000, 4
import scales all proportionally</t>
      </text>
    </comment>
    <comment ref="K56" authorId="0" shapeId="0">
      <text>
        <t>raw warhead damages: 30000, 15, 30000, 15, 30000, 15000, 15, 30000, 15000, 15
import scales all proportionally</t>
      </text>
    </comment>
    <comment ref="K58" authorId="0" shapeId="0">
      <text>
        <t>raw warhead damages: 10000, 5000, 5, 10000, 5000, 5, 10000, 5
import scales all proportionally</t>
      </text>
    </comment>
    <comment ref="K60" authorId="0" shapeId="0">
      <text>
        <t>raw warhead damages: 14000, 7000, 7
import scales all proportionally</t>
      </text>
    </comment>
    <comment ref="K62" authorId="0" shapeId="0">
      <text>
        <t>raw warhead damages: 20000, 10000, 10
import scales all proportionally</t>
      </text>
    </comment>
    <comment ref="K64" authorId="0" shapeId="0">
      <text>
        <t>raw warhead damages: 6000, 3
import scales all proportionally</t>
      </text>
    </comment>
    <comment ref="K65" authorId="0" shapeId="0">
      <text>
        <t>raw warhead damages: 6000, 3
import scales all proportionally</t>
      </text>
    </comment>
    <comment ref="AA65" authorId="0" shapeId="0">
      <text>
        <t>fires when: td_nod_upgrade_blackmarketupgrades</t>
      </text>
    </comment>
    <comment ref="K68" authorId="0" shapeId="0">
      <text>
        <t>raw warhead damages: 4000, 2000, 2, 4000, 2
import scales all proportionally</t>
      </text>
    </comment>
    <comment ref="K69" authorId="0" shapeId="0">
      <text>
        <t>raw warhead damages: 4000, 2000, 2, 4000, 2
import scales all proportionally</t>
      </text>
    </comment>
    <comment ref="AA69" authorId="0" shapeId="0">
      <text>
        <t>fires when: td_nod_upgrade_blackmarketupgrades</t>
      </text>
    </comment>
    <comment ref="AA72" authorId="0" shapeId="0">
      <text>
        <t>fires when: td_nod_upgrade_blackmarketupgrades</t>
      </text>
    </comment>
    <comment ref="K73" authorId="0" shapeId="0">
      <text>
        <t>raw warhead damages: 4000, 2, 4000, 2000, 2, 4000, 2, 4000, 2
import scales all proportionally</t>
      </text>
    </comment>
    <comment ref="K75" authorId="0" shapeId="0">
      <text>
        <t>raw warhead damages: 16000, 8000, 8, 16000, 8000, 8
import scales all proportionally</t>
      </text>
    </comment>
    <comment ref="AA75" authorId="0" shapeId="0">
      <text>
        <t>fires when: !td_nod_upgrade_blackmarketupgrades</t>
      </text>
    </comment>
    <comment ref="K76" authorId="0" shapeId="0">
      <text>
        <t>raw warhead damages: 4000, 2000, 2, 4000, 2000, 2, 4000, 2, 4000, 2, 4000, 2, 4000, 2, 4000, 2000, 2, 4000, 2000, 2
import scales all proportionally</t>
      </text>
    </comment>
    <comment ref="AA76" authorId="0" shapeId="0">
      <text>
        <t>fires when: td_nod_upgrade_blackmarketupgrades</t>
      </text>
    </comment>
    <comment ref="K78" authorId="0" shapeId="0">
      <text>
        <t>raw warhead damages: 10000, 5000, 5, 10000, 5000, 5, 10000, 5000, 5, 10000, 5, 10000, 5
import scales all proportionally</t>
      </text>
    </comment>
    <comment ref="K81" authorId="0" shapeId="0">
      <text>
        <t>raw warhead damages: 12000, 6
import scales all proportionally</t>
      </text>
    </comment>
    <comment ref="AA81" authorId="0" shapeId="0">
      <text>
        <t>fires when: !td_nod_upgrade_blackmarketupgrades</t>
      </text>
    </comment>
    <comment ref="K82" authorId="0" shapeId="0">
      <text>
        <t>raw warhead damages: 12000, 6
import scales all proportionally</t>
      </text>
    </comment>
    <comment ref="AA82" authorId="0" shapeId="0">
      <text>
        <t>fires when: td_nod_upgrade_blackmarketupgrades</t>
      </text>
    </comment>
    <comment ref="K86" authorId="0" shapeId="0">
      <text>
        <t>raw warhead damages: 4000, 2
import scales all proportionally</t>
      </text>
    </comment>
    <comment ref="K87" authorId="0" shapeId="0">
      <text>
        <t>raw warhead damages: 2000, 1
import scales all proportionally</t>
      </text>
    </comment>
    <comment ref="AA87" authorId="0" shapeId="0">
      <text>
        <t>fires when: td_nod_upgrade_blackmarketupgrades</t>
      </text>
    </comment>
    <comment ref="K90" authorId="0" shapeId="0">
      <text>
        <t>raw warhead damages: 2000, 1000, 1, 2000, 1, 2000, 1, 2000, 1, 600
import scales all proportionally</t>
      </text>
    </comment>
    <comment ref="K94" authorId="0" shapeId="0">
      <text>
        <t>raw warhead damages: 8000, 4000, 4, 8000, 4
import scales all proportionally</t>
      </text>
    </comment>
    <comment ref="AA94" authorId="0" shapeId="0">
      <text>
        <t>fires when: !td_nod_upgrade_blackmarketupgrades</t>
      </text>
    </comment>
    <comment ref="K95" authorId="0" shapeId="0">
      <text>
        <t>raw warhead damages: 8000, 4, 8000, 4
import scales all proportionally</t>
      </text>
    </comment>
    <comment ref="AA95" authorId="0" shapeId="0">
      <text>
        <t>fires when: td_nod_upgrade_blackmarketupgrades</t>
      </text>
    </comment>
    <comment ref="K97" authorId="0" shapeId="0">
      <text>
        <t>raw warhead damages: 120000, 60, 600
import scales all proportionally</t>
      </text>
    </comment>
    <comment ref="K98" authorId="0" shapeId="0">
      <text>
        <t>raw warhead damages: 10000, 5
import scales all proportionally</t>
      </text>
    </comment>
    <comment ref="K100" authorId="0" shapeId="0">
      <text>
        <t>raw warhead damages: 10000, 5000, 5, 10000, 5000, 5, 10000, 5000, 5, 10000, 5, 10000, 5
import scales all proportionally</t>
      </text>
    </comment>
    <comment ref="K107" authorId="0" shapeId="0">
      <text>
        <t>raw warhead damages: 6000, 3000, 3, 6000, 3000, 3, 6000, 3, 6000, 3
import scales all proportionally</t>
      </text>
    </comment>
    <comment ref="AA107" authorId="0" shapeId="0">
      <text>
        <t>fires when: !td_nod_upgrade_blackmarketupgrades</t>
      </text>
    </comment>
    <comment ref="K108" authorId="0" shapeId="0">
      <text>
        <t>raw warhead damages: 6000, 3, 6000, 3, 6000, 3000, 3, 6000, 3000, 3, 6000, 3, 6000, 3
import scales all proportionally</t>
      </text>
    </comment>
    <comment ref="AA108" authorId="0" shapeId="0">
      <text>
        <t>fires when: td_nod_upgrade_blackmarketupgrades</t>
      </text>
    </comment>
    <comment ref="K112" authorId="0" shapeId="0">
      <text>
        <t>raw warhead damages: 2000, 1, 2000, 1, 2000, 1, 2000, 1000, 1, 2000, 1, 2000, 1, 600
import scales all proportionally</t>
      </text>
    </comment>
    <comment ref="K115" authorId="0" shapeId="0">
      <text>
        <t>raw warhead damages: 96000, 48, 600
import scales all proportionally</t>
      </text>
    </comment>
    <comment ref="K118" authorId="0" shapeId="0">
      <text>
        <t>raw warhead damages: 6000, 3, 6000, 3
import scales all proportionally</t>
      </text>
    </comment>
  </commentList>
</comments>
</file>

<file path=xl/comments/comment26.xml><?xml version="1.0" encoding="utf-8"?>
<comments xmlns="http://schemas.openxmlformats.org/spreadsheetml/2006/main">
  <authors>
    <author>balance-pipeline</author>
  </authors>
  <commentList>
    <comment ref="K4" authorId="0" shapeId="0">
      <text>
        <t>raw warhead damages: 6000, 3, 6000, 3, 6000, 3, 6000, 3, 6000, 3, 6000, 3
import scales all proportionally</t>
      </text>
    </comment>
    <comment ref="K5" authorId="0" shapeId="0">
      <text>
        <t>raw warhead damages: 6000, 3, 6000, 3, 6000, 3, 6000, 3, 6000, 3, 6000, 3
import scales all proportionally</t>
      </text>
    </comment>
    <comment ref="K7" authorId="0" shapeId="0">
      <text>
        <t>raw warhead damages: 50000, 25, 50000, 25000, 25, 50000, 25000, 25
import scales all proportionally</t>
      </text>
    </comment>
    <comment ref="AA7" authorId="0" shapeId="0">
      <text>
        <t>fires when: !cabal_upgrade_neutronnuclearcatalyst</t>
      </text>
    </comment>
    <comment ref="K8" authorId="0" shapeId="0">
      <text>
        <t>raw warhead damages: 50000, 25, 50000, 25000, 25, 50000, 25000, 25, 50000, 1000, 25, 50000, 25, 888, 50000, 25, 1000
import scales all proportionally</t>
      </text>
    </comment>
    <comment ref="AA8" authorId="0" shapeId="0">
      <text>
        <t>fires when: cabal_upgrade_neutronnuclearcatalyst</t>
      </text>
    </comment>
    <comment ref="K9" authorId="0" shapeId="0">
      <text>
        <t>raw warhead damages: 50000, 25, 50000, 25000, 25, 50000, 25000, 25
import scales all proportionally</t>
      </text>
    </comment>
    <comment ref="AA9" authorId="0" shapeId="0">
      <text>
        <t>fires when: !cabal_upgrade_neutronnuclearcatalyst</t>
      </text>
    </comment>
    <comment ref="K10" authorId="0" shapeId="0">
      <text>
        <t>raw warhead damages: 50000, 25, 50000, 25000, 25, 50000, 25000, 25, 50000, 1000, 25, 50000, 25, 888, 50000, 25, 1000
import scales all proportionally</t>
      </text>
    </comment>
    <comment ref="AA10" authorId="0" shapeId="0">
      <text>
        <t>fires when: cabal_upgrade_neutronnuclearcatalyst</t>
      </text>
    </comment>
    <comment ref="K12" authorId="0" shapeId="0">
      <text>
        <t>raw warhead damages: 50000, 25, 50000, 25000, 25, 50000, 25000, 25
import scales all proportionally</t>
      </text>
    </comment>
    <comment ref="AA12" authorId="0" shapeId="0">
      <text>
        <t>fires when: !cabal_upgrade_neutronnuclearcatalyst</t>
      </text>
    </comment>
    <comment ref="K13" authorId="0" shapeId="0">
      <text>
        <t>raw warhead damages: 50000, 25, 50000, 25000, 25, 50000, 25000, 25, 50000, 1000, 25, 50000, 25, 888, 50000, 25, 1000
import scales all proportionally</t>
      </text>
    </comment>
    <comment ref="AA13" authorId="0" shapeId="0">
      <text>
        <t>fires when: cabal_upgrade_neutronnuclearcatalyst</t>
      </text>
    </comment>
    <comment ref="K14" authorId="0" shapeId="0">
      <text>
        <t>raw warhead damages: 50000, 25, 50000, 25000, 25, 50000, 25000, 25
import scales all proportionally</t>
      </text>
    </comment>
    <comment ref="AA14" authorId="0" shapeId="0">
      <text>
        <t>fires when: !cabal_upgrade_neutronnuclearcatalyst</t>
      </text>
    </comment>
    <comment ref="K15" authorId="0" shapeId="0">
      <text>
        <t>raw warhead damages: 50000, 25, 50000, 25000, 25, 50000, 25000, 25, 50000, 1000, 25, 50000, 25, 888, 50000, 25, 1000
import scales all proportionally</t>
      </text>
    </comment>
    <comment ref="AA15" authorId="0" shapeId="0">
      <text>
        <t>fires when: cabal_upgrade_neutronnuclearcatalyst</t>
      </text>
    </comment>
    <comment ref="K17" authorId="0" shapeId="0">
      <text>
        <t>raw warhead damages: 10000, 5, 10000, 5
import scales all proportionally</t>
      </text>
    </comment>
    <comment ref="K18" authorId="0" shapeId="0">
      <text>
        <t>raw warhead damages: 10000, 5, 10000, 5
import scales all proportionally</t>
      </text>
    </comment>
    <comment ref="K20" authorId="0" shapeId="0">
      <text>
        <t>raw warhead damages: 12000, 6, 12000, 6
import scales all proportionally</t>
      </text>
    </comment>
    <comment ref="K21" authorId="0" shapeId="0">
      <text>
        <t>raw warhead damages: 12000, 6, 12000, 6
import scales all proportionally</t>
      </text>
    </comment>
    <comment ref="K23" authorId="0" shapeId="0">
      <text>
        <t>raw warhead damages: 2000, 1000, 1, 2000, 1
import scales all proportionally</t>
      </text>
    </comment>
    <comment ref="K25" authorId="0" shapeId="0">
      <text>
        <t>raw warhead damages: 32000, 16
import scales all proportionally</t>
      </text>
    </comment>
    <comment ref="K26" authorId="0" shapeId="0">
      <text>
        <t>raw warhead damages: 32000, 16
import scales all proportionally</t>
      </text>
    </comment>
    <comment ref="K29" authorId="0" shapeId="0">
      <text>
        <t>raw warhead damages: -1600, -1000, -1
import scales all proportionally</t>
      </text>
    </comment>
    <comment ref="K31" authorId="0" shapeId="0">
      <text>
        <t>raw warhead damages: 70000, 35, 70000, 35, 600, 70000, 35000, 35, 70000, 35000, 35
import scales all proportionally</t>
      </text>
    </comment>
    <comment ref="K33" authorId="0" shapeId="0">
      <text>
        <t>raw warhead damages: 70000, 35, 70000, 35, 600, 70000, 35000, 35, 70000, 35000, 35
import scales all proportionally</t>
      </text>
    </comment>
    <comment ref="AA35" authorId="0" shapeId="0">
      <text>
        <t>fires when: end_disable == 0</t>
      </text>
    </comment>
    <comment ref="K36" authorId="0" shapeId="0">
      <text>
        <t>raw warhead damages: 2000, 1000, 1
import scales all proportionally</t>
      </text>
    </comment>
    <comment ref="AA36" authorId="0" shapeId="0">
      <text>
        <t>fires when: end_disable &gt;= 1</t>
      </text>
    </comment>
    <comment ref="K39" authorId="0" shapeId="0">
      <text>
        <t>raw warhead damages: 6000, 3, 6000, 3
import scales all proportionally</t>
      </text>
    </comment>
    <comment ref="AA39" authorId="0" shapeId="0">
      <text>
        <t>fires when: !cabal_upgrade_darkarmament</t>
      </text>
    </comment>
    <comment ref="K40" authorId="0" shapeId="0">
      <text>
        <t>raw warhead damages: 6000, 3, 6000, 3
import scales all proportionally</t>
      </text>
    </comment>
    <comment ref="AA40" authorId="0" shapeId="0">
      <text>
        <t>fires when: cabal_upgrade_darkarmament</t>
      </text>
    </comment>
    <comment ref="K41" authorId="0" shapeId="0">
      <text>
        <t>raw warhead damages: 6000, 3, 6000, 3
import scales all proportionally</t>
      </text>
    </comment>
    <comment ref="K44" authorId="0" shapeId="0">
      <text>
        <t>raw warhead damages: 42000, 21000, 21, 42000, 21000, 21, 42000, 21, 42000, 21
import scales all proportionally</t>
      </text>
    </comment>
    <comment ref="AA44" authorId="0" shapeId="0">
      <text>
        <t>fires when: !cabal_upgrade_neutronnuclearcatalyst</t>
      </text>
    </comment>
    <comment ref="K45" authorId="0" shapeId="0">
      <text>
        <t>raw warhead damages: 42000, 21000, 21, 42000, 21000, 21, 42000, 21, 42000, 21, 42000, 21000, 21, 42000, 1000, 21, 42000, 21, 888, 42000, 21, 1000
import scales all proportionally</t>
      </text>
    </comment>
    <comment ref="AA45" authorId="0" shapeId="0">
      <text>
        <t>fires when: cabal_upgrade_neutronnuclearcatalyst</t>
      </text>
    </comment>
    <comment ref="K47" authorId="0" shapeId="0">
      <text>
        <t>raw warhead damages: 80000, 40, 600
import scales all proportionally</t>
      </text>
    </comment>
    <comment ref="K48" authorId="0" shapeId="0">
      <text>
        <t>raw warhead damages: 80000, 40, 600
import scales all proportionally</t>
      </text>
    </comment>
    <comment ref="K50" authorId="0" shapeId="0">
      <text>
        <t>raw warhead damages: 10000, 5, 10000, 5000, 5, 10000, 5, 1000, 10000, 5, 600
import scales all proportionally</t>
      </text>
    </comment>
    <comment ref="K52" authorId="0" shapeId="0">
      <text>
        <t>raw warhead damages: 74000, 37000, 37
import scales all proportionally</t>
      </text>
    </comment>
    <comment ref="K55" authorId="0" shapeId="0">
      <text>
        <t>raw warhead damages: 160000, 80, 600
import scales all proportionally</t>
      </text>
    </comment>
    <comment ref="K56" authorId="0" shapeId="0">
      <text>
        <t>raw warhead damages: 160000, 80, 600
import scales all proportionally</t>
      </text>
    </comment>
    <comment ref="K58" authorId="0" shapeId="0">
      <text>
        <t>raw warhead damages: 8000, 4000, 4, 8000, 4000, 4, 8000, 4, 8000, 4
import scales all proportionally</t>
      </text>
    </comment>
    <comment ref="K59" authorId="0" shapeId="0">
      <text>
        <t>raw warhead damages: 8000, 4000, 4, 8000, 4000, 4, 8000, 4, 8000, 4
import scales all proportionally</t>
      </text>
    </comment>
    <comment ref="K63" authorId="0" shapeId="0">
      <text>
        <t>raw warhead damages: 12000, 6000, 6, 12000, 6000, 6, 12000, 6, 12000, 6
import scales all proportionally</t>
      </text>
    </comment>
    <comment ref="K64" authorId="0" shapeId="0">
      <text>
        <t>raw warhead damages: 12000, 6000, 6, 12000, 6000, 6, 12000, 6, 12000, 6
import scales all proportionally</t>
      </text>
    </comment>
    <comment ref="K67" authorId="0" shapeId="0">
      <text>
        <t>raw warhead damages: 44000, 22, 600
import scales all proportionally</t>
      </text>
    </comment>
    <comment ref="K69" authorId="0" shapeId="0">
      <text>
        <t>raw warhead damages: 10000, 5, 600
import scales all proportionally</t>
      </text>
    </comment>
    <comment ref="K70" authorId="0" shapeId="0">
      <text>
        <t>raw warhead damages: 12000, 6000, 6, 12000, 6000, 6, 12000, 6, 12000, 6
import scales all proportionally</t>
      </text>
    </comment>
    <comment ref="K72" authorId="0" shapeId="0">
      <text>
        <t>raw warhead damages: 6000, 3, 6000, 3, 600
import scales all proportionally</t>
      </text>
    </comment>
    <comment ref="K75" authorId="0" shapeId="0">
      <text>
        <t>raw warhead damages: 32000, 16000, 16
import scales all proportionally</t>
      </text>
    </comment>
    <comment ref="AA75" authorId="0" shapeId="0">
      <text>
        <t>fires when: !cabal_upgrade_neutronnuclearcatalyst</t>
      </text>
    </comment>
    <comment ref="K76" authorId="0" shapeId="0">
      <text>
        <t>raw warhead damages: 32000, 16000, 16
import scales all proportionally</t>
      </text>
    </comment>
    <comment ref="AA76" authorId="0" shapeId="0">
      <text>
        <t>fires when: cabal_upgrade_neutronnuclearcatalyst</t>
      </text>
    </comment>
    <comment ref="K79" authorId="0" shapeId="0">
      <text>
        <t>raw warhead damages: 44000, 22, 600
import scales all proportionally</t>
      </text>
    </comment>
    <comment ref="K81" authorId="0" shapeId="0">
      <text>
        <t>raw warhead damages: 16000, 8
import scales all proportionally</t>
      </text>
    </comment>
    <comment ref="AA81" authorId="0" shapeId="0">
      <text>
        <t>fires when: !cabal_upgrade_neutronnuclearcatalyst</t>
      </text>
    </comment>
    <comment ref="K82" authorId="0" shapeId="0">
      <text>
        <t>raw warhead damages: 24000, 6
import scales all proportionally</t>
      </text>
    </comment>
    <comment ref="AA82" authorId="0" shapeId="0">
      <text>
        <t>fires when: cabal_upgrade_neutronnuclearcatalyst</t>
      </text>
    </comment>
    <comment ref="K85" authorId="0" shapeId="0">
      <text>
        <t>raw warhead damages: 60000, 30, 60000, 30, 600
import scales all proportionally</t>
      </text>
    </comment>
    <comment ref="K88" authorId="0" shapeId="0">
      <text>
        <t>raw warhead damages: 4000, 2, 2000
import scales all proportionally</t>
      </text>
    </comment>
    <comment ref="K90" authorId="0" shapeId="0">
      <text>
        <t>raw warhead damages: 4000, 2, 4000, 2, 600
import scales all proportionally</t>
      </text>
    </comment>
    <comment ref="K93" authorId="0" shapeId="0">
      <text>
        <t>raw warhead damages: 24000, 1000, 12
import scales all proportionally</t>
      </text>
    </comment>
    <comment ref="K94" authorId="0" shapeId="0">
      <text>
        <t>raw warhead damages: 2000, 1, 600
import scales all proportionally</t>
      </text>
    </comment>
    <comment ref="K96" authorId="0" shapeId="0">
      <text>
        <t>raw warhead damages: 8000, 4, 600, 8000, 4
import scales all proportionally</t>
      </text>
    </comment>
    <comment ref="K97" authorId="0" shapeId="0">
      <text>
        <t>raw warhead damages: 4000, 2, 4000, 2, 4000, 2000, 2, 4000, 2000, 2, 4000, 2, 4000, 2
import scales all proportionally</t>
      </text>
    </comment>
    <comment ref="K99" authorId="0" shapeId="0">
      <text>
        <t>raw warhead damages: 10000, 5, 600, 10000, 5, 1000, 10000, 5
import scales all proportionally</t>
      </text>
    </comment>
    <comment ref="K100" authorId="0" shapeId="0">
      <text>
        <t>raw warhead damages: 4000, 2, 4000, 2, 4000, 2000, 2, 4000, 2000, 2, 4000, 2, 4000, 2
import scales all proportionally</t>
      </text>
    </comment>
    <comment ref="K102" authorId="0" shapeId="0">
      <text>
        <t>raw warhead damages: 20000, 10, 600
import scales all proportionally</t>
      </text>
    </comment>
    <comment ref="K103" authorId="0" shapeId="0">
      <text>
        <t>raw warhead damages: 10000, 5000, 5, 10000, 5, 10000, 5000, 5, 10000, 5000, 5, 10000, 5000, 5, 10000, 5
import scales all proportionally</t>
      </text>
    </comment>
    <comment ref="K105" authorId="0" shapeId="0">
      <text>
        <t>raw warhead damages: 4000, 2, 2000
import scales all proportionally</t>
      </text>
    </comment>
    <comment ref="K107" authorId="0" shapeId="0">
      <text>
        <t>raw warhead damages: 4000, 2, 2000
import scales all proportionally</t>
      </text>
    </comment>
    <comment ref="K109" authorId="0" shapeId="0">
      <text>
        <t>raw warhead damages: 12500, 5, 600
import scales all proportionally</t>
      </text>
    </comment>
    <comment ref="K110" authorId="0" shapeId="0">
      <text>
        <t>raw warhead damages: 12500, 5, 600
import scales all proportionally</t>
      </text>
    </comment>
    <comment ref="K112" authorId="0" shapeId="0">
      <text>
        <t>raw warhead damages: -1600, -1000, -1
import scales all proportionally</t>
      </text>
    </comment>
    <comment ref="K115" authorId="0" shapeId="0">
      <text>
        <t>raw warhead damages: 70000, 35, 70000, 35, 600, 70000, 35000, 35, 70000, 35000, 35
import scales all proportionally</t>
      </text>
    </comment>
    <comment ref="K118" authorId="0" shapeId="0">
      <text>
        <t>raw warhead damages: 36000, 18, 600
import scales all proportionally</t>
      </text>
    </comment>
    <comment ref="K121" authorId="0" shapeId="0">
      <text>
        <t>raw warhead damages: 10000, 5, 10000, 5, 600
import scales all proportionally</t>
      </text>
    </comment>
  </commentList>
</comments>
</file>

<file path=xl/comments/comment27.xml><?xml version="1.0" encoding="utf-8"?>
<comments xmlns="http://schemas.openxmlformats.org/spreadsheetml/2006/main">
  <authors>
    <author>balance-pipeline</author>
  </authors>
  <commentList>
    <comment ref="K4" authorId="0" shapeId="0">
      <text>
        <t>raw warhead damages: 32000, 16000, 16, 32000, 16000, 16
import scales all proportionally</t>
      </text>
    </comment>
    <comment ref="AA4" authorId="0" shapeId="0">
      <text>
        <t>fires when: !forgotten_upgrade_chemicalweapons</t>
      </text>
    </comment>
    <comment ref="K5" authorId="0" shapeId="0">
      <text>
        <t>raw warhead damages: 32000, 16000, 16, 32000, 16000, 16, 32000, 16000, 16
import scales all proportionally</t>
      </text>
    </comment>
    <comment ref="AA5" authorId="0" shapeId="0">
      <text>
        <t>fires when: forgotten_upgrade_chemicalweapons</t>
      </text>
    </comment>
    <comment ref="K6" authorId="0" shapeId="0">
      <text>
        <t>raw warhead damages: 32000, 16000, 16, 32000, 16000, 16
import scales all proportionally</t>
      </text>
    </comment>
    <comment ref="AA6" authorId="0" shapeId="0">
      <text>
        <t>fires when: !forgotten_upgrade_chemicalweapons</t>
      </text>
    </comment>
    <comment ref="K7" authorId="0" shapeId="0">
      <text>
        <t>raw warhead damages: 32000, 16000, 16, 32000, 16000, 16, 32000, 16000, 16
import scales all proportionally</t>
      </text>
    </comment>
    <comment ref="AA7" authorId="0" shapeId="0">
      <text>
        <t>fires when: forgotten_upgrade_chemicalweapons</t>
      </text>
    </comment>
    <comment ref="K11" authorId="0" shapeId="0">
      <text>
        <t>raw warhead damages: 20000, 10
import scales all proportionally</t>
      </text>
    </comment>
    <comment ref="K12" authorId="0" shapeId="0">
      <text>
        <t>raw warhead damages: 20000, 10
import scales all proportionally</t>
      </text>
    </comment>
    <comment ref="K14" authorId="0" shapeId="0">
      <text>
        <t>raw warhead damages: 20000, 10000, 10
import scales all proportionally</t>
      </text>
    </comment>
    <comment ref="AA14" authorId="0" shapeId="0">
      <text>
        <t>fires when: !forgotten_upgrade_chemicalweapons</t>
      </text>
    </comment>
    <comment ref="K15" authorId="0" shapeId="0">
      <text>
        <t>raw warhead damages: 20000, 10000, 10, 10000, 5000, 5
import scales all proportionally</t>
      </text>
    </comment>
    <comment ref="AA15" authorId="0" shapeId="0">
      <text>
        <t>fires when: forgotten_upgrade_chemicalweapons</t>
      </text>
    </comment>
    <comment ref="K17" authorId="0" shapeId="0">
      <text>
        <t>raw warhead damages: 20000, 10000, 10
import scales all proportionally</t>
      </text>
    </comment>
    <comment ref="AA17" authorId="0" shapeId="0">
      <text>
        <t>fires when: !forgotten_upgrade_chemicalweapons</t>
      </text>
    </comment>
    <comment ref="K18" authorId="0" shapeId="0">
      <text>
        <t>raw warhead damages: 20000, 10000, 10, 10000, 5000, 5
import scales all proportionally</t>
      </text>
    </comment>
    <comment ref="AA18" authorId="0" shapeId="0">
      <text>
        <t>fires when: forgotten_upgrade_chemicalweapons</t>
      </text>
    </comment>
    <comment ref="K20" authorId="0" shapeId="0">
      <text>
        <t>raw warhead damages: 20000, 10000, 10
import scales all proportionally</t>
      </text>
    </comment>
    <comment ref="AA20" authorId="0" shapeId="0">
      <text>
        <t>fires when: !forgotten_upgrade_chemicalweapons</t>
      </text>
    </comment>
    <comment ref="K21" authorId="0" shapeId="0">
      <text>
        <t>raw warhead damages: 20000, 10000, 10, 10000, 5000, 5
import scales all proportionally</t>
      </text>
    </comment>
    <comment ref="AA21" authorId="0" shapeId="0">
      <text>
        <t>fires when: forgotten_upgrade_chemicalweapons</t>
      </text>
    </comment>
    <comment ref="K23" authorId="0" shapeId="0">
      <text>
        <t>raw warhead damages: 20000, 10000, 10
import scales all proportionally</t>
      </text>
    </comment>
    <comment ref="AA23" authorId="0" shapeId="0">
      <text>
        <t>fires when: !forgotten_upgrade_chemicalweapons</t>
      </text>
    </comment>
    <comment ref="K24" authorId="0" shapeId="0">
      <text>
        <t>raw warhead damages: 20000, 10000, 10, 10000, 5000, 5
import scales all proportionally</t>
      </text>
    </comment>
    <comment ref="AA24" authorId="0" shapeId="0">
      <text>
        <t>fires when: forgotten_upgrade_chemicalweapons</t>
      </text>
    </comment>
    <comment ref="K26" authorId="0" shapeId="0">
      <text>
        <t>raw warhead damages: 20000, 10000, 10
import scales all proportionally</t>
      </text>
    </comment>
    <comment ref="AA26" authorId="0" shapeId="0">
      <text>
        <t>fires when: !forgotten_upgrade_chemicalweapons</t>
      </text>
    </comment>
    <comment ref="K27" authorId="0" shapeId="0">
      <text>
        <t>raw warhead damages: 20000, 10000, 10, 10000, 5000, 5
import scales all proportionally</t>
      </text>
    </comment>
    <comment ref="AA27" authorId="0" shapeId="0">
      <text>
        <t>fires when: forgotten_upgrade_chemicalweapons</t>
      </text>
    </comment>
    <comment ref="K28" authorId="0" shapeId="0">
      <text>
        <t>raw warhead damages: 20000, 10000, 10
import scales all proportionally</t>
      </text>
    </comment>
    <comment ref="AA28" authorId="0" shapeId="0">
      <text>
        <t>fires when: !forgotten_upgrade_chemicalweapons</t>
      </text>
    </comment>
    <comment ref="K29" authorId="0" shapeId="0">
      <text>
        <t>raw warhead damages: 20000, 10000, 10, 10000, 5000, 5
import scales all proportionally</t>
      </text>
    </comment>
    <comment ref="AA29" authorId="0" shapeId="0">
      <text>
        <t>fires when: forgotten_upgrade_chemicalweapons</t>
      </text>
    </comment>
    <comment ref="K31" authorId="0" shapeId="0">
      <text>
        <t>raw warhead damages: 2000, 1
import scales all proportionally</t>
      </text>
    </comment>
    <comment ref="K32" authorId="0" shapeId="0">
      <text>
        <t>raw warhead damages: 2000, 1
import scales all proportionally</t>
      </text>
    </comment>
    <comment ref="K34" authorId="0" shapeId="0">
      <text>
        <t>raw warhead damages: 2000, 1
import scales all proportionally</t>
      </text>
    </comment>
    <comment ref="K35" authorId="0" shapeId="0">
      <text>
        <t>raw warhead damages: 2000, 1
import scales all proportionally</t>
      </text>
    </comment>
    <comment ref="K37" authorId="0" shapeId="0">
      <text>
        <t>raw warhead damages: 2000, 1
import scales all proportionally</t>
      </text>
    </comment>
    <comment ref="K38" authorId="0" shapeId="0">
      <text>
        <t>raw warhead damages: 2000, 1
import scales all proportionally</t>
      </text>
    </comment>
    <comment ref="K41" authorId="0" shapeId="0">
      <text>
        <t>raw warhead damages: 16000, 8000, 8, 16000, 8
import scales all proportionally</t>
      </text>
    </comment>
    <comment ref="AA41" authorId="0" shapeId="0">
      <text>
        <t>fires when: !forgotten_upgrade_chemicalweapons</t>
      </text>
    </comment>
    <comment ref="K42" authorId="0" shapeId="0">
      <text>
        <t>raw warhead damages: 16000, 8000, 8, 16000, 8, 16000, 8000, 8, 16000, 8000, 8
import scales all proportionally</t>
      </text>
    </comment>
    <comment ref="AA42" authorId="0" shapeId="0">
      <text>
        <t>fires when: forgotten_upgrade_chemicalweapons</t>
      </text>
    </comment>
    <comment ref="K43" authorId="0" shapeId="0">
      <text>
        <t>raw warhead damages: 16000, 8000, 8, 16000, 8
import scales all proportionally</t>
      </text>
    </comment>
    <comment ref="AA43" authorId="0" shapeId="0">
      <text>
        <t>fires when: !forgotten_upgrade_chemicalweapons</t>
      </text>
    </comment>
    <comment ref="K44" authorId="0" shapeId="0">
      <text>
        <t>raw warhead damages: 16000, 8000, 8, 16000, 8, 16000, 8000, 8, 16000, 8000, 8
import scales all proportionally</t>
      </text>
    </comment>
    <comment ref="AA44" authorId="0" shapeId="0">
      <text>
        <t>fires when: forgotten_upgrade_chemicalweapons</t>
      </text>
    </comment>
    <comment ref="K46" authorId="0" shapeId="0">
      <text>
        <t>raw warhead damages: 2000, 1, 2000, 1
import scales all proportionally</t>
      </text>
    </comment>
    <comment ref="K47" authorId="0" shapeId="0">
      <text>
        <t>raw warhead damages: 2000, 1, 2000, 1
import scales all proportionally</t>
      </text>
    </comment>
    <comment ref="K49" authorId="0" shapeId="0">
      <text>
        <t>raw warhead damages: 10000, 5
import scales all proportionally</t>
      </text>
    </comment>
    <comment ref="K50" authorId="0" shapeId="0">
      <text>
        <t>raw warhead damages: 10000, 5
import scales all proportionally</t>
      </text>
    </comment>
    <comment ref="K52" authorId="0" shapeId="0">
      <text>
        <t>raw warhead damages: 10000, 5
import scales all proportionally</t>
      </text>
    </comment>
    <comment ref="K53" authorId="0" shapeId="0">
      <text>
        <t>raw warhead damages: 10000, 5
import scales all proportionally</t>
      </text>
    </comment>
    <comment ref="K55" authorId="0" shapeId="0">
      <text>
        <t>raw warhead damages: 10000, 5
import scales all proportionally</t>
      </text>
    </comment>
    <comment ref="K56" authorId="0" shapeId="0">
      <text>
        <t>raw warhead damages: 10000, 5
import scales all proportionally</t>
      </text>
    </comment>
    <comment ref="K58" authorId="0" shapeId="0">
      <text>
        <t>raw warhead damages: 8000, 4
import scales all proportionally</t>
      </text>
    </comment>
    <comment ref="K59" authorId="0" shapeId="0">
      <text>
        <t>raw warhead damages: 8000, 4
import scales all proportionally</t>
      </text>
    </comment>
    <comment ref="K61" authorId="0" shapeId="0">
      <text>
        <t>raw warhead damages: 8000, 4
import scales all proportionally</t>
      </text>
    </comment>
    <comment ref="K62" authorId="0" shapeId="0">
      <text>
        <t>raw warhead damages: 8000, 4
import scales all proportionally</t>
      </text>
    </comment>
    <comment ref="K64" authorId="0" shapeId="0">
      <text>
        <t>raw warhead damages: 24000, 12
import scales all proportionally</t>
      </text>
    </comment>
    <comment ref="AA64" authorId="0" shapeId="0">
      <text>
        <t>fires when: !forgotten_upgrade_chemicalweapons</t>
      </text>
    </comment>
    <comment ref="K65" authorId="0" shapeId="0">
      <text>
        <t>raw warhead damages: 24000, 12
import scales all proportionally</t>
      </text>
    </comment>
    <comment ref="AA65" authorId="0" shapeId="0">
      <text>
        <t>fires when: !forgotten_upgrade_chemicalweapons</t>
      </text>
    </comment>
    <comment ref="K66" authorId="0" shapeId="0">
      <text>
        <t>raw warhead damages: 6000, 3000, 3, 24000, 12
import scales all proportionally</t>
      </text>
    </comment>
    <comment ref="AA66" authorId="0" shapeId="0">
      <text>
        <t>fires when: forgotten_upgrade_chemicalweapons</t>
      </text>
    </comment>
    <comment ref="K67" authorId="0" shapeId="0">
      <text>
        <t>raw warhead damages: 6000, 3000, 3, 24000, 12
import scales all proportionally</t>
      </text>
    </comment>
    <comment ref="AA67" authorId="0" shapeId="0">
      <text>
        <t>fires when: forgotten_upgrade_chemicalweapons</t>
      </text>
    </comment>
    <comment ref="K69" authorId="0" shapeId="0">
      <text>
        <t>raw warhead damages: 4000, 2000, 2, 4000, 2000, 2, 4000, 2, 4000, 2, 4000, 2, 4000, 2
import scales all proportionally</t>
      </text>
    </comment>
    <comment ref="K70" authorId="0" shapeId="0">
      <text>
        <t>raw warhead damages: 4000, 2000, 2, 4000, 2000, 2, 4000, 2, 4000, 2, 4000, 2, 4000, 2
import scales all proportionally</t>
      </text>
    </comment>
    <comment ref="K72" authorId="0" shapeId="0">
      <text>
        <t>raw warhead damages: 6000, 3000, 3, 6000, 3000, 3
import scales all proportionally</t>
      </text>
    </comment>
    <comment ref="AA72" authorId="0" shapeId="0">
      <text>
        <t>fires when: !forgotten_upgrade_chemicalweapons</t>
      </text>
    </comment>
    <comment ref="K73" authorId="0" shapeId="0">
      <text>
        <t>raw warhead damages: 6000, 3000, 3, 6000, 3000, 3
import scales all proportionally</t>
      </text>
    </comment>
    <comment ref="AA73" authorId="0" shapeId="0">
      <text>
        <t>fires when: !forgotten_upgrade_chemicalweapons</t>
      </text>
    </comment>
    <comment ref="K74" authorId="0" shapeId="0">
      <text>
        <t>raw warhead damages: 6000, 3000, 3, 6000, 3000, 3, 6000, 3000, 3
import scales all proportionally</t>
      </text>
    </comment>
    <comment ref="AA74" authorId="0" shapeId="0">
      <text>
        <t>fires when: forgotten_upgrade_chemicalweapons</t>
      </text>
    </comment>
    <comment ref="K75" authorId="0" shapeId="0">
      <text>
        <t>raw warhead damages: 6000, 3000, 3, 6000, 3000, 3, 6000, 3000, 3
import scales all proportionally</t>
      </text>
    </comment>
    <comment ref="AA75" authorId="0" shapeId="0">
      <text>
        <t>fires when: forgotten_upgrade_chemicalweapons</t>
      </text>
    </comment>
    <comment ref="K77" authorId="0" shapeId="0">
      <text>
        <t>raw warhead damages: 6000, 3000, 3, 6000, 3000, 3
import scales all proportionally</t>
      </text>
    </comment>
    <comment ref="AA77" authorId="0" shapeId="0">
      <text>
        <t>fires when: !forgotten_upgrade_chemicalweapons</t>
      </text>
    </comment>
    <comment ref="K78" authorId="0" shapeId="0">
      <text>
        <t>raw warhead damages: 6000, 3000, 3, 6000, 3000, 3
import scales all proportionally</t>
      </text>
    </comment>
    <comment ref="AA78" authorId="0" shapeId="0">
      <text>
        <t>fires when: !forgotten_upgrade_chemicalweapons</t>
      </text>
    </comment>
    <comment ref="K79" authorId="0" shapeId="0">
      <text>
        <t>raw warhead damages: 6000, 3000, 3, 6000, 3000, 3, 6000, 3000, 3
import scales all proportionally</t>
      </text>
    </comment>
    <comment ref="AA79" authorId="0" shapeId="0">
      <text>
        <t>fires when: forgotten_upgrade_chemicalweapons</t>
      </text>
    </comment>
    <comment ref="K80" authorId="0" shapeId="0">
      <text>
        <t>raw warhead damages: 6000, 3000, 3, 6000, 3000, 3, 6000, 3000, 3
import scales all proportionally</t>
      </text>
    </comment>
    <comment ref="AA80" authorId="0" shapeId="0">
      <text>
        <t>fires when: forgotten_upgrade_chemicalweapons</t>
      </text>
    </comment>
    <comment ref="K82" authorId="0" shapeId="0">
      <text>
        <t>raw warhead damages: 6000, 3000, 3, 6000, 3000, 3, 6000, 3000, 3, 6000, 3000, 3
import scales all proportionally</t>
      </text>
    </comment>
    <comment ref="AA82" authorId="0" shapeId="0">
      <text>
        <t>fires when: !forgotten_upgrade_chemicalweapons</t>
      </text>
    </comment>
    <comment ref="K83" authorId="0" shapeId="0">
      <text>
        <t>raw warhead damages: 6000, 3000, 3, 6000, 3000, 3, 6000, 3000, 3, 6000, 3000, 3
import scales all proportionally</t>
      </text>
    </comment>
    <comment ref="AA83" authorId="0" shapeId="0">
      <text>
        <t>fires when: !forgotten_upgrade_chemicalweapons</t>
      </text>
    </comment>
    <comment ref="K84" authorId="0" shapeId="0">
      <text>
        <t>raw warhead damages: 6000, 3000, 3, 6000, 3000, 3, 6000, 3000, 3, 6000, 3000, 3, 6000, 3000, 3, 6000, 3
import scales all proportionally</t>
      </text>
    </comment>
    <comment ref="AA84" authorId="0" shapeId="0">
      <text>
        <t>fires when: forgotten_upgrade_chemicalweapons</t>
      </text>
    </comment>
    <comment ref="K85" authorId="0" shapeId="0">
      <text>
        <t>raw warhead damages: 6000, 3000, 3, 6000, 3000, 3, 6000, 3000, 3, 6000, 3000, 3, 6000, 3000, 3, 6000, 3
import scales all proportionally</t>
      </text>
    </comment>
    <comment ref="AA85" authorId="0" shapeId="0">
      <text>
        <t>fires when: forgotten_upgrade_chemicalweapons</t>
      </text>
    </comment>
    <comment ref="K87" authorId="0" shapeId="0">
      <text>
        <t>raw warhead damages: 10000, 5000, 5, 10000, 5000, 5
import scales all proportionally</t>
      </text>
    </comment>
    <comment ref="AA87" authorId="0" shapeId="0">
      <text>
        <t>fires when: !forgotten_upgrade_chemicalweapons</t>
      </text>
    </comment>
    <comment ref="K88" authorId="0" shapeId="0">
      <text>
        <t>raw warhead damages: 10000, 5000, 5, 10000, 5000, 5
import scales all proportionally</t>
      </text>
    </comment>
    <comment ref="AA88" authorId="0" shapeId="0">
      <text>
        <t>fires when: !forgotten_upgrade_chemicalweapons</t>
      </text>
    </comment>
    <comment ref="K89" authorId="0" shapeId="0">
      <text>
        <t>raw warhead damages: 10000, 5000, 5, 10000, 5000, 5, 10000, 5000, 5
import scales all proportionally</t>
      </text>
    </comment>
    <comment ref="AA89" authorId="0" shapeId="0">
      <text>
        <t>fires when: forgotten_upgrade_chemicalweapons</t>
      </text>
    </comment>
    <comment ref="K90" authorId="0" shapeId="0">
      <text>
        <t>raw warhead damages: 10000, 5000, 5, 10000, 5000, 5, 10000, 5000, 5
import scales all proportionally</t>
      </text>
    </comment>
    <comment ref="AA90" authorId="0" shapeId="0">
      <text>
        <t>fires when: forgotten_upgrade_chemicalweapons</t>
      </text>
    </comment>
    <comment ref="K92" authorId="0" shapeId="0">
      <text>
        <t>raw warhead damages: 16000, 8000, 8
import scales all proportionally</t>
      </text>
    </comment>
    <comment ref="K93" authorId="0" shapeId="0">
      <text>
        <t>raw warhead damages: 16000, 8000, 8
import scales all proportionally</t>
      </text>
    </comment>
    <comment ref="K96" authorId="0" shapeId="0">
      <text>
        <t>raw warhead damages: 2000, 1, 1000, 1
import scales all proportionally</t>
      </text>
    </comment>
    <comment ref="K98" authorId="0" shapeId="0">
      <text>
        <t>raw warhead damages: 2000, 1, 2000, 1
import scales all proportionally</t>
      </text>
    </comment>
    <comment ref="K100" authorId="0" shapeId="0">
      <text>
        <t>raw warhead damages: 40000, 20, 40000, 20000, 20
import scales all proportionally</t>
      </text>
    </comment>
    <comment ref="K101" authorId="0" shapeId="0">
      <text>
        <t>raw warhead damages: 20000, 10, 20000, 10000, 10
import scales all proportionally</t>
      </text>
    </comment>
    <comment ref="K103" authorId="0" shapeId="0">
      <text>
        <t>raw warhead damages: 28000, 14000, 14
import scales all proportionally</t>
      </text>
    </comment>
    <comment ref="AA103" authorId="0" shapeId="0">
      <text>
        <t>fires when: !forgotten_upgrade_chemicalweapons</t>
      </text>
    </comment>
    <comment ref="K104" authorId="0" shapeId="0">
      <text>
        <t>raw warhead damages: 28000, 14000, 14, 14000, 7000, 7
import scales all proportionally</t>
      </text>
    </comment>
    <comment ref="AA104" authorId="0" shapeId="0">
      <text>
        <t>fires when: forgotten_upgrade_chemicalweapons</t>
      </text>
    </comment>
    <comment ref="K106" authorId="0" shapeId="0">
      <text>
        <t>raw warhead damages: 3600, 30000, 15000, 15, 30000, 15
import scales all proportionally</t>
      </text>
    </comment>
    <comment ref="AA106" authorId="0" shapeId="0">
      <text>
        <t>fires when: !forgotten_upgrade_chemicalweapons</t>
      </text>
    </comment>
    <comment ref="K107" authorId="0" shapeId="0">
      <text>
        <t>raw warhead damages: 3600, 30000, 15000, 15, 30000, 15000, 15, 30000, 15
import scales all proportionally</t>
      </text>
    </comment>
    <comment ref="AA107" authorId="0" shapeId="0">
      <text>
        <t>fires when: forgotten_upgrade_chemicalweapons</t>
      </text>
    </comment>
    <comment ref="K108" authorId="0" shapeId="0">
      <text>
        <t>raw warhead damages: 60000, 30
import scales all proportionally</t>
      </text>
    </comment>
    <comment ref="K110" authorId="0" shapeId="0">
      <text>
        <t>raw warhead damages: 20000, 10000, 10, 20000, 10000, 10
import scales all proportionally</t>
      </text>
    </comment>
    <comment ref="AA110" authorId="0" shapeId="0">
      <text>
        <t>fires when: !forgotten_upgrade_chemicalweapons</t>
      </text>
    </comment>
    <comment ref="K111" authorId="0" shapeId="0">
      <text>
        <t>raw warhead damages: 20000, 10000, 10, 20000, 10000, 10, 10000, 5000, 5, 10000, 5000, 5
import scales all proportionally</t>
      </text>
    </comment>
    <comment ref="AA111" authorId="0" shapeId="0">
      <text>
        <t>fires when: forgotten_upgrade_chemicalweapons</t>
      </text>
    </comment>
    <comment ref="K113" authorId="0" shapeId="0">
      <text>
        <t>raw warhead damages: 4000, 2, 4000, 2
import scales all proportionally</t>
      </text>
    </comment>
    <comment ref="AA113" authorId="0" shapeId="0">
      <text>
        <t>fires when: !forgotten_upgrade_chemicalweapons</t>
      </text>
    </comment>
    <comment ref="K114" authorId="0" shapeId="0">
      <text>
        <t>raw warhead damages: 4000, 2, 4000, 2
import scales all proportionally</t>
      </text>
    </comment>
    <comment ref="AA114" authorId="0" shapeId="0">
      <text>
        <t>fires when: !forgotten_upgrade_chemicalweapons</t>
      </text>
    </comment>
    <comment ref="K115" authorId="0" shapeId="0">
      <text>
        <t>raw warhead damages: 4000, 2, 4000, 2
import scales all proportionally</t>
      </text>
    </comment>
    <comment ref="AA115" authorId="0" shapeId="0">
      <text>
        <t>fires when: forgotten_upgrade_chemicalweapons</t>
      </text>
    </comment>
    <comment ref="K116" authorId="0" shapeId="0">
      <text>
        <t>raw warhead damages: 4000, 2, 4000, 2
import scales all proportionally</t>
      </text>
    </comment>
    <comment ref="AA116" authorId="0" shapeId="0">
      <text>
        <t>fires when: forgotten_upgrade_chemicalweapons</t>
      </text>
    </comment>
    <comment ref="K118" authorId="0" shapeId="0">
      <text>
        <t>raw warhead damages: 24000, 12000, 12
import scales all proportionally</t>
      </text>
    </comment>
    <comment ref="AA118" authorId="0" shapeId="0">
      <text>
        <t>fires when: !forgotten_upgrade_chemicalweapons</t>
      </text>
    </comment>
    <comment ref="K119" authorId="0" shapeId="0">
      <text>
        <t>raw warhead damages: 12000, 6000, 6, 24000, 12000, 12
import scales all proportionally</t>
      </text>
    </comment>
    <comment ref="AA119" authorId="0" shapeId="0">
      <text>
        <t>fires when: forgotten_upgrade_chemicalweapons</t>
      </text>
    </comment>
    <comment ref="K121" authorId="0" shapeId="0">
      <text>
        <t>raw warhead damages: 24000, 500, 12
import scales all proportionally</t>
      </text>
    </comment>
    <comment ref="AA121" authorId="0" shapeId="0">
      <text>
        <t>fires when: !forgotten_upgrade_chemicalweapons</t>
      </text>
    </comment>
    <comment ref="K122" authorId="0" shapeId="0">
      <text>
        <t>raw warhead damages: 12000, 6000, 6, 24000, 500, 12
import scales all proportionally</t>
      </text>
    </comment>
    <comment ref="AA122" authorId="0" shapeId="0">
      <text>
        <t>fires when: forgotten_upgrade_chemicalweapons</t>
      </text>
    </comment>
    <comment ref="K125" authorId="0" shapeId="0">
      <text>
        <t>raw warhead damages: 8000, 4
import scales all proportionally</t>
      </text>
    </comment>
    <comment ref="K127" authorId="0" shapeId="0">
      <text>
        <t>raw warhead damages: 4000, 2
import scales all proportionally</t>
      </text>
    </comment>
    <comment ref="K129" authorId="0" shapeId="0">
      <text>
        <t>raw warhead damages: 4000, 2
import scales all proportionally</t>
      </text>
    </comment>
    <comment ref="AA129" authorId="0" shapeId="0">
      <text>
        <t>fires when: !forgotten_upgrade_chemicalweapons</t>
      </text>
    </comment>
    <comment ref="K130" authorId="0" shapeId="0">
      <text>
        <t>raw warhead damages: 2000, 1000, 1, 4000, 2
import scales all proportionally</t>
      </text>
    </comment>
    <comment ref="AA130" authorId="0" shapeId="0">
      <text>
        <t>fires when: forgotten_upgrade_chemicalweapons</t>
      </text>
    </comment>
    <comment ref="K132" authorId="0" shapeId="0">
      <text>
        <t>raw warhead damages: 18000, 9000, 9, 18000, 9
import scales all proportionally</t>
      </text>
    </comment>
    <comment ref="AA132" authorId="0" shapeId="0">
      <text>
        <t>fires when: !forgotten_upgrade_chemicalweapons</t>
      </text>
    </comment>
    <comment ref="K133" authorId="0" shapeId="0">
      <text>
        <t>raw warhead damages: 10000, 5000, 5, 8000, 4000, 4, 18000, 9000, 9, 18000, 9
import scales all proportionally</t>
      </text>
    </comment>
    <comment ref="AA133" authorId="0" shapeId="0">
      <text>
        <t>fires when: forgotten_upgrade_chemicalweapons</t>
      </text>
    </comment>
    <comment ref="K135" authorId="0" shapeId="0">
      <text>
        <t>raw warhead damages: 8000, 4000, 4, 8000, 4
import scales all proportionally</t>
      </text>
    </comment>
    <comment ref="AA135" authorId="0" shapeId="0">
      <text>
        <t>fires when: !ts_nod_upgrade_tiberiumcoremissiles</t>
      </text>
    </comment>
    <comment ref="K136" authorId="0" shapeId="0">
      <text>
        <t>raw warhead damages: 8000, 4000, 4, 8000, 4000, 4, 8000, 4
import scales all proportionally</t>
      </text>
    </comment>
    <comment ref="AA136" authorId="0" shapeId="0">
      <text>
        <t>fires when: ts_nod_upgrade_tiberiumcoremissiles</t>
      </text>
    </comment>
    <comment ref="K138" authorId="0" shapeId="0">
      <text>
        <t>raw warhead damages: 20000, 10
import scales all proportionally</t>
      </text>
    </comment>
    <comment ref="AA138" authorId="0" shapeId="0">
      <text>
        <t>fires when: !forgotten_upgrade_chemicalweapons</t>
      </text>
    </comment>
    <comment ref="K139" authorId="0" shapeId="0">
      <text>
        <t>raw warhead damages: 10000, 5000, 5, 20000, 10
import scales all proportionally</t>
      </text>
    </comment>
    <comment ref="AA139" authorId="0" shapeId="0">
      <text>
        <t>fires when: forgotten_upgrade_chemicalweapons</t>
      </text>
    </comment>
    <comment ref="K141" authorId="0" shapeId="0">
      <text>
        <t>raw warhead damages: 30000, 15
import scales all proportionally</t>
      </text>
    </comment>
    <comment ref="AA141" authorId="0" shapeId="0">
      <text>
        <t>fires when: !forgotten_upgrade_chemicalweapons</t>
      </text>
    </comment>
    <comment ref="K142" authorId="0" shapeId="0">
      <text>
        <t>raw warhead damages: 15000, 7000, 7, 30000, 15
import scales all proportionally</t>
      </text>
    </comment>
    <comment ref="AA142" authorId="0" shapeId="0">
      <text>
        <t>fires when: forgotten_upgrade_chemicalweapons</t>
      </text>
    </comment>
    <comment ref="K144" authorId="0" shapeId="0">
      <text>
        <t>raw warhead damages: 32000, 16000, 16, 32000, 16
import scales all proportionally</t>
      </text>
    </comment>
    <comment ref="AA144" authorId="0" shapeId="0">
      <text>
        <t>fires when: !forgotten_upgrade_chemicalweapons</t>
      </text>
    </comment>
    <comment ref="K145" authorId="0" shapeId="0">
      <text>
        <t>raw warhead damages: 32000, 16000, 16, 32000, 16, 32000, 16000, 16, 32000, 16000, 16
import scales all proportionally</t>
      </text>
    </comment>
    <comment ref="AA145" authorId="0" shapeId="0">
      <text>
        <t>fires when: forgotten_upgrade_chemicalweapons</t>
      </text>
    </comment>
    <comment ref="K148" authorId="0" shapeId="0">
      <text>
        <t>raw warhead damages: 40000, 20
import scales all proportionally</t>
      </text>
    </comment>
    <comment ref="AA148" authorId="0" shapeId="0">
      <text>
        <t>fires when: !forgotten_upgrade_chemicalweapons</t>
      </text>
    </comment>
    <comment ref="K149" authorId="0" shapeId="0">
      <text>
        <t>raw warhead damages: 20000, 10000, 1, 40000, 20, 10
import scales all proportionally</t>
      </text>
    </comment>
    <comment ref="AA149" authorId="0" shapeId="0">
      <text>
        <t>fires when: forgotten_upgrade_chemicalweapons</t>
      </text>
    </comment>
    <comment ref="K152" authorId="0" shapeId="0">
      <text>
        <t>raw warhead damages: 4000, 2, 4000, 2, 4000, 2000, 2, 4000, 2000, 2, 4000, 2, 4000, 2
import scales all proportionally</t>
      </text>
    </comment>
    <comment ref="AA152" authorId="0" shapeId="0">
      <text>
        <t>fires when: !forgotten_upgrade_chemicalweapons</t>
      </text>
    </comment>
    <comment ref="K153" authorId="0" shapeId="0">
      <text>
        <t>raw warhead damages: 12000, 6000, 6, 4000, 2, 4000, 2, 4000, 2000, 2, 4000, 2000, 2, 4000, 2, 4000, 2
import scales all proportionally</t>
      </text>
    </comment>
    <comment ref="AA153" authorId="0" shapeId="0">
      <text>
        <t>fires when: forgotten_upgrade_chemicalweapons</t>
      </text>
    </comment>
    <comment ref="K157" authorId="0" shapeId="0">
      <text>
        <t>raw warhead damages: 4000, 2, 4000, 2, 4000, 2000, 2, 4000, 2000, 2, 4000, 2, 4000, 2
import scales all proportionally</t>
      </text>
    </comment>
    <comment ref="AA157" authorId="0" shapeId="0">
      <text>
        <t>fires when: !forgotten_upgrade_chemicalweapons</t>
      </text>
    </comment>
    <comment ref="K158" authorId="0" shapeId="0">
      <text>
        <t>raw warhead damages: 12000, 6000, 6, 4000, 2, 4000, 2, 4000, 2000, 2, 4000, 2000, 2, 4000, 2, 4000, 2
import scales all proportionally</t>
      </text>
    </comment>
    <comment ref="AA158" authorId="0" shapeId="0">
      <text>
        <t>fires when: forgotten_upgrade_chemicalweapons</t>
      </text>
    </comment>
    <comment ref="K160" authorId="0" shapeId="0">
      <text>
        <t>raw warhead damages: 120000, 60
import scales all proportionally</t>
      </text>
    </comment>
    <comment ref="AA160" authorId="0" shapeId="0">
      <text>
        <t>fires when: !forgotten_upgrade_chemicalweapons</t>
      </text>
    </comment>
    <comment ref="K161" authorId="0" shapeId="0">
      <text>
        <t>raw warhead damages: 120000, 60, 60000, 30000, 30
import scales all proportionally</t>
      </text>
    </comment>
    <comment ref="AA161" authorId="0" shapeId="0">
      <text>
        <t>fires when: forgotten_upgrade_chemicalweapons</t>
      </text>
    </comment>
    <comment ref="K163" authorId="0" shapeId="0">
      <text>
        <t>raw warhead damages: 180000, 90
import scales all proportionally</t>
      </text>
    </comment>
    <comment ref="AA163" authorId="0" shapeId="0">
      <text>
        <t>fires when: !forgotten_upgrade_chemicalweapons</t>
      </text>
    </comment>
    <comment ref="K164" authorId="0" shapeId="0">
      <text>
        <t>raw warhead damages: 180000, 90, 90000, 45000, 45
import scales all proportionally</t>
      </text>
    </comment>
    <comment ref="AA164" authorId="0" shapeId="0">
      <text>
        <t>fires when: forgotten_upgrade_chemicalweapons</t>
      </text>
    </comment>
    <comment ref="K166" authorId="0" shapeId="0">
      <text>
        <t>raw warhead damages: 4000, 2
import scales all proportionally</t>
      </text>
    </comment>
    <comment ref="K169" authorId="0" shapeId="0">
      <text>
        <t>raw warhead damages: 1000, 500, 1, 16000, 8
import scales all proportionally</t>
      </text>
    </comment>
    <comment ref="K170" authorId="0" shapeId="0">
      <text>
        <t>raw warhead damages: 60000, 30000, 30
import scales all proportionally</t>
      </text>
    </comment>
    <comment ref="K171" authorId="0" shapeId="0">
      <text>
        <t>raw warhead damages: 60000, 30000, 30
import scales all proportionally</t>
      </text>
    </comment>
    <comment ref="K173" authorId="0" shapeId="0">
      <text>
        <t>raw warhead damages: 10000, 5
import scales all proportionally</t>
      </text>
    </comment>
    <comment ref="K174" authorId="0" shapeId="0">
      <text>
        <t>raw warhead damages: 20000, 10000, 15
import scales all proportionally</t>
      </text>
    </comment>
    <comment ref="K175" authorId="0" shapeId="0">
      <text>
        <t>raw warhead damages: 60000, 30000, 30
import scales all proportionally</t>
      </text>
    </comment>
    <comment ref="K177" authorId="0" shapeId="0">
      <text>
        <t>raw warhead damages: 24000, 12000, 12
import scales all proportionally</t>
      </text>
    </comment>
    <comment ref="AA177" authorId="0" shapeId="0">
      <text>
        <t>fires when: !forgotten_upgrade_chemicalweapons</t>
      </text>
    </comment>
    <comment ref="K178" authorId="0" shapeId="0">
      <text>
        <t>raw warhead damages: 12000, 6000, 6, 24000, 12000, 12
import scales all proportionally</t>
      </text>
    </comment>
    <comment ref="AA178" authorId="0" shapeId="0">
      <text>
        <t>fires when: forgotten_upgrade_chemicalweapons</t>
      </text>
    </comment>
    <comment ref="K181" authorId="0" shapeId="0">
      <text>
        <t>raw warhead damages: 4000, 2, 4000, 2
import scales all proportionally</t>
      </text>
    </comment>
    <comment ref="AA181" authorId="0" shapeId="0">
      <text>
        <t>fires when: !forgotten_upgrade_chemicalweapons</t>
      </text>
    </comment>
    <comment ref="K182" authorId="0" shapeId="0">
      <text>
        <t>raw warhead damages: 4000, 2000, 2, 4000, 2, 4000, 2
import scales all proportionally</t>
      </text>
    </comment>
    <comment ref="AA182" authorId="0" shapeId="0">
      <text>
        <t>fires when: forgotten_upgrade_chemicalweapons</t>
      </text>
    </comment>
    <comment ref="K184" authorId="0" shapeId="0">
      <text>
        <t>raw warhead damages: 16000, 8000, 8, 16000, 8
import scales all proportionally</t>
      </text>
    </comment>
    <comment ref="AA184" authorId="0" shapeId="0">
      <text>
        <t>fires when: !forgotten_upgrade_chemicalweapons</t>
      </text>
    </comment>
    <comment ref="K185" authorId="0" shapeId="0">
      <text>
        <t>raw warhead damages: 16000, 8000, 8, 16000, 8000, 8, 16000, 8
import scales all proportionally</t>
      </text>
    </comment>
    <comment ref="AA185" authorId="0" shapeId="0">
      <text>
        <t>fires when: forgotten_upgrade_chemicalweapons</t>
      </text>
    </comment>
    <comment ref="K187" authorId="0" shapeId="0">
      <text>
        <t>raw warhead damages: 48000, 24
import scales all proportionally</t>
      </text>
    </comment>
    <comment ref="K189" authorId="0" shapeId="0">
      <text>
        <t>raw warhead damages: 10000, 5
import scales all proportionally</t>
      </text>
    </comment>
    <comment ref="K191" authorId="0" shapeId="0">
      <text>
        <t>raw warhead damages: 2000, 1, 2000, 1
import scales all proportionally</t>
      </text>
    </comment>
  </commentList>
</comments>
</file>

<file path=xl/comments/comment28.xml><?xml version="1.0" encoding="utf-8"?>
<comments xmlns="http://schemas.openxmlformats.org/spreadsheetml/2006/main">
  <authors>
    <author>balance-pipeline</author>
  </authors>
  <commentList>
    <comment ref="K4" authorId="0" shapeId="0">
      <text>
        <t>raw warhead damages: 12000, 6000, 6, 12000, 6, 6000
import scales all proportionally</t>
      </text>
    </comment>
    <comment ref="AA4" authorId="0" shapeId="0">
      <text>
        <t>fires when: !ts_gdi_upgrade_sonicweaponry</t>
      </text>
    </comment>
    <comment ref="K5" authorId="0" shapeId="0">
      <text>
        <t>raw warhead damages: 12000, 6000, 6, 12000, 6, 6000, 3000, 3, 6000, 3, 888, 6000
import scales all proportionally</t>
      </text>
    </comment>
    <comment ref="AA5" authorId="0" shapeId="0">
      <text>
        <t>fires when: ts_gdi_upgrade_sonicweaponry</t>
      </text>
    </comment>
    <comment ref="K6" authorId="0" shapeId="0">
      <text>
        <t>raw warhead damages: 12000, 6000, 6, 12000, 6, 6000
import scales all proportionally</t>
      </text>
    </comment>
    <comment ref="AA6" authorId="0" shapeId="0">
      <text>
        <t>fires when: !ts_gdi_upgrade_sonicweaponry</t>
      </text>
    </comment>
    <comment ref="K7" authorId="0" shapeId="0">
      <text>
        <t>raw warhead damages: 12000, 6000, 6, 12000, 6, 6000, 3000, 3, 6000, 3, 888, 6000
import scales all proportionally</t>
      </text>
    </comment>
    <comment ref="AA7" authorId="0" shapeId="0">
      <text>
        <t>fires when: ts_gdi_upgrade_sonicweaponry</t>
      </text>
    </comment>
    <comment ref="K11" authorId="0" shapeId="0">
      <text>
        <t>raw warhead damages: 20000, 10
import scales all proportionally</t>
      </text>
    </comment>
    <comment ref="K12" authorId="0" shapeId="0">
      <text>
        <t>raw warhead damages: 20000, 10
import scales all proportionally</t>
      </text>
    </comment>
    <comment ref="K14" authorId="0" shapeId="0">
      <text>
        <t>raw warhead damages: 2000, 1, 2000, 1
import scales all proportionally</t>
      </text>
    </comment>
    <comment ref="AA14" authorId="0" shapeId="0">
      <text>
        <t>fires when: !ts_gdi_upgrade_railgunweaponry</t>
      </text>
    </comment>
    <comment ref="K15" authorId="0" shapeId="0">
      <text>
        <t>raw warhead damages: 2000, 1, 2000, 1
import scales all proportionally</t>
      </text>
    </comment>
    <comment ref="AA15" authorId="0" shapeId="0">
      <text>
        <t>fires when: !ts_gdi_upgrade_railgunweaponry</t>
      </text>
    </comment>
    <comment ref="K16" authorId="0" shapeId="0">
      <text>
        <t>raw warhead damages: 2000, 1, 2000, 1, 2000, 1, 1000
import scales all proportionally</t>
      </text>
    </comment>
    <comment ref="AA16" authorId="0" shapeId="0">
      <text>
        <t>fires when: ts_gdi_upgrade_railgunweaponry</t>
      </text>
    </comment>
    <comment ref="K17" authorId="0" shapeId="0">
      <text>
        <t>raw warhead damages: 2000, 1, 2000, 1, 2000, 1, 1000
import scales all proportionally</t>
      </text>
    </comment>
    <comment ref="AA17" authorId="0" shapeId="0">
      <text>
        <t>fires when: ts_gdi_upgrade_railgunweaponry</t>
      </text>
    </comment>
    <comment ref="K19" authorId="0" shapeId="0">
      <text>
        <t>raw warhead damages: 4000, 2, 4000, 2
import scales all proportionally</t>
      </text>
    </comment>
    <comment ref="K21" authorId="0" shapeId="0">
      <text>
        <t>raw warhead damages: 2000, 1
import scales all proportionally</t>
      </text>
    </comment>
    <comment ref="K22" authorId="0" shapeId="0">
      <text>
        <t>raw warhead damages: 2000, 1
import scales all proportionally</t>
      </text>
    </comment>
    <comment ref="K25" authorId="0" shapeId="0">
      <text>
        <t>raw warhead damages: -2000, -1000, -1
import scales all proportionally</t>
      </text>
    </comment>
    <comment ref="K26" authorId="0" shapeId="0">
      <text>
        <t>raw warhead damages: -2000, -1000, -1
import scales all proportionally</t>
      </text>
    </comment>
    <comment ref="K28" authorId="0" shapeId="0">
      <text>
        <t>raw warhead damages: 40000, 1, 1000, 20
import scales all proportionally</t>
      </text>
    </comment>
    <comment ref="AA28" authorId="0" shapeId="0">
      <text>
        <t>fires when: !ts_gdi_upgrade_railgunweaponry</t>
      </text>
    </comment>
    <comment ref="K29" authorId="0" shapeId="0">
      <text>
        <t>raw warhead damages: 40000, 1, 1000, 20
import scales all proportionally</t>
      </text>
    </comment>
    <comment ref="AA29" authorId="0" shapeId="0">
      <text>
        <t>fires when: ts_gdi_upgrade_railgunweaponry</t>
      </text>
    </comment>
    <comment ref="K30" authorId="0" shapeId="0">
      <text>
        <t>raw warhead damages: 40000, 1, 1000, 20
import scales all proportionally</t>
      </text>
    </comment>
    <comment ref="AA30" authorId="0" shapeId="0">
      <text>
        <t>fires when: !ts_gdi_upgrade_railgunweaponry</t>
      </text>
    </comment>
    <comment ref="K31" authorId="0" shapeId="0">
      <text>
        <t>raw warhead damages: 40000, 1, 1000, 20
import scales all proportionally</t>
      </text>
    </comment>
    <comment ref="AA31" authorId="0" shapeId="0">
      <text>
        <t>fires when: ts_gdi_upgrade_railgunweaponry</t>
      </text>
    </comment>
    <comment ref="K33" authorId="0" shapeId="0">
      <text>
        <t>raw warhead damages: 4000, 2000, 2, 4000, 2000, 2, 4000, 2, 4000, 2, 4000, 2, 4000, 2
import scales all proportionally</t>
      </text>
    </comment>
    <comment ref="K34" authorId="0" shapeId="0">
      <text>
        <t>raw warhead damages: 4000, 2000, 2, 4000, 2000, 2, 4000, 2, 4000, 2, 4000, 2, 4000, 2
import scales all proportionally</t>
      </text>
    </comment>
    <comment ref="K36" authorId="0" shapeId="0">
      <text>
        <t>raw warhead damages: 40000, 1, 1000, 20
import scales all proportionally</t>
      </text>
    </comment>
    <comment ref="AA36" authorId="0" shapeId="0">
      <text>
        <t>fires when: !ts_gdi_upgrade_railgunweaponry</t>
      </text>
    </comment>
    <comment ref="K37" authorId="0" shapeId="0">
      <text>
        <t>raw warhead damages: 60000, 1, 1000, 30
import scales all proportionally</t>
      </text>
    </comment>
    <comment ref="AA37" authorId="0" shapeId="0">
      <text>
        <t>fires when: ts_gdi_upgrade_railgunweaponry</t>
      </text>
    </comment>
    <comment ref="K38" authorId="0" shapeId="0">
      <text>
        <t>raw warhead damages: 40000, 1, 1000, 20
import scales all proportionally</t>
      </text>
    </comment>
    <comment ref="AA38" authorId="0" shapeId="0">
      <text>
        <t>fires when: !ts_gdi_upgrade_railgunweaponry</t>
      </text>
    </comment>
    <comment ref="K39" authorId="0" shapeId="0">
      <text>
        <t>raw warhead damages: 60000, 1, 1000, 30
import scales all proportionally</t>
      </text>
    </comment>
    <comment ref="AA39" authorId="0" shapeId="0">
      <text>
        <t>fires when: ts_gdi_upgrade_railgunweaponry</t>
      </text>
    </comment>
    <comment ref="K42" authorId="0" shapeId="0">
      <text>
        <t>raw warhead damages: 2000, 1, 1000, 1
import scales all proportionally</t>
      </text>
    </comment>
    <comment ref="K44" authorId="0" shapeId="0">
      <text>
        <t>raw warhead damages: 2000, 1000, 1, 2000, 1, 888
import scales all proportionally</t>
      </text>
    </comment>
    <comment ref="AA44" authorId="0" shapeId="0">
      <text>
        <t>fires when: !ts_gdi_upgrade_sonicweaponry</t>
      </text>
    </comment>
    <comment ref="K45" authorId="0" shapeId="0">
      <text>
        <t>raw warhead damages: 4000, 2000, 2, 4000, 2, 888
import scales all proportionally</t>
      </text>
    </comment>
    <comment ref="AA45" authorId="0" shapeId="0">
      <text>
        <t>fires when: ts_gdi_upgrade_sonicweaponry</t>
      </text>
    </comment>
    <comment ref="K47" authorId="0" shapeId="0">
      <text>
        <t>raw warhead damages: 4000, 2, 4000, 2, 4000, 2000, 2
import scales all proportionally</t>
      </text>
    </comment>
    <comment ref="AA49" authorId="0" shapeId="0">
      <text>
        <t>fires when: !deployed</t>
      </text>
    </comment>
    <comment ref="K50" authorId="0" shapeId="0">
      <text>
        <t>raw warhead damages: 30000, 15000, 15
import scales all proportionally</t>
      </text>
    </comment>
    <comment ref="AA50" authorId="0" shapeId="0">
      <text>
        <t>fires when: deployed || undeployed</t>
      </text>
    </comment>
    <comment ref="K52" authorId="0" shapeId="0">
      <text>
        <t>raw warhead damages: 40000, 20000, 20
import scales all proportionally</t>
      </text>
    </comment>
    <comment ref="K54" authorId="0" shapeId="0">
      <text>
        <t>raw warhead damages: 80000, 1, 1000, 40
import scales all proportionally</t>
      </text>
    </comment>
    <comment ref="AA54" authorId="0" shapeId="0">
      <text>
        <t>fires when: !ts_gdi_upgrade_railgunweaponry</t>
      </text>
    </comment>
    <comment ref="K55" authorId="0" shapeId="0">
      <text>
        <t>raw warhead damages: 60000, 30
import scales all proportionally</t>
      </text>
    </comment>
    <comment ref="K56" authorId="0" shapeId="0">
      <text>
        <t>raw warhead damages: 80000, 1, 1000, 40
import scales all proportionally</t>
      </text>
    </comment>
    <comment ref="AA56" authorId="0" shapeId="0">
      <text>
        <t>fires when: ts_gdi_upgrade_railgunweaponry</t>
      </text>
    </comment>
    <comment ref="K57" authorId="0" shapeId="0">
      <text>
        <t>raw warhead damages: 16000, 8
import scales all proportionally</t>
      </text>
    </comment>
    <comment ref="K59" authorId="0" shapeId="0">
      <text>
        <t>raw warhead damages: 40000, 1, 1000, 20
import scales all proportionally</t>
      </text>
    </comment>
    <comment ref="AA59" authorId="0" shapeId="0">
      <text>
        <t>fires when: !ts_gdi_upgrade_railgunweaponry</t>
      </text>
    </comment>
    <comment ref="K60" authorId="0" shapeId="0">
      <text>
        <t>raw warhead damages: 42000, 21
import scales all proportionally</t>
      </text>
    </comment>
    <comment ref="K61" authorId="0" shapeId="0">
      <text>
        <t>raw warhead damages: 40000, 1, 1000, 20
import scales all proportionally</t>
      </text>
    </comment>
    <comment ref="AA61" authorId="0" shapeId="0">
      <text>
        <t>fires when: ts_gdi_upgrade_railgunweaponry</t>
      </text>
    </comment>
    <comment ref="K64" authorId="0" shapeId="0">
      <text>
        <t>raw warhead damages: 64000, 32000, 32
import scales all proportionally</t>
      </text>
    </comment>
    <comment ref="K67" authorId="0" shapeId="0">
      <text>
        <t>raw warhead damages: 20000, 10
import scales all proportionally</t>
      </text>
    </comment>
    <comment ref="K70" authorId="0" shapeId="0">
      <text>
        <t>raw warhead damages: 12000, 6
import scales all proportionally</t>
      </text>
    </comment>
    <comment ref="AA70" authorId="0" shapeId="0">
      <text>
        <t>fires when: !ts_gdi_upgrade_railgunweaponry</t>
      </text>
    </comment>
    <comment ref="K71" authorId="0" shapeId="0">
      <text>
        <t>raw warhead damages: 8000, 4, 8000, 4, 1000
import scales all proportionally</t>
      </text>
    </comment>
    <comment ref="AA71" authorId="0" shapeId="0">
      <text>
        <t>fires when: ts_gdi_upgrade_railgunweaponry</t>
      </text>
    </comment>
    <comment ref="K73" authorId="0" shapeId="0">
      <text>
        <t>raw warhead damages: 24000, 12
import scales all proportionally</t>
      </text>
    </comment>
    <comment ref="AA73" authorId="0" shapeId="0">
      <text>
        <t>fires when: !ts_gdi_upgrade_railgunweaponry</t>
      </text>
    </comment>
    <comment ref="K74" authorId="0" shapeId="0">
      <text>
        <t>raw warhead damages: 18000, 9, 18000, 9, 1000
import scales all proportionally</t>
      </text>
    </comment>
    <comment ref="AA74" authorId="0" shapeId="0">
      <text>
        <t>fires when: ts_gdi_upgrade_railgunweaponry</t>
      </text>
    </comment>
    <comment ref="K76" authorId="0" shapeId="0">
      <text>
        <t>raw warhead damages: 2000, 1, 2000, 1
import scales all proportionally</t>
      </text>
    </comment>
    <comment ref="AA76" authorId="0" shapeId="0">
      <text>
        <t>fires when: !ts_gdi_upgrade_sonicweaponry</t>
      </text>
    </comment>
    <comment ref="K77" authorId="0" shapeId="0">
      <text>
        <t>raw warhead damages: 2000, 1, 2000, 1, 2000, 1000, 1, 2000, 1, 888
import scales all proportionally</t>
      </text>
    </comment>
    <comment ref="AA77" authorId="0" shapeId="0">
      <text>
        <t>fires when: ts_gdi_upgrade_sonicweaponry</t>
      </text>
    </comment>
    <comment ref="K79" authorId="0" shapeId="0">
      <text>
        <t>raw warhead damages: 8000, 4
import scales all proportionally</t>
      </text>
    </comment>
    <comment ref="AA79" authorId="0" shapeId="0">
      <text>
        <t>fires when: !ts_gdi_upgrade_sonicweaponry</t>
      </text>
    </comment>
    <comment ref="K80" authorId="0" shapeId="0">
      <text>
        <t>raw warhead damages: 8000, 4, 4000, 2000, 2, 4000, 2, 888
import scales all proportionally</t>
      </text>
    </comment>
    <comment ref="AA80" authorId="0" shapeId="0">
      <text>
        <t>fires when: ts_gdi_upgrade_sonicweaponry</t>
      </text>
    </comment>
    <comment ref="K84" authorId="0" shapeId="0">
      <text>
        <t>raw warhead damages: 4000, 2
import scales all proportionally</t>
      </text>
    </comment>
    <comment ref="K86" authorId="0" shapeId="0">
      <text>
        <t>raw warhead damages: 8000, 4000, 4, 8000, 4, 1000, 8000, 4, 8000, 4, 8000, 4
import scales all proportionally</t>
      </text>
    </comment>
    <comment ref="AA86" authorId="0" shapeId="0">
      <text>
        <t>fires when: !ts_gdi_upgrade_sonicweaponry</t>
      </text>
    </comment>
    <comment ref="K87" authorId="0" shapeId="0">
      <text>
        <t>raw warhead damages: 8000, 4000, 4, 8000, 4, 1000, 8000, 4, 8000, 4, 8000, 4, 8000, 4000, 4, 8000, 4, 888
import scales all proportionally</t>
      </text>
    </comment>
    <comment ref="AA87" authorId="0" shapeId="0">
      <text>
        <t>fires when: ts_gdi_upgrade_sonicweaponry</t>
      </text>
    </comment>
    <comment ref="K88" authorId="0" shapeId="0">
      <text>
        <t>raw warhead damages: 6000, 3
import scales all proportionally</t>
      </text>
    </comment>
    <comment ref="K90" authorId="0" shapeId="0">
      <text>
        <t>raw warhead damages: 10000, 5000, 5, 10000, 5
import scales all proportionally</t>
      </text>
    </comment>
    <comment ref="AA90" authorId="0" shapeId="0">
      <text>
        <t>fires when: !ts_gdi_upgrade_sonicweaponry</t>
      </text>
    </comment>
    <comment ref="K91" authorId="0" shapeId="0">
      <text>
        <t>raw warhead damages: 10000, 5, 10000, 5000, 5, 10000, 5, 888
import scales all proportionally</t>
      </text>
    </comment>
    <comment ref="AA91" authorId="0" shapeId="0">
      <text>
        <t>fires when: ts_gdi_upgrade_sonicweaponry</t>
      </text>
    </comment>
    <comment ref="K93" authorId="0" shapeId="0">
      <text>
        <t>raw warhead damages: 4000, 2, 4000, 2, 4000, 2000, 2, 4000, 2000, 2, 4000, 2, 4000, 2
import scales all proportionally</t>
      </text>
    </comment>
    <comment ref="AA93" authorId="0" shapeId="0">
      <text>
        <t>fires when: !ts_gdi_upgrade_sonicweaponry</t>
      </text>
    </comment>
    <comment ref="K94" authorId="0" shapeId="0">
      <text>
        <t>raw warhead damages: 4000, 2, 4000, 2, 4000, 2000, 2, 4000, 2000, 2, 4000, 2, 4000, 2, 4000, 2000, 2, 4000, 2, 888
import scales all proportionally</t>
      </text>
    </comment>
    <comment ref="AA94" authorId="0" shapeId="0">
      <text>
        <t>fires when: ts_gdi_upgrade_sonicweaponry</t>
      </text>
    </comment>
    <comment ref="K96" authorId="0" shapeId="0">
      <text>
        <t>raw warhead damages: 4000, 2, 4000, 2, 4000, 2000, 2, 4000, 2000, 2, 4000, 2, 4000, 2
import scales all proportionally</t>
      </text>
    </comment>
    <comment ref="AA96" authorId="0" shapeId="0">
      <text>
        <t>fires when: !ts_gdi_upgrade_sonicweaponry</t>
      </text>
    </comment>
    <comment ref="K97" authorId="0" shapeId="0">
      <text>
        <t>raw warhead damages: 4000, 2, 4000, 2, 4000, 2000, 2, 4000, 2000, 2, 4000, 2, 4000, 2, 4000, 2000, 2, 4000, 2, 888
import scales all proportionally</t>
      </text>
    </comment>
    <comment ref="AA97" authorId="0" shapeId="0">
      <text>
        <t>fires when: ts_gdi_upgrade_sonicweaponry</t>
      </text>
    </comment>
    <comment ref="K100" authorId="0" shapeId="0">
      <text>
        <t>raw warhead damages: 2000, 1000, 1
import scales all proportionally</t>
      </text>
    </comment>
    <comment ref="K102" authorId="0" shapeId="0">
      <text>
        <t>raw warhead damages: 16000, 8000, 8, 16000, 8
import scales all proportionally</t>
      </text>
    </comment>
    <comment ref="AA102" authorId="0" shapeId="0">
      <text>
        <t>fires when: !ts_gdi_upgrade_railgunweaponry</t>
      </text>
    </comment>
    <comment ref="K103" authorId="0" shapeId="0">
      <text>
        <t>raw warhead damages: 16000, 8000, 8, 16000, 8, 16000, 1, 1000, 8
import scales all proportionally</t>
      </text>
    </comment>
    <comment ref="AA103" authorId="0" shapeId="0">
      <text>
        <t>fires when: ts_gdi_upgrade_railgunweaponry</t>
      </text>
    </comment>
    <comment ref="K105" authorId="0" shapeId="0">
      <text>
        <t>raw warhead damages: 8000, 4
import scales all proportionally</t>
      </text>
    </comment>
    <comment ref="K108" authorId="0" shapeId="0">
      <text>
        <t>raw warhead damages: 4000, 2, 4000, 2
import scales all proportionally</t>
      </text>
    </comment>
    <comment ref="AA108" authorId="0" shapeId="0">
      <text>
        <t>fires when: !ts_gdi_upgrade_sonicweaponry</t>
      </text>
    </comment>
    <comment ref="K109" authorId="0" shapeId="0">
      <text>
        <t>raw warhead damages: 4000, 2, 4000, 2, 4000, 2000, 2, 4000, 2, 888
import scales all proportionally</t>
      </text>
    </comment>
    <comment ref="AA109" authorId="0" shapeId="0">
      <text>
        <t>fires when: ts_gdi_upgrade_sonicweaponry</t>
      </text>
    </comment>
  </commentList>
</comments>
</file>

<file path=xl/comments/comment29.xml><?xml version="1.0" encoding="utf-8"?>
<comments xmlns="http://schemas.openxmlformats.org/spreadsheetml/2006/main">
  <authors>
    <author>balance-pipeline</author>
  </authors>
  <commentList>
    <comment ref="K4" authorId="0" shapeId="0">
      <text>
        <t>raw warhead damages: 50000, 25
import scales all proportionally</t>
      </text>
    </comment>
    <comment ref="K6" authorId="0" shapeId="0">
      <text>
        <t>raw warhead damages: 2000, 1, 2000, 1
import scales all proportionally</t>
      </text>
    </comment>
    <comment ref="AA6" authorId="0" shapeId="0">
      <text>
        <t>fires when: !ts_nod_upgrade_tiberiumlenses</t>
      </text>
    </comment>
    <comment ref="K7" authorId="0" shapeId="0">
      <text>
        <t>raw warhead damages: 2000, 1, 2000, 1, 2000, 1, 600
import scales all proportionally</t>
      </text>
    </comment>
    <comment ref="AA7" authorId="0" shapeId="0">
      <text>
        <t>fires when: ts_nod_upgrade_tiberiumlenses</t>
      </text>
    </comment>
    <comment ref="K8" authorId="0" shapeId="0">
      <text>
        <t>raw warhead damages: 2000, 1, 2000, 1
import scales all proportionally</t>
      </text>
    </comment>
    <comment ref="AA8" authorId="0" shapeId="0">
      <text>
        <t>fires when: !ts_nod_upgrade_tiberiumlenses</t>
      </text>
    </comment>
    <comment ref="K9" authorId="0" shapeId="0">
      <text>
        <t>raw warhead damages: 2000, 1, 2000, 1, 2000, 1, 600
import scales all proportionally</t>
      </text>
    </comment>
    <comment ref="AA9" authorId="0" shapeId="0">
      <text>
        <t>fires when: ts_nod_upgrade_tiberiumlenses</t>
      </text>
    </comment>
    <comment ref="K10" authorId="0" shapeId="0">
      <text>
        <t>raw warhead damages: 36000, 18000, 18
import scales all proportionally</t>
      </text>
    </comment>
    <comment ref="AA10" authorId="0" shapeId="0">
      <text>
        <t>fires when: ts_nod_upgrade_auxiliaryweapon</t>
      </text>
    </comment>
    <comment ref="K11" authorId="0" shapeId="0">
      <text>
        <t>raw warhead damages: 36000, 18000, 18
import scales all proportionally</t>
      </text>
    </comment>
    <comment ref="AA11" authorId="0" shapeId="0">
      <text>
        <t>fires when: ts_nod_upgrade_auxiliaryweapon</t>
      </text>
    </comment>
    <comment ref="K15" authorId="0" shapeId="0">
      <text>
        <t>raw warhead damages: 20000, 10
import scales all proportionally</t>
      </text>
    </comment>
    <comment ref="K16" authorId="0" shapeId="0">
      <text>
        <t>raw warhead damages: 20000, 10
import scales all proportionally</t>
      </text>
    </comment>
    <comment ref="K18" authorId="0" shapeId="0">
      <text>
        <t>raw warhead damages: 2000, 1
import scales all proportionally</t>
      </text>
    </comment>
    <comment ref="AA18" authorId="0" shapeId="0">
      <text>
        <t>fires when: !ts_nod_upgrade_tiberiumlenses</t>
      </text>
    </comment>
    <comment ref="K19" authorId="0" shapeId="0">
      <text>
        <t>raw warhead damages: 2000, 1
import scales all proportionally</t>
      </text>
    </comment>
    <comment ref="AA19" authorId="0" shapeId="0">
      <text>
        <t>fires when: !ts_nod_upgrade_tiberiumlenses</t>
      </text>
    </comment>
    <comment ref="K20" authorId="0" shapeId="0">
      <text>
        <t>raw warhead damages: 2000, 1, 2000, 1, 600
import scales all proportionally</t>
      </text>
    </comment>
    <comment ref="AA20" authorId="0" shapeId="0">
      <text>
        <t>fires when: ts_nod_upgrade_tiberiumlenses</t>
      </text>
    </comment>
    <comment ref="K21" authorId="0" shapeId="0">
      <text>
        <t>raw warhead damages: 2000, 1, 2000, 1, 600
import scales all proportionally</t>
      </text>
    </comment>
    <comment ref="AA21" authorId="0" shapeId="0">
      <text>
        <t>fires when: ts_nod_upgrade_tiberiumlenses</t>
      </text>
    </comment>
    <comment ref="K23" authorId="0" shapeId="0">
      <text>
        <t>raw warhead damages: 24000, 12
import scales all proportionally</t>
      </text>
    </comment>
    <comment ref="AA23" authorId="0" shapeId="0">
      <text>
        <t>fires when: !ts_nod_upgrade_tiberiumcoremissiles</t>
      </text>
    </comment>
    <comment ref="K24" authorId="0" shapeId="0">
      <text>
        <t>raw warhead damages: 24000, 12
import scales all proportionally</t>
      </text>
    </comment>
    <comment ref="AA24" authorId="0" shapeId="0">
      <text>
        <t>fires when: !ts_nod_upgrade_tiberiumcoremissiles</t>
      </text>
    </comment>
    <comment ref="K25" authorId="0" shapeId="0">
      <text>
        <t>raw warhead damages: 6000, 3000, 3, 24000, 12
import scales all proportionally</t>
      </text>
    </comment>
    <comment ref="AA25" authorId="0" shapeId="0">
      <text>
        <t>fires when: ts_nod_upgrade_tiberiumcoremissiles</t>
      </text>
    </comment>
    <comment ref="K26" authorId="0" shapeId="0">
      <text>
        <t>raw warhead damages: 6000, 3000, 3, 24000, 12
import scales all proportionally</t>
      </text>
    </comment>
    <comment ref="AA26" authorId="0" shapeId="0">
      <text>
        <t>fires when: ts_nod_upgrade_tiberiumcoremissiles</t>
      </text>
    </comment>
    <comment ref="K28" authorId="0" shapeId="0">
      <text>
        <t>raw warhead damages: 7000, 5
import scales all proportionally</t>
      </text>
    </comment>
    <comment ref="K29" authorId="0" shapeId="0">
      <text>
        <t>raw warhead damages: 7000, 5
import scales all proportionally</t>
      </text>
    </comment>
    <comment ref="K34" authorId="0" shapeId="0">
      <text>
        <t>raw warhead damages: 8000, 4000, 4, 8000, 4000, 4, 8000, 4, 8000, 4, 8000, 4, 8000, 4
import scales all proportionally</t>
      </text>
    </comment>
    <comment ref="K35" authorId="0" shapeId="0">
      <text>
        <t>raw warhead damages: 8000, 4000, 4, 8000, 4000, 4, 8000, 4, 8000, 4, 8000, 4, 8000, 4
import scales all proportionally</t>
      </text>
    </comment>
    <comment ref="K37" authorId="0" shapeId="0">
      <text>
        <t>raw warhead damages: 16000, 8000, 8
import scales all proportionally</t>
      </text>
    </comment>
    <comment ref="K38" authorId="0" shapeId="0">
      <text>
        <t>raw warhead damages: 16000, 8000, 8
import scales all proportionally</t>
      </text>
    </comment>
    <comment ref="AA41" authorId="0" shapeId="0">
      <text>
        <t>fires when: !deployed</t>
      </text>
    </comment>
    <comment ref="K42" authorId="0" shapeId="0">
      <text>
        <t>raw warhead damages: 30000, 15000, 15, 30000, 15
import scales all proportionally</t>
      </text>
    </comment>
    <comment ref="AA42" authorId="0" shapeId="0">
      <text>
        <t>fires when: (deployed || undeployed) &amp;&amp; !ts_nod_upgrade_auxiliaryweapon</t>
      </text>
    </comment>
    <comment ref="K43" authorId="0" shapeId="0">
      <text>
        <t>raw warhead damages: 30000, 15000, 15, 30000, 15
import scales all proportionally</t>
      </text>
    </comment>
    <comment ref="AA43" authorId="0" shapeId="0">
      <text>
        <t>fires when: (deployed || undeployed) &amp;&amp; ts_nod_upgrade_auxiliaryweapon</t>
      </text>
    </comment>
    <comment ref="K45" authorId="0" shapeId="0">
      <text>
        <t>raw warhead damages: 6000, 3
import scales all proportionally</t>
      </text>
    </comment>
    <comment ref="AA45" authorId="0" shapeId="0">
      <text>
        <t>fires when: !ts_nod_upgrade_tiberiumlenses</t>
      </text>
    </comment>
    <comment ref="K46" authorId="0" shapeId="0">
      <text>
        <t>raw warhead damages: 6000, 3, 6000, 3, 600
import scales all proportionally</t>
      </text>
    </comment>
    <comment ref="AA46" authorId="0" shapeId="0">
      <text>
        <t>fires when: ts_nod_upgrade_tiberiumlenses</t>
      </text>
    </comment>
    <comment ref="K47" authorId="0" shapeId="0">
      <text>
        <t>raw warhead damages: 36000, 18000, 18
import scales all proportionally</t>
      </text>
    </comment>
    <comment ref="AA47" authorId="0" shapeId="0">
      <text>
        <t>fires when: ts_nod_upgrade_auxiliaryweapon</t>
      </text>
    </comment>
    <comment ref="K49" authorId="0" shapeId="0">
      <text>
        <t>raw warhead damages: 6000, 3, 6000, 3
import scales all proportionally</t>
      </text>
    </comment>
    <comment ref="AA49" authorId="0" shapeId="0">
      <text>
        <t>fires when: !ts_nod_upgrade_tiberiumcoremissiles</t>
      </text>
    </comment>
    <comment ref="K50" authorId="0" shapeId="0">
      <text>
        <t>raw warhead damages: 4000, 2000, 2, 4000, 2000, 2, 4000, 42, 4000, 2
import scales all proportionally</t>
      </text>
    </comment>
    <comment ref="AA50" authorId="0" shapeId="0">
      <text>
        <t>fires when: ts_nod_upgrade_tiberiumcoremissiles</t>
      </text>
    </comment>
    <comment ref="K52" authorId="0" shapeId="0">
      <text>
        <t>raw warhead damages: 8000, 4000, 4
import scales all proportionally</t>
      </text>
    </comment>
    <comment ref="K55" authorId="0" shapeId="0">
      <text>
        <t>raw warhead damages: -2000, -1000, -1
import scales all proportionally</t>
      </text>
    </comment>
    <comment ref="K58" authorId="0" shapeId="0">
      <text>
        <t>raw warhead damages: 10000, 5, 10000, 5, 5000
import scales all proportionally</t>
      </text>
    </comment>
    <comment ref="AA58" authorId="0" shapeId="0">
      <text>
        <t>fires when: !ts_nod_upgrade_tiberiumcoremissiles</t>
      </text>
    </comment>
    <comment ref="K59" authorId="0" shapeId="0">
      <text>
        <t>raw warhead damages: 10000, 5, 10000, 5000, 5, 10000, 5, 5000
import scales all proportionally</t>
      </text>
    </comment>
    <comment ref="AA59" authorId="0" shapeId="0">
      <text>
        <t>fires when: ts_nod_upgrade_tiberiumcoremissiles</t>
      </text>
    </comment>
    <comment ref="K61" authorId="0" shapeId="0">
      <text>
        <t>raw warhead damages: 8000, 4000, 4, 8000, 4
import scales all proportionally</t>
      </text>
    </comment>
    <comment ref="AA61" authorId="0" shapeId="0">
      <text>
        <t>fires when: !ts_nod_upgrade_tiberiumcoremissiles</t>
      </text>
    </comment>
    <comment ref="K62" authorId="0" shapeId="0">
      <text>
        <t>raw warhead damages: 8000, 4000, 4, 8000, 4000, 4, 8000, 4
import scales all proportionally</t>
      </text>
    </comment>
    <comment ref="AA62" authorId="0" shapeId="0">
      <text>
        <t>fires when: ts_nod_upgrade_tiberiumcoremissiles</t>
      </text>
    </comment>
    <comment ref="K65" authorId="0" shapeId="0">
      <text>
        <t>raw warhead damages: 6000, 3
import scales all proportionally</t>
      </text>
    </comment>
    <comment ref="AA65" authorId="0" shapeId="0">
      <text>
        <t>fires when: undeployed &amp;&amp; !ts_nod_upgrade_tiberiumlenses</t>
      </text>
    </comment>
    <comment ref="K66" authorId="0" shapeId="0">
      <text>
        <t>raw warhead damages: 6000, 3, 6000, 3, 600
import scales all proportionally</t>
      </text>
    </comment>
    <comment ref="AA66" authorId="0" shapeId="0">
      <text>
        <t>fires when: undeployed &amp;&amp; ts_nod_upgrade_tiberiumlenses</t>
      </text>
    </comment>
    <comment ref="K67" authorId="0" shapeId="0">
      <text>
        <t>raw warhead damages: 6000, 3
import scales all proportionally</t>
      </text>
    </comment>
    <comment ref="AA67" authorId="0" shapeId="0">
      <text>
        <t>fires when: deployed &amp;&amp; !ts_nod_upgrade_tiberiumlenses</t>
      </text>
    </comment>
    <comment ref="K68" authorId="0" shapeId="0">
      <text>
        <t>raw warhead damages: 6000, 3, 6000, 3, 600
import scales all proportionally</t>
      </text>
    </comment>
    <comment ref="AA68" authorId="0" shapeId="0">
      <text>
        <t>fires when: deployed &amp;&amp; ts_nod_upgrade_tiberiumlenses</t>
      </text>
    </comment>
    <comment ref="K69" authorId="0" shapeId="0">
      <text>
        <t>raw warhead damages: 2000, 1
import scales all proportionally</t>
      </text>
    </comment>
    <comment ref="AA69" authorId="0" shapeId="0">
      <text>
        <t>fires when: deployed &amp;&amp; ts_nod_upgrade_auxiliaryweapon &amp;&amp; !ts_nod_upgrade_tiberiumlenses</t>
      </text>
    </comment>
    <comment ref="K70" authorId="0" shapeId="0">
      <text>
        <t>raw warhead damages: 2000, 1, 2000, 1, 600
import scales all proportionally</t>
      </text>
    </comment>
    <comment ref="AA70" authorId="0" shapeId="0">
      <text>
        <t>fires when: deployed &amp;&amp; ts_nod_upgrade_auxiliaryweapon &amp;&amp; ts_nod_upgrade_tiberiumlenses</t>
      </text>
    </comment>
    <comment ref="K73" authorId="0" shapeId="0">
      <text>
        <t>raw warhead damages: 30000, 15000, 15, 30000, 15, 600
import scales all proportionally</t>
      </text>
    </comment>
    <comment ref="K75" authorId="0" shapeId="0">
      <text>
        <t>raw warhead damages: 4000, 2
import scales all proportionally</t>
      </text>
    </comment>
    <comment ref="AA75" authorId="0" shapeId="0">
      <text>
        <t>fires when: !ts_nod_upgrade_tiberiumlenses &amp;&amp; !ts_nod_upgrade_auxiliaryweapon</t>
      </text>
    </comment>
    <comment ref="K76" authorId="0" shapeId="0">
      <text>
        <t>raw warhead damages: 0, 0
import scales all proportionally</t>
      </text>
    </comment>
    <comment ref="AA76" authorId="0" shapeId="0">
      <text>
        <t>fires when: !ts_nod_upgrade_tiberiumlenses &amp;&amp; ts_nod_upgrade_auxiliaryweapon</t>
      </text>
    </comment>
    <comment ref="K77" authorId="0" shapeId="0">
      <text>
        <t>raw warhead damages: 4000, 2
import scales all proportionally</t>
      </text>
    </comment>
    <comment ref="AA77" authorId="0" shapeId="0">
      <text>
        <t>fires when: !ts_nod_upgrade_tiberiumlenses &amp;&amp; ts_nod_upgrade_auxiliaryweapon</t>
      </text>
    </comment>
    <comment ref="K78" authorId="0" shapeId="0">
      <text>
        <t>raw warhead damages: 4000, 2, 4000, 2, 600
import scales all proportionally</t>
      </text>
    </comment>
    <comment ref="AA78" authorId="0" shapeId="0">
      <text>
        <t>fires when: ts_nod_upgrade_tiberiumlenses &amp;&amp; !ts_nod_upgrade_auxiliaryweapon</t>
      </text>
    </comment>
    <comment ref="K79" authorId="0" shapeId="0">
      <text>
        <t>raw warhead damages: 0, 0, 0, 0, 600
import scales all proportionally</t>
      </text>
    </comment>
    <comment ref="AA79" authorId="0" shapeId="0">
      <text>
        <t>fires when: ts_nod_upgrade_tiberiumlenses &amp;&amp; ts_nod_upgrade_auxiliaryweapon</t>
      </text>
    </comment>
    <comment ref="K80" authorId="0" shapeId="0">
      <text>
        <t>raw warhead damages: 4000, 2, 4000, 2, 600
import scales all proportionally</t>
      </text>
    </comment>
    <comment ref="AA80" authorId="0" shapeId="0">
      <text>
        <t>fires when: ts_nod_upgrade_tiberiumlenses &amp;&amp; ts_nod_upgrade_auxiliaryweapon</t>
      </text>
    </comment>
    <comment ref="K84" authorId="0" shapeId="0">
      <text>
        <t>raw warhead damages: 10000, 5, 10000, 5, 600
import scales all proportionally</t>
      </text>
    </comment>
    <comment ref="AA84" authorId="0" shapeId="0">
      <text>
        <t>fires when: !ts_nod_upgrade_tiberiumlenses</t>
      </text>
    </comment>
    <comment ref="K85" authorId="0" shapeId="0">
      <text>
        <t>raw warhead damages: 16000, 8, 16000, 8, 600
import scales all proportionally</t>
      </text>
    </comment>
    <comment ref="AA85" authorId="0" shapeId="0">
      <text>
        <t>fires when: ts_nod_upgrade_tiberiumlenses</t>
      </text>
    </comment>
    <comment ref="AA87" authorId="0" shapeId="0">
      <text>
        <t>fires when: !ts_nod_tiberiumwastefacility</t>
      </text>
    </comment>
    <comment ref="AA88" authorId="0" shapeId="0">
      <text>
        <t>fires when: ts_nod_tiberiumwastefacility</t>
      </text>
    </comment>
    <comment ref="K90" authorId="0" shapeId="0">
      <text>
        <t>raw warhead damages: 52000, 26, 52000, 26, 600
import scales all proportionally</t>
      </text>
    </comment>
    <comment ref="AA90" authorId="0" shapeId="0">
      <text>
        <t>fires when: !ts_nod_upgrade_tiberiumlenses</t>
      </text>
    </comment>
    <comment ref="K91" authorId="0" shapeId="0">
      <text>
        <t>raw warhead damages: 80000, 40, 80000, 40, 600
import scales all proportionally</t>
      </text>
    </comment>
    <comment ref="AA91" authorId="0" shapeId="0">
      <text>
        <t>fires when: ts_nod_upgrade_tiberiumlenses</t>
      </text>
    </comment>
    <comment ref="K93" authorId="0" shapeId="0">
      <text>
        <t>raw warhead damages: 12000, 6
import scales all proportionally</t>
      </text>
    </comment>
    <comment ref="AA93" authorId="0" shapeId="0">
      <text>
        <t>fires when: !ts_nod_upgrade_tiberiumcoremissiles</t>
      </text>
    </comment>
    <comment ref="K94" authorId="0" shapeId="0">
      <text>
        <t>raw warhead damages: 18000, 9
import scales all proportionally</t>
      </text>
    </comment>
    <comment ref="AA94" authorId="0" shapeId="0">
      <text>
        <t>fires when: ts_nod_upgrade_tiberiumcoremissiles</t>
      </text>
    </comment>
  </commentList>
</comments>
</file>

<file path=xl/comments/comment30.xml><?xml version="1.0" encoding="utf-8"?>
<comments xmlns="http://schemas.openxmlformats.org/spreadsheetml/2006/main">
  <authors>
    <author>balance-pipeline</author>
  </authors>
  <commentList>
    <comment ref="K4" authorId="0" shapeId="0">
      <text>
        <t>raw warhead damages: 8000, 4000, 4
import scales all proportionally</t>
      </text>
    </comment>
    <comment ref="AA4" authorId="0" shapeId="0">
      <text>
        <t>fires when: (FSD_cond_1 &amp;&amp; !wc2_cond_bot_owner) || (FSD_cond_1_AI &amp;&amp; wc2_cond_bot_owner) || (FSD_cond_2 &amp;&amp; !mageslow_upg) || (FSD_cond_3 &amp;&amp; !magepolymorph_upg) || (FSD_cond_4 &amp;&amp; !mageblizzard_upg)</t>
      </text>
    </comment>
    <comment ref="K5" authorId="0" shapeId="0">
      <text>
        <t>raw warhead damages: 8000, 4000, 4
import scales all proportionally</t>
      </text>
    </comment>
    <comment ref="K6" authorId="0" shapeId="0">
      <text>
        <t>raw warhead damages: 2000, 1, 2000, 1, 2000, 1, 2000, 1000, 1, 2000, 1000, 1, 2000, 1, 2000, 1, 2000, 1, 2000, 1
import scales all proportionally</t>
      </text>
    </comment>
    <comment ref="AA6" authorId="0" shapeId="0">
      <text>
        <t>fires when: (FSD_cond_1 &amp;&amp; !wc2_cond_bot_owner) || (FSD_cond_1_AI &amp;&amp; wc2_cond_bot_owner)</t>
      </text>
    </comment>
    <comment ref="K7" authorId="0" shapeId="0">
      <text>
        <t>raw warhead damages: 2000, 1, 2000, 1, 2000, 1, 2000, 1000, 1, 2000, 1000, 1, 2000, 1, 2000, 1, 2000, 1, 2000, 1
import scales all proportionally</t>
      </text>
    </comment>
    <comment ref="AA7" authorId="0" shapeId="0">
      <text>
        <t>fires when: (FSD_cond_1 &amp;&amp; !wc2_cond_bot_owner) || (FSD_cond_1_AI &amp;&amp; wc2_cond_bot_owner)</t>
      </text>
    </comment>
    <comment ref="AA8" authorId="0" shapeId="0">
      <text>
        <t>fires when: FSD_cond_2 &amp;&amp; mageslow_upg</t>
      </text>
    </comment>
    <comment ref="AA9" authorId="0" shapeId="0">
      <text>
        <t>fires when: FSD_cond_3 &amp;&amp; magepolymorph_upg</t>
      </text>
    </comment>
    <comment ref="AA10" authorId="0" shapeId="0">
      <text>
        <t>fires when: FSD_cond_4 &amp;&amp; mageblizzard_upg</t>
      </text>
    </comment>
    <comment ref="K12" authorId="0" shapeId="0">
      <text>
        <t>raw warhead damages: 8000, 4, 1000, 8000, 4, 8000, 4
import scales all proportionally</t>
      </text>
    </comment>
    <comment ref="K13" authorId="0" shapeId="0">
      <text>
        <t>raw warhead damages: 8000, 4, 1000, 8000, 4, 8000, 4
import scales all proportionally</t>
      </text>
    </comment>
    <comment ref="K15" authorId="0" shapeId="0">
      <text>
        <t>raw warhead damages: 4000, 2, 4000, 2, 4000, 2, 4000, 2000, 2, 4000, 2, 4000, 2
import scales all proportionally</t>
      </text>
    </comment>
    <comment ref="K16" authorId="0" shapeId="0">
      <text>
        <t>raw warhead damages: 4000, 2, 4000, 2, 4000, 2, 4000, 2000, 2, 4000, 2, 4000, 2
import scales all proportionally</t>
      </text>
    </comment>
    <comment ref="K18" authorId="0" shapeId="0">
      <text>
        <t>raw warhead damages: 4000, 2, 4000, 2, 4000, 2, 4000, 2000, 2, 4000, 2, 4000, 2
import scales all proportionally</t>
      </text>
    </comment>
    <comment ref="K19" authorId="0" shapeId="0">
      <text>
        <t>raw warhead damages: 4000, 2, 4000, 2, 4000, 2, 4000, 2000, 2, 4000, 2, 4000, 2
import scales all proportionally</t>
      </text>
    </comment>
    <comment ref="K21" authorId="0" shapeId="0">
      <text>
        <t>raw warhead damages: 12000, 6000, 6
import scales all proportionally</t>
      </text>
    </comment>
    <comment ref="K23" authorId="0" shapeId="0">
      <text>
        <t>raw warhead damages: 8000, 4000, 4
import scales all proportionally</t>
      </text>
    </comment>
    <comment ref="AA23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A24" authorId="0" shapeId="0">
      <text>
        <t>fires when: FSD_cond_3 &amp;&amp; paladinhealing_upg</t>
      </text>
    </comment>
    <comment ref="AA25" authorId="0" shapeId="0">
      <text>
        <t>fires when: FSD_cond_4 &amp;&amp; paladinexorcism_upg</t>
      </text>
    </comment>
    <comment ref="K27" authorId="0" shapeId="0">
      <text>
        <t>raw warhead damages: 8000, 4000, 4
import scales all proportionally</t>
      </text>
    </comment>
    <comment ref="AA27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A28" authorId="0" shapeId="0">
      <text>
        <t>fires when: FSD_cond_3 &amp;&amp; paladinhealing_upg</t>
      </text>
    </comment>
    <comment ref="AA29" authorId="0" shapeId="0">
      <text>
        <t>fires when: FSD_cond_4 &amp;&amp; paladinexorcism_upg</t>
      </text>
    </comment>
    <comment ref="K31" authorId="0" shapeId="0">
      <text>
        <t>raw warhead damages: 4000, 2, 600, 4000, 2, 4000, 2, 4000, 2, 4000, 2, 4000, 2, 4000, 2000, 2, 4000, 2, 4000, 2
import scales all proportionally</t>
      </text>
    </comment>
    <comment ref="K32" authorId="0" shapeId="0">
      <text>
        <t>raw warhead damages: 4000, 2, 600, 4000, 2, 4000, 2, 4000, 2, 4000, 2, 4000, 2, 4000, 2000, 2, 4000, 2, 4000, 2
import scales all proportionally</t>
      </text>
    </comment>
    <comment ref="K34" authorId="0" shapeId="0">
      <text>
        <t>raw warhead damages: 16000, 8000, 8
import scales all proportionally</t>
      </text>
    </comment>
    <comment ref="AA34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A35" authorId="0" shapeId="0">
      <text>
        <t>fires when: FSD_cond_2</t>
      </text>
    </comment>
    <comment ref="AA36" authorId="0" shapeId="0">
      <text>
        <t>fires when: FSD_cond_3 &amp;&amp; paladinhealing_upg</t>
      </text>
    </comment>
    <comment ref="AA37" authorId="0" shapeId="0">
      <text>
        <t>fires when: FSD_cond_4 &amp;&amp; paladinexorcism_upg</t>
      </text>
    </comment>
    <comment ref="K39" authorId="0" shapeId="0">
      <text>
        <t>raw warhead damages: 8000, 4000, 4
import scales all proportionally</t>
      </text>
    </comment>
    <comment ref="AA39" authorId="0" shapeId="0">
      <text>
        <t>fires when: (FSD_cond_1 &amp;&amp; !wc2_cond_bot_owner) || (FSD_cond_1_AI &amp;&amp; wc2_cond_bot_owner) || (FSD_cond_2 &amp;&amp; !mageslow_upg) || (FSD_cond_3 &amp;&amp; !magepolymorph_upg) || (FSD_cond_4 &amp;&amp; !mageblizzard_upg)</t>
      </text>
    </comment>
    <comment ref="K40" authorId="0" shapeId="0">
      <text>
        <t>raw warhead damages: 8000, 4000, 4
import scales all proportionally</t>
      </text>
    </comment>
    <comment ref="K41" authorId="0" shapeId="0">
      <text>
        <t>raw warhead damages: 2000, 1, 2000, 1, 2000, 1, 2000, 1000, 1, 2000, 1000, 1, 2000, 1, 2000, 1, 2000, 1, 2000, 1
import scales all proportionally</t>
      </text>
    </comment>
    <comment ref="AA41" authorId="0" shapeId="0">
      <text>
        <t>fires when: (FSD_cond_1 &amp;&amp; !wc2_cond_bot_owner) || (FSD_cond_1_AI &amp;&amp; wc2_cond_bot_owner)</t>
      </text>
    </comment>
    <comment ref="K42" authorId="0" shapeId="0">
      <text>
        <t>raw warhead damages: 2000, 1, 2000, 1, 2000, 1, 2000, 1000, 1, 2000, 1000, 1, 2000, 1, 2000, 1, 2000, 1, 2000, 1
import scales all proportionally</t>
      </text>
    </comment>
    <comment ref="AA42" authorId="0" shapeId="0">
      <text>
        <t>fires when: (FSD_cond_1 &amp;&amp; !wc2_cond_bot_owner) || (FSD_cond_1_AI &amp;&amp; wc2_cond_bot_owner)</t>
      </text>
    </comment>
    <comment ref="AA43" authorId="0" shapeId="0">
      <text>
        <t>fires when: FSD_cond_2 &amp;&amp; mageslow_upg</t>
      </text>
    </comment>
    <comment ref="AA44" authorId="0" shapeId="0">
      <text>
        <t>fires when: FSD_cond_3 &amp;&amp; magepolymorph_upg</t>
      </text>
    </comment>
    <comment ref="AA45" authorId="0" shapeId="0">
      <text>
        <t>fires when: FSD_cond_4 &amp;&amp; mageblizzard_upg</t>
      </text>
    </comment>
    <comment ref="K47" authorId="0" shapeId="0">
      <text>
        <t>raw warhead damages: 12000, 6000, 6
import scales all proportionally</t>
      </text>
    </comment>
    <comment ref="K49" authorId="0" shapeId="0">
      <text>
        <t>raw warhead damages: 20000, 10, 20000, 10000, 10, 20000, 10000, 10, 20000, 10000, 10
import scales all proportionally</t>
      </text>
    </comment>
    <comment ref="K50" authorId="0" shapeId="0">
      <text>
        <t>raw warhead damages: 20000, 10, 20000, 10000, 10, 20000, 10000, 10, 20000, 10000, 10
import scales all proportionally</t>
      </text>
    </comment>
    <comment ref="K52" authorId="0" shapeId="0">
      <text>
        <t>raw warhead damages: 18000, 9000, 9
import scales all proportionally</t>
      </text>
    </comment>
    <comment ref="K55" authorId="0" shapeId="0">
      <text>
        <t>raw warhead damages: 30000, 15000, 15, 30000, 15000, 15, 30000, 15
import scales all proportionally</t>
      </text>
    </comment>
    <comment ref="AA57" authorId="0" shapeId="0">
      <text>
        <t>fires when: !cond_deployed</t>
      </text>
    </comment>
    <comment ref="K58" authorId="0" shapeId="0">
      <text>
        <t>raw warhead damages: 12000, 6000, 6
import scales all proportionally</t>
      </text>
    </comment>
    <comment ref="AA58" authorId="0" shapeId="0">
      <text>
        <t>fires when: cond_deployed</t>
      </text>
    </comment>
    <comment ref="K61" authorId="0" shapeId="0">
      <text>
        <t>raw warhead damages: 16000, 8000, 8
import scales all proportionally</t>
      </text>
    </comment>
    <comment ref="AA61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A62" authorId="0" shapeId="0">
      <text>
        <t>fires when: FSD_cond_2</t>
      </text>
    </comment>
    <comment ref="AA63" authorId="0" shapeId="0">
      <text>
        <t>fires when: FSD_cond_3 &amp;&amp; paladinhealing_upg</t>
      </text>
    </comment>
    <comment ref="AA64" authorId="0" shapeId="0">
      <text>
        <t>fires when: FSD_cond_4 &amp;&amp; paladinexorcism_upg</t>
      </text>
    </comment>
    <comment ref="K66" authorId="0" shapeId="0">
      <text>
        <t>raw warhead damages: 12000, 6000, 6
import scales all proportionally</t>
      </text>
    </comment>
    <comment ref="K68" authorId="0" shapeId="0">
      <text>
        <t>raw warhead damages: 10000, 5, 10000, 5, 10000, 5000, 5, 10000, 5000, 5, 10000, 5000, 5, 10000, 5000, 5, 10000, 5000, 5, 10000, 5000, 5, 10000, 5000, 5, 10000, 5000, 5, 10000, 5, 10000, 5, 10000, 5, 10000, 5
import scales all proportionally</t>
      </text>
    </comment>
    <comment ref="K70" authorId="0" shapeId="0">
      <text>
        <t>raw warhead damages: 16000, 8000, 8
import scales all proportionally</t>
      </text>
    </comment>
    <comment ref="AA70" authorId="0" shapeId="0">
      <text>
        <t>fires when: (FSD_cond_1 &amp;&amp; !wc2_cond_bot_owner) || (FSD_cond_1_AI &amp;&amp; wc2_cond_bot_owner) || (FSD_cond_3 &amp;&amp; !paladinhealing_upg) || (FSD_cond_4 &amp;&amp; !paladinexorcism_upg)</t>
      </text>
    </comment>
    <comment ref="AA71" authorId="0" shapeId="0">
      <text>
        <t>fires when: FSD_cond_2</t>
      </text>
    </comment>
    <comment ref="AA72" authorId="0" shapeId="0">
      <text>
        <t>fires when: FSD_cond_3 &amp;&amp; paladinhealing_upg</t>
      </text>
    </comment>
    <comment ref="AA73" authorId="0" shapeId="0">
      <text>
        <t>fires when: FSD_cond_4 &amp;&amp; paladinexorcism_upg</t>
      </text>
    </comment>
    <comment ref="K77" authorId="0" shapeId="0">
      <text>
        <t>raw warhead damages: 10000, 5, 10000, 5000, 5, 10000, 5, 10000, 5000, 5
import scales all proportionally</t>
      </text>
    </comment>
    <comment ref="K81" authorId="0" shapeId="0">
      <text>
        <t>raw warhead damages: 6000, 3, 1000, 6000, 3, 6000, 3
import scales all proportionally</t>
      </text>
    </comment>
    <comment ref="AA81" authorId="0" shapeId="0">
      <text>
        <t>fires when: guard</t>
      </text>
    </comment>
    <comment ref="K82" authorId="0" shapeId="0">
      <text>
        <t>raw warhead damages: 4000, 2000, 2, 4000, 2000, 2, 4000, 2000, 2, 4000, 2000, 2, 4000, 2000, 2, 4000, 2000, 2, 4000, 2, 4000, 2, 4000, 2, 4000, 2000, 2, 4000, 2000, 2, 4000, 2, 4000, 2, 4000, 2, 4000, 2
import scales all proportionally</t>
      </text>
    </comment>
    <comment ref="AA82" authorId="0" shapeId="0">
      <text>
        <t>fires when: cannon</t>
      </text>
    </comment>
    <comment ref="K84" authorId="0" shapeId="0">
      <text>
        <t>raw warhead damages: 6000, 3, 1000, 6000, 3, 6000, 3
import scales all proportionally</t>
      </text>
    </comment>
    <comment ref="AA84" authorId="0" shapeId="0">
      <text>
        <t>fires when: guard</t>
      </text>
    </comment>
    <comment ref="K85" authorId="0" shapeId="0">
      <text>
        <t>raw warhead damages: 4000, 2000, 2, 4000, 2000, 2, 4000, 2000, 2, 4000, 2000, 2, 4000, 2000, 2, 4000, 2000, 2, 4000, 2, 4000, 2, 4000, 2, 4000, 2000, 2, 4000, 2000, 2, 4000, 2, 4000, 2, 4000, 2, 4000, 2
import scales all proportionally</t>
      </text>
    </comment>
    <comment ref="AA85" authorId="0" shapeId="0">
      <text>
        <t>fires when: cannon</t>
      </text>
    </comment>
    <comment ref="K87" authorId="0" shapeId="0">
      <text>
        <t>raw warhead damages: 6000, 3, 1000, 6000, 3, 6000, 3
import scales all proportionally</t>
      </text>
    </comment>
    <comment ref="AA87" authorId="0" shapeId="0">
      <text>
        <t>fires when: guard</t>
      </text>
    </comment>
    <comment ref="K88" authorId="0" shapeId="0">
      <text>
        <t>raw warhead damages: 4000, 2000, 2, 4000, 2000, 2, 4000, 2000, 2, 4000, 2000, 2, 4000, 2000, 2, 4000, 2000, 2, 4000, 2, 4000, 2, 4000, 2, 4000, 2000, 2, 4000, 2000, 2, 4000, 2, 4000, 2, 4000, 2, 4000, 2
import scales all proportionally</t>
      </text>
    </comment>
    <comment ref="AA88" authorId="0" shapeId="0">
      <text>
        <t>fires when: cannon</t>
      </text>
    </comment>
  </commentList>
</comments>
</file>

<file path=xl/comments/comment31.xml><?xml version="1.0" encoding="utf-8"?>
<comments xmlns="http://schemas.openxmlformats.org/spreadsheetml/2006/main">
  <authors>
    <author>balance-pipeline</author>
  </authors>
  <commentList>
    <comment ref="K4" authorId="0" shapeId="0">
      <text>
        <t>raw warhead damages: 8000, 4000, 4, 8000, 4000, 4
import scales all proportionally</t>
      </text>
    </comment>
    <comment ref="AA4" authorId="0" shapeId="0">
      <text>
        <t>fires when: (FSD_cond_1 &amp;&amp; !wc2_cond_bot_owner) || (FSD_cond_1_AI &amp;&amp; wc2_cond_bot_owner) || (FSD_cond_2 &amp;&amp; !deathknighthaste_upg) || (FSD_cond_3 &amp;&amp; !deathknightdeathanddecay_upg) || (FSD_cond_4 &amp;&amp; !deathknightraisedead_upg)</t>
      </text>
    </comment>
    <comment ref="K5" authorId="0" shapeId="0">
      <text>
        <t>raw warhead damages: 8000, 4000, 4, 8000, 4000, 4
import scales all proportionally</t>
      </text>
    </comment>
    <comment ref="K6" authorId="0" shapeId="0">
      <text>
        <t>raw warhead damages: 8000, 4000, 4, 8000, 4000, 4
import scales all proportionally</t>
      </text>
    </comment>
    <comment ref="AA6" authorId="0" shapeId="0">
      <text>
        <t>fires when: (FSD_cond_1 &amp;&amp; !wc2_cond_bot_owner) || (FSD_cond_1_AI &amp;&amp; wc2_cond_bot_owner)</t>
      </text>
    </comment>
    <comment ref="K7" authorId="0" shapeId="0">
      <text>
        <t>raw warhead damages: 8000, 4000, 4, 8000, 4000, 4
import scales all proportionally</t>
      </text>
    </comment>
    <comment ref="AA7" authorId="0" shapeId="0">
      <text>
        <t>fires when: (FSD_cond_1 &amp;&amp; !wc2_cond_bot_owner) || (FSD_cond_1_AI &amp;&amp; wc2_cond_bot_owner)</t>
      </text>
    </comment>
    <comment ref="K8" authorId="0" shapeId="0">
      <text>
        <t>raw warhead damages: 8000, 4000, 4, 8000, 4000, 4
import scales all proportionally</t>
      </text>
    </comment>
    <comment ref="AA8" authorId="0" shapeId="0">
      <text>
        <t>fires when: (FSD_cond_1 &amp;&amp; !wc2_cond_bot_owner) || (FSD_cond_1_AI &amp;&amp; wc2_cond_bot_owner)</t>
      </text>
    </comment>
    <comment ref="AA9" authorId="0" shapeId="0">
      <text>
        <t>fires when: FSD_cond_2 &amp;&amp; deathknighthaste_upg</t>
      </text>
    </comment>
    <comment ref="AA10" authorId="0" shapeId="0">
      <text>
        <t>fires when: FSD_cond_3 &amp;&amp; deathknightdeathanddecay_upg</t>
      </text>
    </comment>
    <comment ref="AA11" authorId="0" shapeId="0">
      <text>
        <t>fires when: FSD_cond_4 &amp;&amp; deathknightraisedead_upg</t>
      </text>
    </comment>
    <comment ref="K13" authorId="0" shapeId="0">
      <text>
        <t>raw warhead damages: 16000, 8000, 8
import scales all proportionally</t>
      </text>
    </comment>
    <comment ref="K15" authorId="0" shapeId="0">
      <text>
        <t>raw warhead damages: 4000, 2, 4000, 2, 4000, 2, 4000, 2000, 2, 4000, 2, 4000, 2
import scales all proportionally</t>
      </text>
    </comment>
    <comment ref="K16" authorId="0" shapeId="0">
      <text>
        <t>raw warhead damages: 4000, 2, 4000, 2, 4000, 2, 4000, 2000, 2, 4000, 2, 4000, 2
import scales all proportionally</t>
      </text>
    </comment>
    <comment ref="K18" authorId="0" shapeId="0">
      <text>
        <t>raw warhead damages: 30000, 15000, 15
import scales all proportionally</t>
      </text>
    </comment>
    <comment ref="AA18" authorId="0" shapeId="0">
      <text>
        <t>fires when: (FSD_cond_1 &amp;&amp; !wc2_cond_bot_owner) || (FSD_cond_1_AI &amp;&amp; wc2_cond_bot_owner) || (FSD_cond_3 &amp;&amp; !ogremagebloodlust_upg) || (FSD_cond_4 &amp;&amp; !ogremagerunes_upg)</t>
      </text>
    </comment>
    <comment ref="AA19" authorId="0" shapeId="0">
      <text>
        <t>fires when: FSD_cond_2</t>
      </text>
    </comment>
    <comment ref="AA20" authorId="0" shapeId="0">
      <text>
        <t>fires when: FSD_cond_3 &amp;&amp; ogremagebloodlust_upg</t>
      </text>
    </comment>
    <comment ref="AA21" authorId="0" shapeId="0">
      <text>
        <t>fires when: FSD_cond_4 &amp;&amp; ogremagerunes_upg</t>
      </text>
    </comment>
    <comment ref="K23" authorId="0" shapeId="0">
      <text>
        <t>raw warhead damages: 4000, 2, 4000, 2, 4000, 2, 4000, 2000, 2, 4000, 2, 4000, 2
import scales all proportionally</t>
      </text>
    </comment>
    <comment ref="K24" authorId="0" shapeId="0">
      <text>
        <t>raw warhead damages: 4000, 2, 4000, 2, 4000, 2, 4000, 2000, 2, 4000, 2, 4000, 2
import scales all proportionally</t>
      </text>
    </comment>
    <comment ref="K26" authorId="0" shapeId="0">
      <text>
        <t>raw warhead damages: 4000, 2, 4000, 2, 4000, 2, 4000, 2000, 2, 4000, 2, 4000, 2
import scales all proportionally</t>
      </text>
    </comment>
    <comment ref="K27" authorId="0" shapeId="0">
      <text>
        <t>raw warhead damages: 4000, 2, 4000, 2, 4000, 2, 4000, 2000, 2, 4000, 2, 4000, 2
import scales all proportionally</t>
      </text>
    </comment>
    <comment ref="K29" authorId="0" shapeId="0">
      <text>
        <t>raw warhead damages: 4000, 2, 600, 4000, 2, 4000, 2, 4000, 2, 4000, 2, 4000, 2, 4000, 2000, 2, 4000, 2, 4000, 2
import scales all proportionally</t>
      </text>
    </comment>
    <comment ref="K30" authorId="0" shapeId="0">
      <text>
        <t>raw warhead damages: 4000, 2, 600, 4000, 2, 4000, 2, 4000, 2, 4000, 2, 4000, 2, 4000, 2000, 2, 4000, 2, 4000, 2
import scales all proportionally</t>
      </text>
    </comment>
    <comment ref="K32" authorId="0" shapeId="0">
      <text>
        <t>raw warhead damages: 24000, 12000, 12
import scales all proportionally</t>
      </text>
    </comment>
    <comment ref="K35" authorId="0" shapeId="0">
      <text>
        <t>raw warhead damages: 30000, 15000, 15, 30000, 15000, 15, 30000, 15000, 15, 30000, 15
import scales all proportionally</t>
      </text>
    </comment>
    <comment ref="AA37" authorId="0" shapeId="0">
      <text>
        <t>fires when: !cond_deployed</t>
      </text>
    </comment>
    <comment ref="K38" authorId="0" shapeId="0">
      <text>
        <t>raw warhead damages: 12000, 6000, 6
import scales all proportionally</t>
      </text>
    </comment>
    <comment ref="AA38" authorId="0" shapeId="0">
      <text>
        <t>fires when: cond_deployed</t>
      </text>
    </comment>
    <comment ref="K41" authorId="0" shapeId="0">
      <text>
        <t>raw warhead damages: 30000, 15000, 15
import scales all proportionally</t>
      </text>
    </comment>
    <comment ref="AA41" authorId="0" shapeId="0">
      <text>
        <t>fires when: (FSD_cond_1 &amp;&amp; !wc2_cond_bot_owner) || (FSD_cond_1_AI &amp;&amp; wc2_cond_bot_owner) || (FSD_cond_3 &amp;&amp; !ogremagebloodlust_upg) || (FSD_cond_4 &amp;&amp; !ogremagerunes_upg)</t>
      </text>
    </comment>
    <comment ref="AA42" authorId="0" shapeId="0">
      <text>
        <t>fires when: FSD_cond_2</t>
      </text>
    </comment>
    <comment ref="AA43" authorId="0" shapeId="0">
      <text>
        <t>fires when: FSD_cond_3 &amp;&amp; ogremagebloodlust_upg</t>
      </text>
    </comment>
    <comment ref="AA44" authorId="0" shapeId="0">
      <text>
        <t>fires when: FSD_cond_4 &amp;&amp; ogremagerunes_upg</t>
      </text>
    </comment>
    <comment ref="K46" authorId="0" shapeId="0">
      <text>
        <t>raw warhead damages: 12000, 6000, 6
import scales all proportionally</t>
      </text>
    </comment>
    <comment ref="K48" authorId="0" shapeId="0">
      <text>
        <t>raw warhead damages: 10000, 5, 10000, 5, 10000, 5000, 5, 10000, 5000, 5, 10000, 5000, 5, 10000, 5000, 5, 10000, 5000, 5, 10000, 5000, 5, 10000, 5000, 5, 10000, 5000, 5, 10000, 5, 10000, 5, 10000, 5, 10000, 5
import scales all proportionally</t>
      </text>
    </comment>
    <comment ref="K51" authorId="0" shapeId="0">
      <text>
        <t>raw warhead damages: 2000, 1000, 1, 2000, 1000, 1, 2000, 1000, 1, 2000, 1000, 1, 2000, 1000, 1, 2000, 1000, 1, 2000, 1, 2000, 1, 2000, 1, 2000, 1000, 1, 2000, 1000, 1, 2000, 1, 2000, 1, 2000, 1, 2000, 1
import scales all proportionally</t>
      </text>
    </comment>
    <comment ref="K52" authorId="0" shapeId="0">
      <text>
        <t>raw warhead damages: 2000, 1000, 1, 2000, 1000, 1, 2000, 1000, 1, 2000, 1000, 1, 2000, 1000, 1, 2000, 1000, 1, 2000, 1, 2000, 1, 2000, 1, 2000, 1000, 1, 2000, 1000, 1, 2000, 1, 2000, 1, 2000, 1, 2000, 1
import scales all proportionally</t>
      </text>
    </comment>
    <comment ref="K56" authorId="0" shapeId="0">
      <text>
        <t>raw warhead damages: 6000, 3, 1000, 6000, 3, 6000, 3
import scales all proportionally</t>
      </text>
    </comment>
    <comment ref="AA56" authorId="0" shapeId="0">
      <text>
        <t>fires when: guard</t>
      </text>
    </comment>
    <comment ref="K57" authorId="0" shapeId="0">
      <text>
        <t>raw warhead damages: 4000, 2000, 2, 4000, 2000, 2, 4000, 2000, 2, 4000, 2000, 2, 4000, 2000, 2, 4000, 2000, 2, 4000, 2, 4000, 2, 4000, 2, 4000, 2000, 2, 4000, 2000, 2, 4000, 2, 4000, 2, 4000, 2, 4000, 2
import scales all proportionally</t>
      </text>
    </comment>
    <comment ref="AA57" authorId="0" shapeId="0">
      <text>
        <t>fires when: cannon</t>
      </text>
    </comment>
    <comment ref="K59" authorId="0" shapeId="0">
      <text>
        <t>raw warhead damages: 6000, 3, 1000, 6000, 3, 6000, 3
import scales all proportionally</t>
      </text>
    </comment>
    <comment ref="AA59" authorId="0" shapeId="0">
      <text>
        <t>fires when: guard</t>
      </text>
    </comment>
    <comment ref="K60" authorId="0" shapeId="0">
      <text>
        <t>raw warhead damages: 4000, 2000, 2, 4000, 2000, 2, 4000, 2000, 2, 4000, 2000, 2, 4000, 2000, 2, 4000, 2000, 2, 4000, 2, 4000, 2, 4000, 2, 4000, 2000, 2, 4000, 2000, 2, 4000, 2, 4000, 2, 4000, 2, 4000, 2
import scales all proportionally</t>
      </text>
    </comment>
    <comment ref="AA60" authorId="0" shapeId="0">
      <text>
        <t>fires when: cannon</t>
      </text>
    </comment>
    <comment ref="K62" authorId="0" shapeId="0">
      <text>
        <t>raw warhead damages: 6000, 3, 1000, 6000, 3, 6000, 3
import scales all proportionally</t>
      </text>
    </comment>
    <comment ref="AA62" authorId="0" shapeId="0">
      <text>
        <t>fires when: guard</t>
      </text>
    </comment>
    <comment ref="K63" authorId="0" shapeId="0">
      <text>
        <t>raw warhead damages: 4000, 2000, 2, 4000, 2000, 2, 4000, 2000, 2, 4000, 2000, 2, 4000, 2000, 2, 4000, 2000, 2, 4000, 2, 4000, 2, 4000, 2, 4000, 2000, 2, 4000, 2000, 2, 4000, 2, 4000, 2, 4000, 2, 4000, 2
import scales all proportionally</t>
      </text>
    </comment>
    <comment ref="AA63" authorId="0" shapeId="0">
      <text>
        <t>fires when: cannon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7.xml" Id="comments" /><Relationship Type="http://schemas.openxmlformats.org/officeDocument/2006/relationships/vmlDrawing" Target="/xl/drawings/commentsDrawing27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8.xml" Id="comments" /><Relationship Type="http://schemas.openxmlformats.org/officeDocument/2006/relationships/vmlDrawing" Target="/xl/drawings/commentsDrawing28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29.xml" Id="comments" /><Relationship Type="http://schemas.openxmlformats.org/officeDocument/2006/relationships/vmlDrawing" Target="/xl/drawings/commentsDrawing29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0.xml" Id="comments" /><Relationship Type="http://schemas.openxmlformats.org/officeDocument/2006/relationships/vmlDrawing" Target="/xl/drawings/commentsDrawing30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1.xml" Id="comments" /><Relationship Type="http://schemas.openxmlformats.org/officeDocument/2006/relationships/vmlDrawing" Target="/xl/drawings/commentsDrawing3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cameo_balance_v2 — generated workbench (build_workbook.py).</t>
        </is>
      </c>
    </row>
    <row r="2">
      <c r="A2" s="1" t="inlineStr">
        <is>
          <t>NEVER commit this file; regenerate from the ledger.</t>
        </is>
      </c>
    </row>
    <row r="3">
      <c r="A3" s="1" t="inlineStr">
        <is>
          <t>Formula law (formula.py, Tiger anchor O=P=Q=Cost=800):</t>
        </is>
      </c>
    </row>
    <row r="4">
      <c r="A4" s="2" t="inlineStr">
        <is>
          <t>DPS</t>
        </is>
      </c>
      <c r="B4" t="inlineStr">
        <is>
          <t>Damage*Burst/(Reload+BurstDel*(Burst-1))*WeapClass</t>
        </is>
      </c>
    </row>
    <row r="5">
      <c r="A5" s="2" t="inlineStr">
        <is>
          <t>O</t>
        </is>
      </c>
      <c r="B5" t="inlineStr">
        <is>
          <t>(HP/1e5+Speed/100+Rng*Spec/5+DPS/200)*200*UC*Tier</t>
        </is>
      </c>
    </row>
    <row r="6">
      <c r="A6" s="2" t="inlineStr">
        <is>
          <t>P</t>
        </is>
      </c>
      <c r="B6" t="inlineStr">
        <is>
          <t>((HP*Speed/25000)+(Rng*Spec*DPS/2.5))*UC*Tier</t>
        </is>
      </c>
    </row>
    <row r="7">
      <c r="A7" s="2" t="inlineStr">
        <is>
          <t>Q</t>
        </is>
      </c>
      <c r="B7" t="inlineStr">
        <is>
          <t>(HP*Speed*Rng*Spec*DPS*UC*Tier)/12.5e6</t>
        </is>
      </c>
    </row>
    <row r="8">
      <c r="A8" s="2" t="inlineStr">
        <is>
          <t>Price</t>
        </is>
      </c>
      <c r="B8" t="inlineStr">
        <is>
          <t>(O+P+Q)/3   |   RangeSolve: price(range)=Cost, exact</t>
        </is>
      </c>
    </row>
    <row r="9">
      <c r="A9" s="2" t="inlineStr">
        <is>
          <t>class_tuning</t>
        </is>
      </c>
      <c r="B9" t="inlineStr">
        <is>
          <t>knob table lands here in Phase 5 (BALANCE_PIPELINE §5b)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VEHICLES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d2k</t>
        </is>
      </c>
      <c r="B3" t="inlineStr">
        <is>
          <t>combat_tank.atreides</t>
        </is>
      </c>
      <c r="C3" t="inlineStr">
        <is>
          <t>Combat Tank</t>
        </is>
      </c>
      <c r="D3" t="inlineStr"/>
      <c r="E3" s="5" t="n">
        <v>100000</v>
      </c>
      <c r="F3" s="5" t="n">
        <v>75</v>
      </c>
      <c r="G3" t="inlineStr">
        <is>
          <t>Medium</t>
        </is>
      </c>
      <c r="H3" s="5" t="n">
        <v>1</v>
      </c>
      <c r="I3" s="5" t="n">
        <v>1</v>
      </c>
      <c r="J3" s="5" t="n">
        <v>1</v>
      </c>
      <c r="O3">
        <f>MAX(O4)</f>
        <v/>
      </c>
      <c r="R3">
        <f>R4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600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80mm_A</t>
        </is>
      </c>
      <c r="C4" s="6" t="inlineStr">
        <is>
          <t>Armament</t>
        </is>
      </c>
      <c r="K4" s="5" t="n">
        <v>8000</v>
      </c>
      <c r="L4" s="5" t="n">
        <v>25</v>
      </c>
      <c r="M4" s="5" t="n">
        <v>1</v>
      </c>
      <c r="N4" s="5" t="n"/>
      <c r="O4" s="5" t="n">
        <v>5120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^D2K_Cannon</t>
        </is>
      </c>
    </row>
    <row r="5">
      <c r="A5" s="3" t="inlineStr">
        <is>
          <t>BUILDINGS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>
      <c r="A6" t="inlineStr">
        <is>
          <t>d2k</t>
        </is>
      </c>
      <c r="B6" t="inlineStr">
        <is>
          <t>d2k_silo.atreides</t>
        </is>
      </c>
      <c r="C6" t="inlineStr">
        <is>
          <t>Storage Silo</t>
        </is>
      </c>
      <c r="D6" t="inlineStr"/>
      <c r="E6" s="5" t="n">
        <v>50000</v>
      </c>
      <c r="F6" s="5" t="n"/>
      <c r="G6" t="inlineStr">
        <is>
          <t>Wood</t>
        </is>
      </c>
      <c r="H6" s="5" t="n">
        <v>1</v>
      </c>
      <c r="I6" s="5" t="n">
        <v>1</v>
      </c>
      <c r="J6" s="5" t="n">
        <v>1</v>
      </c>
      <c r="W6" s="5" t="n">
        <v>150</v>
      </c>
    </row>
    <row r="7">
      <c r="A7" t="inlineStr">
        <is>
          <t>d2k</t>
        </is>
      </c>
      <c r="B7" t="inlineStr">
        <is>
          <t>refinery.atreides</t>
        </is>
      </c>
      <c r="C7" t="inlineStr">
        <is>
          <t>Spice Refinery</t>
        </is>
      </c>
      <c r="D7" t="inlineStr"/>
      <c r="E7" s="5" t="n">
        <v>40000</v>
      </c>
      <c r="F7" s="5" t="n"/>
      <c r="G7" t="inlineStr">
        <is>
          <t>Wood</t>
        </is>
      </c>
      <c r="H7" s="5" t="n">
        <v>1</v>
      </c>
      <c r="I7" s="5" t="n">
        <v>1</v>
      </c>
      <c r="J7" s="5" t="n">
        <v>1</v>
      </c>
      <c r="W7" s="5" t="n"/>
    </row>
    <row r="8">
      <c r="A8" t="inlineStr">
        <is>
          <t>d2k</t>
        </is>
      </c>
      <c r="B8" t="inlineStr">
        <is>
          <t>wind_trap.atreides</t>
        </is>
      </c>
      <c r="C8" t="inlineStr">
        <is>
          <t>Wind Trap</t>
        </is>
      </c>
      <c r="D8" t="inlineStr"/>
      <c r="E8" s="5" t="n">
        <v>200000</v>
      </c>
      <c r="F8" s="5" t="n"/>
      <c r="G8" t="inlineStr">
        <is>
          <t>Concrete</t>
        </is>
      </c>
      <c r="H8" s="5" t="n">
        <v>1</v>
      </c>
      <c r="I8" s="5" t="n">
        <v>1</v>
      </c>
      <c r="J8" s="5" t="n">
        <v>1</v>
      </c>
      <c r="W8" s="5" t="n">
        <v>500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9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VEHICLES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d2k</t>
        </is>
      </c>
      <c r="B3" t="inlineStr">
        <is>
          <t>combat_tank.harkonnen</t>
        </is>
      </c>
      <c r="C3" t="inlineStr">
        <is>
          <t>Harkonnen Combat Tank</t>
        </is>
      </c>
      <c r="D3" t="inlineStr"/>
      <c r="E3" s="5" t="n">
        <v>70000</v>
      </c>
      <c r="F3" s="5" t="n">
        <v>65</v>
      </c>
      <c r="G3" t="inlineStr">
        <is>
          <t>Medium</t>
        </is>
      </c>
      <c r="H3" s="5" t="n">
        <v>1</v>
      </c>
      <c r="I3" s="5" t="n">
        <v>1</v>
      </c>
      <c r="J3" s="5" t="n">
        <v>1</v>
      </c>
      <c r="O3">
        <f>MAX(O4)</f>
        <v/>
      </c>
      <c r="R3">
        <f>R4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600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80mm_H</t>
        </is>
      </c>
      <c r="C4" s="6" t="inlineStr">
        <is>
          <t>Armament</t>
        </is>
      </c>
      <c r="K4" s="5" t="n">
        <v>8000</v>
      </c>
      <c r="L4" s="5" t="n">
        <v>55</v>
      </c>
      <c r="M4" s="5" t="n">
        <v>1</v>
      </c>
      <c r="N4" s="5" t="n"/>
      <c r="O4" s="5" t="n">
        <v>5120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^D2K_Cannon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5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d2k</t>
        </is>
      </c>
      <c r="B3" t="inlineStr">
        <is>
          <t>heavy_inf.ixian</t>
        </is>
      </c>
      <c r="C3" t="inlineStr">
        <is>
          <t>Rashidan</t>
        </is>
      </c>
      <c r="D3" t="inlineStr"/>
      <c r="E3" s="5" t="n">
        <v>32000</v>
      </c>
      <c r="F3" s="5" t="n">
        <v>50</v>
      </c>
      <c r="G3" t="inlineStr">
        <is>
          <t>Plate</t>
        </is>
      </c>
      <c r="H3" s="5" t="n">
        <v>1</v>
      </c>
      <c r="I3" s="5" t="n">
        <v>1</v>
      </c>
      <c r="J3" s="5" t="n">
        <v>1</v>
      </c>
      <c r="O3">
        <f>MAX(O4,O5)</f>
        <v/>
      </c>
      <c r="R3">
        <f>R4+R5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400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RashinanGun</t>
        </is>
      </c>
      <c r="C4" s="6" t="inlineStr">
        <is>
          <t>Armament@PRIMARY</t>
        </is>
      </c>
      <c r="K4" s="5" t="n">
        <v>2000</v>
      </c>
      <c r="L4" s="5" t="n">
        <v>69</v>
      </c>
      <c r="M4" s="5" t="n">
        <v>4</v>
      </c>
      <c r="N4" s="5" t="n">
        <v>0</v>
      </c>
      <c r="O4" s="5" t="n">
        <v>3800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^LightMissile, ^MediumMissile, ^SmallArms, ^Chaingun</t>
        </is>
      </c>
    </row>
    <row r="5">
      <c r="B5" s="6" t="inlineStr">
        <is>
          <t xml:space="preserve">  ↳ RashinanGun_upgrade</t>
        </is>
      </c>
      <c r="C5" s="6" t="inlineStr">
        <is>
          <t>Armament@Upgrade</t>
        </is>
      </c>
      <c r="K5" s="5" t="n">
        <v>2000</v>
      </c>
      <c r="L5" s="5" t="n">
        <v>69</v>
      </c>
      <c r="M5" s="5" t="n">
        <v>4</v>
      </c>
      <c r="N5" s="5" t="n">
        <v>0</v>
      </c>
      <c r="O5" s="5" t="n">
        <v>3800</v>
      </c>
      <c r="P5" s="5" t="n">
        <v>1</v>
      </c>
      <c r="Q5">
        <f>L5+IF(M5&gt;1,N(N5)*(M5-1),0)</f>
        <v/>
      </c>
      <c r="R5">
        <f>IFERROR(K5*MAX(M5,1)/Q5*P5,0)</f>
        <v/>
      </c>
      <c r="AA5" s="6" t="inlineStr">
        <is>
          <t>^HeavyMissile, ^HeavyCannon, ^LightMissile, ^MediumMissile, ^SmallArms, ^Chaingun, ^HeavyMachineGunProjectile</t>
        </is>
      </c>
    </row>
    <row r="6">
      <c r="B6" s="6" t="inlineStr">
        <is>
          <t xml:space="preserve">  ↳ RashinanGun</t>
        </is>
      </c>
      <c r="C6" s="6" t="inlineStr">
        <is>
          <t>Armament@GARRISONED</t>
        </is>
      </c>
      <c r="K6" s="5" t="n">
        <v>2000</v>
      </c>
      <c r="L6" s="5" t="n">
        <v>69</v>
      </c>
      <c r="M6" s="5" t="n">
        <v>4</v>
      </c>
      <c r="N6" s="5" t="n">
        <v>0</v>
      </c>
      <c r="O6" s="5" t="n">
        <v>3800</v>
      </c>
      <c r="P6" s="5" t="n">
        <v>1</v>
      </c>
      <c r="Q6">
        <f>L6+IF(M6&gt;1,N(N6)*(M6-1),0)</f>
        <v/>
      </c>
      <c r="R6">
        <f>IFERROR(K6*MAX(M6,1)/Q6*P6,0)</f>
        <v/>
      </c>
      <c r="AA6" s="6" t="inlineStr">
        <is>
          <t>^LightMissile, ^MediumMissile, ^SmallArms, ^Chaingun</t>
        </is>
      </c>
    </row>
    <row r="7">
      <c r="B7" s="6" t="inlineStr">
        <is>
          <t xml:space="preserve">  ↳ RashinanGun_upgrade</t>
        </is>
      </c>
      <c r="C7" s="6" t="inlineStr">
        <is>
          <t>Armament@UpgradeGARRISONED</t>
        </is>
      </c>
      <c r="K7" s="5" t="n">
        <v>2000</v>
      </c>
      <c r="L7" s="5" t="n">
        <v>69</v>
      </c>
      <c r="M7" s="5" t="n">
        <v>4</v>
      </c>
      <c r="N7" s="5" t="n">
        <v>0</v>
      </c>
      <c r="O7" s="5" t="n">
        <v>3800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^HeavyMissile, ^HeavyCannon, ^LightMissile, ^MediumMissile, ^SmallArms, ^Chaingun, ^HeavyMachineGunProjectile</t>
        </is>
      </c>
    </row>
    <row r="8">
      <c r="A8" t="inlineStr">
        <is>
          <t>d2k</t>
        </is>
      </c>
      <c r="B8" t="inlineStr">
        <is>
          <t>ixian_lightinfantry</t>
        </is>
      </c>
      <c r="C8" t="inlineStr">
        <is>
          <t>Ixian Light Infantry</t>
        </is>
      </c>
      <c r="D8" t="inlineStr"/>
      <c r="E8" s="5" t="n">
        <v>36000</v>
      </c>
      <c r="F8" s="5" t="n">
        <v>52</v>
      </c>
      <c r="G8" t="inlineStr">
        <is>
          <t>None</t>
        </is>
      </c>
      <c r="H8" s="5" t="n">
        <v>1</v>
      </c>
      <c r="I8" s="5" t="n">
        <v>1</v>
      </c>
      <c r="J8" s="5" t="n">
        <v>1</v>
      </c>
      <c r="O8">
        <f>MAX(O9,O10)</f>
        <v/>
      </c>
      <c r="R8">
        <f>R9+R10</f>
        <v/>
      </c>
      <c r="S8">
        <f>(E8/100000+F8/100+(O8/1000)*J8/5+R8/200)*200*I8*H8</f>
        <v/>
      </c>
      <c r="T8">
        <f>((E8*F8/25000)+((O8/1000)*J8*R8/2.5))*I8*H8</f>
        <v/>
      </c>
      <c r="U8">
        <f>(E8*F8*(O8/1000)*J8*R8*I8*H8)/12500000</f>
        <v/>
      </c>
      <c r="V8">
        <f>(S8+T8+U8)/3</f>
        <v/>
      </c>
      <c r="W8" s="5" t="n">
        <v>150</v>
      </c>
      <c r="X8">
        <f>IFERROR(V8-W8,"")</f>
        <v/>
      </c>
      <c r="Y8">
        <f>IFERROR(ABS(X8)/MAX(W8,1),"")</f>
        <v/>
      </c>
      <c r="Z8">
        <f>IFERROR((W8-(((E8/100000+F8/100+R8/200)*200*I8*H8)+((E8*F8/25000)*I8*H8))/3)/(((J8/5)*200*I8*H8)+((J8*R8/2.5)*I8*H8)+((E8*F8*J8*R8*I8*H8)/12500000))/3*1000,"")</f>
        <v/>
      </c>
    </row>
    <row r="9">
      <c r="B9" s="6" t="inlineStr">
        <is>
          <t xml:space="preserve">  ↳ light_inf_lmg</t>
        </is>
      </c>
      <c r="C9" s="6" t="inlineStr">
        <is>
          <t>Armament@PRIMARY</t>
        </is>
      </c>
      <c r="K9" s="5" t="n">
        <v>2000</v>
      </c>
      <c r="L9" s="5" t="n">
        <v>20</v>
      </c>
      <c r="M9" s="5" t="n">
        <v>1</v>
      </c>
      <c r="N9" s="5" t="n"/>
      <c r="O9" s="5" t="n">
        <v>4500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>
        <is>
          <t>^Chaingun, ^SmallArms</t>
        </is>
      </c>
    </row>
    <row r="10">
      <c r="B10" s="6" t="inlineStr">
        <is>
          <t xml:space="preserve">  ↳ light_inf_lmg_upgrade</t>
        </is>
      </c>
      <c r="C10" s="6" t="inlineStr">
        <is>
          <t>Armament@Upgrade</t>
        </is>
      </c>
      <c r="K10" s="5" t="n">
        <v>2000</v>
      </c>
      <c r="L10" s="5" t="n">
        <v>20</v>
      </c>
      <c r="M10" s="5" t="n">
        <v>1</v>
      </c>
      <c r="N10" s="5" t="n"/>
      <c r="O10" s="5" t="n">
        <v>4500</v>
      </c>
      <c r="P10" s="5" t="n">
        <v>1</v>
      </c>
      <c r="Q10">
        <f>L10+IF(M10&gt;1,N(N10)*(M10-1),0)</f>
        <v/>
      </c>
      <c r="R10">
        <f>IFERROR(K10*MAX(M10,1)/Q10*P10,0)</f>
        <v/>
      </c>
      <c r="AA10" s="6" t="inlineStr">
        <is>
          <t>^HeavyCannon, ^Chaingun, ^SmallArms, ^HeavyMachineGunProjectile</t>
        </is>
      </c>
    </row>
    <row r="11">
      <c r="B11" s="6" t="inlineStr">
        <is>
          <t xml:space="preserve">  ↳ light_inf_lmg</t>
        </is>
      </c>
      <c r="C11" s="6" t="inlineStr">
        <is>
          <t>Armament@GARRISONED</t>
        </is>
      </c>
      <c r="K11" s="5" t="n">
        <v>2000</v>
      </c>
      <c r="L11" s="5" t="n">
        <v>20</v>
      </c>
      <c r="M11" s="5" t="n">
        <v>1</v>
      </c>
      <c r="N11" s="5" t="n"/>
      <c r="O11" s="5" t="n">
        <v>4500</v>
      </c>
      <c r="P11" s="5" t="n">
        <v>1</v>
      </c>
      <c r="Q11">
        <f>L11+IF(M11&gt;1,N(N11)*(M11-1),0)</f>
        <v/>
      </c>
      <c r="R11">
        <f>IFERROR(K11*MAX(M11,1)/Q11*P11,0)</f>
        <v/>
      </c>
      <c r="AA11" s="6" t="inlineStr">
        <is>
          <t>^Chaingun, ^SmallArms</t>
        </is>
      </c>
    </row>
    <row r="12">
      <c r="B12" s="6" t="inlineStr">
        <is>
          <t xml:space="preserve">  ↳ light_inf_lmg_upgrade</t>
        </is>
      </c>
      <c r="C12" s="6" t="inlineStr">
        <is>
          <t>Armament@UpgradeGARRISONED</t>
        </is>
      </c>
      <c r="K12" s="5" t="n">
        <v>2000</v>
      </c>
      <c r="L12" s="5" t="n">
        <v>20</v>
      </c>
      <c r="M12" s="5" t="n">
        <v>1</v>
      </c>
      <c r="N12" s="5" t="n"/>
      <c r="O12" s="5" t="n">
        <v>4500</v>
      </c>
      <c r="P12" s="5" t="n">
        <v>1</v>
      </c>
      <c r="Q12">
        <f>L12+IF(M12&gt;1,N(N12)*(M12-1),0)</f>
        <v/>
      </c>
      <c r="R12">
        <f>IFERROR(K12*MAX(M12,1)/Q12*P12,0)</f>
        <v/>
      </c>
      <c r="AA12" s="6" t="inlineStr">
        <is>
          <t>^HeavyCannon, ^Chaingun, ^SmallArms, ^HeavyMachineGunProjectile</t>
        </is>
      </c>
    </row>
    <row r="13">
      <c r="A13" t="inlineStr">
        <is>
          <t>d2k</t>
        </is>
      </c>
      <c r="B13" t="inlineStr">
        <is>
          <t>ixian_rockettrooper</t>
        </is>
      </c>
      <c r="C13" t="inlineStr">
        <is>
          <t>Ixian Rocket Trooper</t>
        </is>
      </c>
      <c r="D13" t="inlineStr"/>
      <c r="E13" s="5" t="n">
        <v>12000</v>
      </c>
      <c r="F13" s="5" t="n">
        <v>48</v>
      </c>
      <c r="G13" t="inlineStr">
        <is>
          <t>Flak</t>
        </is>
      </c>
      <c r="H13" s="5" t="n">
        <v>1</v>
      </c>
      <c r="I13" s="5" t="n">
        <v>1</v>
      </c>
      <c r="J13" s="5" t="n">
        <v>1</v>
      </c>
      <c r="O13">
        <f>MAX(O14)</f>
        <v/>
      </c>
      <c r="R13">
        <f>R14</f>
        <v/>
      </c>
      <c r="S13">
        <f>(E13/100000+F13/100+(O13/1000)*J13/5+R13/200)*200*I13*H13</f>
        <v/>
      </c>
      <c r="T13">
        <f>((E13*F13/25000)+((O13/1000)*J13*R13/2.5))*I13*H13</f>
        <v/>
      </c>
      <c r="U13">
        <f>(E13*F13*(O13/1000)*J13*R13*I13*H13)/12500000</f>
        <v/>
      </c>
      <c r="V13">
        <f>(S13+T13+U13)/3</f>
        <v/>
      </c>
      <c r="W13" s="5" t="n">
        <v>300</v>
      </c>
      <c r="X13">
        <f>IFERROR(V13-W13,"")</f>
        <v/>
      </c>
      <c r="Y13">
        <f>IFERROR(ABS(X13)/MAX(W13,1),"")</f>
        <v/>
      </c>
      <c r="Z13">
        <f>IFERROR((W13-(((E13/100000+F13/100+R13/200)*200*I13*H13)+((E13*F13/25000)*I13*H13))/3)/(((J13/5)*200*I13*H13)+((J13*R13/2.5)*I13*H13)+((E13*F13*J13*R13*I13*H13)/12500000))/3*1000,"")</f>
        <v/>
      </c>
    </row>
    <row r="14">
      <c r="B14" s="6" t="inlineStr">
        <is>
          <t xml:space="preserve">  ↳ D2K_Rocket_Trooper</t>
        </is>
      </c>
      <c r="C14" s="6" t="inlineStr">
        <is>
          <t>Armament</t>
        </is>
      </c>
      <c r="K14" s="5" t="n">
        <v>8000</v>
      </c>
      <c r="L14" s="5" t="n">
        <v>64</v>
      </c>
      <c r="M14" s="5" t="n">
        <v>1</v>
      </c>
      <c r="N14" s="5" t="n"/>
      <c r="O14" s="5" t="n">
        <v>6185</v>
      </c>
      <c r="P14" s="5" t="n">
        <v>1</v>
      </c>
      <c r="Q14">
        <f>L14+IF(M14&gt;1,N(N14)*(M14-1),0)</f>
        <v/>
      </c>
      <c r="R14">
        <f>IFERROR(K14*MAX(M14,1)/Q14*P14,0)</f>
        <v/>
      </c>
      <c r="AA14" s="6" t="inlineStr">
        <is>
          <t>^LightMissile, ^MediumMissile, ^D2KRocket</t>
        </is>
      </c>
    </row>
    <row r="15">
      <c r="B15" s="6" t="inlineStr">
        <is>
          <t xml:space="preserve">  ↳ D2K_Rocket_Trooper</t>
        </is>
      </c>
      <c r="C15" s="6" t="inlineStr">
        <is>
          <t>Armament@garrisoned</t>
        </is>
      </c>
      <c r="K15" s="5" t="n">
        <v>8000</v>
      </c>
      <c r="L15" s="5" t="n">
        <v>64</v>
      </c>
      <c r="M15" s="5" t="n">
        <v>1</v>
      </c>
      <c r="N15" s="5" t="n"/>
      <c r="O15" s="5" t="n">
        <v>6185</v>
      </c>
      <c r="P15" s="5" t="n">
        <v>1</v>
      </c>
      <c r="Q15">
        <f>L15+IF(M15&gt;1,N(N15)*(M15-1),0)</f>
        <v/>
      </c>
      <c r="R15">
        <f>IFERROR(K15*MAX(M15,1)/Q15*P15,0)</f>
        <v/>
      </c>
      <c r="AA15" s="6" t="inlineStr">
        <is>
          <t>^LightMissile, ^MediumMissile, ^D2KRocket</t>
        </is>
      </c>
    </row>
    <row r="16">
      <c r="A16" t="inlineStr">
        <is>
          <t>d2k</t>
        </is>
      </c>
      <c r="B16" t="inlineStr">
        <is>
          <t>ixian_shockinfantry</t>
        </is>
      </c>
      <c r="C16" t="inlineStr">
        <is>
          <t>Shock Infantry</t>
        </is>
      </c>
      <c r="D16" t="inlineStr"/>
      <c r="E16" s="5" t="n">
        <v>36000</v>
      </c>
      <c r="F16" s="5" t="n">
        <v>45</v>
      </c>
      <c r="G16" t="inlineStr">
        <is>
          <t>Plate</t>
        </is>
      </c>
      <c r="H16" s="5" t="n">
        <v>1</v>
      </c>
      <c r="I16" s="5" t="n">
        <v>1</v>
      </c>
      <c r="J16" s="5" t="n">
        <v>1</v>
      </c>
      <c r="O16">
        <f>MAX(O17)</f>
        <v/>
      </c>
      <c r="R16">
        <f>R17</f>
        <v/>
      </c>
      <c r="S16">
        <f>(E16/100000+F16/100+(O16/1000)*J16/5+R16/200)*200*I16*H16</f>
        <v/>
      </c>
      <c r="T16">
        <f>((E16*F16/25000)+((O16/1000)*J16*R16/2.5))*I16*H16</f>
        <v/>
      </c>
      <c r="U16">
        <f>(E16*F16*(O16/1000)*J16*R16*I16*H16)/12500000</f>
        <v/>
      </c>
      <c r="V16">
        <f>(S16+T16+U16)/3</f>
        <v/>
      </c>
      <c r="W16" s="5" t="n">
        <v>500</v>
      </c>
      <c r="X16">
        <f>IFERROR(V16-W16,"")</f>
        <v/>
      </c>
      <c r="Y16">
        <f>IFERROR(ABS(X16)/MAX(W16,1),"")</f>
        <v/>
      </c>
      <c r="Z16">
        <f>IFERROR((W16-(((E16/100000+F16/100+R16/200)*200*I16*H16)+((E16*F16/25000)*I16*H16))/3)/(((J16/5)*200*I16*H16)+((J16*R16/2.5)*I16*H16)+((E16*F16*J16*R16*I16*H16)/12500000))/3*1000,"")</f>
        <v/>
      </c>
    </row>
    <row r="17">
      <c r="B17" s="6" t="inlineStr">
        <is>
          <t xml:space="preserve">  ↳ D2K_ShockGunInf</t>
        </is>
      </c>
      <c r="C17" s="6" t="inlineStr">
        <is>
          <t>Armament@PRIMARY</t>
        </is>
      </c>
      <c r="K17" s="5" t="n">
        <v>18000</v>
      </c>
      <c r="L17" s="5" t="n">
        <v>45</v>
      </c>
      <c r="M17" s="5" t="n">
        <v>1</v>
      </c>
      <c r="N17" s="5" t="n"/>
      <c r="O17" s="5" t="n">
        <v>5818</v>
      </c>
      <c r="P17" s="5" t="n">
        <v>1</v>
      </c>
      <c r="Q17">
        <f>L17+IF(M17&gt;1,N(N17)*(M17-1),0)</f>
        <v/>
      </c>
      <c r="R17">
        <f>IFERROR(K17*MAX(M17,1)/Q17*P17,0)</f>
        <v/>
      </c>
      <c r="AA17" s="6" t="inlineStr">
        <is>
          <t>^RailgunWeapon</t>
        </is>
      </c>
    </row>
    <row r="18">
      <c r="B18" s="6" t="inlineStr">
        <is>
          <t xml:space="preserve">  ↳ D2K_ShockGunInf</t>
        </is>
      </c>
      <c r="C18" s="6" t="inlineStr">
        <is>
          <t>Armament@GARRISONED</t>
        </is>
      </c>
      <c r="K18" s="5" t="n">
        <v>18000</v>
      </c>
      <c r="L18" s="5" t="n">
        <v>45</v>
      </c>
      <c r="M18" s="5" t="n">
        <v>1</v>
      </c>
      <c r="N18" s="5" t="n"/>
      <c r="O18" s="5" t="n">
        <v>5818</v>
      </c>
      <c r="P18" s="5" t="n">
        <v>1</v>
      </c>
      <c r="Q18">
        <f>L18+IF(M18&gt;1,N(N18)*(M18-1),0)</f>
        <v/>
      </c>
      <c r="R18">
        <f>IFERROR(K18*MAX(M18,1)/Q18*P18,0)</f>
        <v/>
      </c>
      <c r="AA18" s="6" t="inlineStr">
        <is>
          <t>^RailgunWeapon</t>
        </is>
      </c>
    </row>
    <row r="19">
      <c r="A19" t="inlineStr">
        <is>
          <t>d2k</t>
        </is>
      </c>
      <c r="B19" t="inlineStr">
        <is>
          <t>ixian_storminfantry</t>
        </is>
      </c>
      <c r="C19" t="inlineStr">
        <is>
          <t>Storm Infantry</t>
        </is>
      </c>
      <c r="D19" t="inlineStr"/>
      <c r="E19" s="5" t="n">
        <v>44000</v>
      </c>
      <c r="F19" s="5" t="n">
        <v>44</v>
      </c>
      <c r="G19" t="inlineStr">
        <is>
          <t>Plate</t>
        </is>
      </c>
      <c r="H19" s="5" t="n">
        <v>1</v>
      </c>
      <c r="I19" s="5" t="n">
        <v>1</v>
      </c>
      <c r="J19" s="5" t="n">
        <v>1</v>
      </c>
      <c r="O19">
        <f>MAX(O20)</f>
        <v/>
      </c>
      <c r="R19">
        <f>R20</f>
        <v/>
      </c>
      <c r="S19">
        <f>(E19/100000+F19/100+(O19/1000)*J19/5+R19/200)*200*I19*H19</f>
        <v/>
      </c>
      <c r="T19">
        <f>((E19*F19/25000)+((O19/1000)*J19*R19/2.5))*I19*H19</f>
        <v/>
      </c>
      <c r="U19">
        <f>(E19*F19*(O19/1000)*J19*R19*I19*H19)/12500000</f>
        <v/>
      </c>
      <c r="V19">
        <f>(S19+T19+U19)/3</f>
        <v/>
      </c>
      <c r="W19" s="5" t="n">
        <v>800</v>
      </c>
      <c r="X19">
        <f>IFERROR(V19-W19,"")</f>
        <v/>
      </c>
      <c r="Y19">
        <f>IFERROR(ABS(X19)/MAX(W19,1),"")</f>
        <v/>
      </c>
      <c r="Z19">
        <f>IFERROR((W19-(((E19/100000+F19/100+R19/200)*200*I19*H19)+((E19*F19/25000)*I19*H19))/3)/(((J19/5)*200*I19*H19)+((J19*R19/2.5)*I19*H19)+((E19*F19*J19*R19*I19*H19)/12500000))/3*1000,"")</f>
        <v/>
      </c>
    </row>
    <row r="20">
      <c r="B20" s="6" t="inlineStr">
        <is>
          <t xml:space="preserve">  ↳ D2K_StormGunInf</t>
        </is>
      </c>
      <c r="C20" s="6" t="inlineStr">
        <is>
          <t>Armament@PRIMARY</t>
        </is>
      </c>
      <c r="K20" s="5" t="n">
        <v>12000</v>
      </c>
      <c r="L20" s="5" t="n">
        <v>66</v>
      </c>
      <c r="M20" s="5" t="n">
        <v>1</v>
      </c>
      <c r="N20" s="5" t="n"/>
      <c r="O20" s="5" t="n">
        <v>6275</v>
      </c>
      <c r="P20" s="5" t="n">
        <v>1</v>
      </c>
      <c r="Q20">
        <f>L20+IF(M20&gt;1,N(N20)*(M20-1),0)</f>
        <v/>
      </c>
      <c r="R20">
        <f>IFERROR(K20*MAX(M20,1)/Q20*P20,0)</f>
        <v/>
      </c>
      <c r="AA20" s="6" t="inlineStr">
        <is>
          <t>^TeslaWeapon, ^RailgunWeapon</t>
        </is>
      </c>
    </row>
    <row r="21">
      <c r="B21" s="6" t="inlineStr">
        <is>
          <t xml:space="preserve">  ↳ D2K_StormGunInf</t>
        </is>
      </c>
      <c r="C21" s="6" t="inlineStr">
        <is>
          <t>Armament@GARRISONED</t>
        </is>
      </c>
      <c r="K21" s="5" t="n">
        <v>12000</v>
      </c>
      <c r="L21" s="5" t="n">
        <v>66</v>
      </c>
      <c r="M21" s="5" t="n">
        <v>1</v>
      </c>
      <c r="N21" s="5" t="n"/>
      <c r="O21" s="5" t="n">
        <v>6275</v>
      </c>
      <c r="P21" s="5" t="n">
        <v>1</v>
      </c>
      <c r="Q21">
        <f>L21+IF(M21&gt;1,N(N21)*(M21-1),0)</f>
        <v/>
      </c>
      <c r="R21">
        <f>IFERROR(K21*MAX(M21,1)/Q21*P21,0)</f>
        <v/>
      </c>
      <c r="AA21" s="6" t="inlineStr">
        <is>
          <t>^TeslaWeapon, ^RailgunWeapon</t>
        </is>
      </c>
    </row>
    <row r="22">
      <c r="A22" t="inlineStr">
        <is>
          <t>d2k</t>
        </is>
      </c>
      <c r="B22" t="inlineStr">
        <is>
          <t>ixian_twinrockettrooper</t>
        </is>
      </c>
      <c r="C22" t="inlineStr">
        <is>
          <t>Twin Rocket Trooper</t>
        </is>
      </c>
      <c r="D22" t="inlineStr"/>
      <c r="E22" s="5" t="n">
        <v>24000</v>
      </c>
      <c r="F22" s="5" t="n">
        <v>48</v>
      </c>
      <c r="G22" t="inlineStr">
        <is>
          <t>Flak</t>
        </is>
      </c>
      <c r="H22" s="5" t="n">
        <v>1</v>
      </c>
      <c r="I22" s="5" t="n">
        <v>0.5</v>
      </c>
      <c r="J22" s="5" t="n">
        <v>1</v>
      </c>
      <c r="O22">
        <f>MAX(O23,O24)</f>
        <v/>
      </c>
      <c r="R22">
        <f>R23+R24</f>
        <v/>
      </c>
      <c r="S22">
        <f>(E22/100000+F22/100+(O22/1000)*J22/5+R22/200)*200*I22*H22</f>
        <v/>
      </c>
      <c r="T22">
        <f>((E22*F22/25000)+((O22/1000)*J22*R22/2.5))*I22*H22</f>
        <v/>
      </c>
      <c r="U22">
        <f>(E22*F22*(O22/1000)*J22*R22*I22*H22)/12500000</f>
        <v/>
      </c>
      <c r="V22">
        <f>(S22+T22+U22)/3</f>
        <v/>
      </c>
      <c r="W22" s="5" t="n">
        <v>600</v>
      </c>
      <c r="X22">
        <f>IFERROR(V22-W22,"")</f>
        <v/>
      </c>
      <c r="Y22">
        <f>IFERROR(ABS(X22)/MAX(W22,1),"")</f>
        <v/>
      </c>
      <c r="Z22">
        <f>IFERROR((W22-(((E22/100000+F22/100+R22/200)*200*I22*H22)+((E22*F22/25000)*I22*H22))/3)/(((J22/5)*200*I22*H22)+((J22*R22/2.5)*I22*H22)+((E22*F22*J22*R22*I22*H22)/12500000))/3*1000,"")</f>
        <v/>
      </c>
    </row>
    <row r="23">
      <c r="B23" s="6" t="inlineStr">
        <is>
          <t xml:space="preserve">  ↳ D2K_Rocket_Trooper1</t>
        </is>
      </c>
      <c r="C23" s="6" t="inlineStr">
        <is>
          <t>Armament</t>
        </is>
      </c>
      <c r="K23" s="5" t="n">
        <v>8000</v>
      </c>
      <c r="L23" s="5" t="n">
        <v>64</v>
      </c>
      <c r="M23" s="5" t="n">
        <v>1</v>
      </c>
      <c r="N23" s="5" t="n"/>
      <c r="O23" s="5" t="n">
        <v>6502</v>
      </c>
      <c r="P23" s="5" t="n">
        <v>1</v>
      </c>
      <c r="Q23">
        <f>L23+IF(M23&gt;1,N(N23)*(M23-1),0)</f>
        <v/>
      </c>
      <c r="R23">
        <f>IFERROR(K23*MAX(M23,1)/Q23*P23,0)</f>
        <v/>
      </c>
      <c r="AA23" s="6" t="inlineStr">
        <is>
          <t>^LightMissile, ^FlakWeapon, ^D2KRocket</t>
        </is>
      </c>
    </row>
    <row r="24">
      <c r="B24" s="6" t="inlineStr">
        <is>
          <t xml:space="preserve">  ↳ D2K_Rocket_Trooper2</t>
        </is>
      </c>
      <c r="C24" s="6" t="inlineStr">
        <is>
          <t>Armament@SECONDARY</t>
        </is>
      </c>
      <c r="K24" s="5" t="n">
        <v>8000</v>
      </c>
      <c r="L24" s="5" t="n">
        <v>64</v>
      </c>
      <c r="M24" s="5" t="n">
        <v>1</v>
      </c>
      <c r="N24" s="5" t="n"/>
      <c r="O24" s="5" t="n">
        <v>6502</v>
      </c>
      <c r="P24" s="5" t="n">
        <v>1</v>
      </c>
      <c r="Q24">
        <f>L24+IF(M24&gt;1,N(N24)*(M24-1),0)</f>
        <v/>
      </c>
      <c r="R24">
        <f>IFERROR(K24*MAX(M24,1)/Q24*P24,0)</f>
        <v/>
      </c>
      <c r="AA24" s="6" t="inlineStr">
        <is>
          <t>^Grenade, ^RailgunWeapon, ^D2K_Cannon</t>
        </is>
      </c>
    </row>
    <row r="25">
      <c r="B25" s="6" t="inlineStr">
        <is>
          <t xml:space="preserve">  ↳ D2K_Rocket_Trooper1</t>
        </is>
      </c>
      <c r="C25" s="6" t="inlineStr">
        <is>
          <t>Armament@garrisoned</t>
        </is>
      </c>
      <c r="K25" s="5" t="n">
        <v>8000</v>
      </c>
      <c r="L25" s="5" t="n">
        <v>64</v>
      </c>
      <c r="M25" s="5" t="n">
        <v>1</v>
      </c>
      <c r="N25" s="5" t="n"/>
      <c r="O25" s="5" t="n">
        <v>6502</v>
      </c>
      <c r="P25" s="5" t="n">
        <v>1</v>
      </c>
      <c r="Q25">
        <f>L25+IF(M25&gt;1,N(N25)*(M25-1),0)</f>
        <v/>
      </c>
      <c r="R25">
        <f>IFERROR(K25*MAX(M25,1)/Q25*P25,0)</f>
        <v/>
      </c>
      <c r="AA25" s="6" t="inlineStr">
        <is>
          <t>^LightMissile, ^FlakWeapon, ^D2KRocket</t>
        </is>
      </c>
    </row>
    <row r="26">
      <c r="B26" s="6" t="inlineStr">
        <is>
          <t xml:space="preserve">  ↳ D2K_Rocket_Trooper2</t>
        </is>
      </c>
      <c r="C26" s="6" t="inlineStr">
        <is>
          <t>Armament@SECONDARYgarrisoned</t>
        </is>
      </c>
      <c r="K26" s="5" t="n">
        <v>8000</v>
      </c>
      <c r="L26" s="5" t="n">
        <v>64</v>
      </c>
      <c r="M26" s="5" t="n">
        <v>1</v>
      </c>
      <c r="N26" s="5" t="n"/>
      <c r="O26" s="5" t="n">
        <v>6502</v>
      </c>
      <c r="P26" s="5" t="n">
        <v>1</v>
      </c>
      <c r="Q26">
        <f>L26+IF(M26&gt;1,N(N26)*(M26-1),0)</f>
        <v/>
      </c>
      <c r="R26">
        <f>IFERROR(K26*MAX(M26,1)/Q26*P26,0)</f>
        <v/>
      </c>
      <c r="AA26" s="6" t="inlineStr">
        <is>
          <t>^Grenade, ^RailgunWeapon, ^D2K_Cannon</t>
        </is>
      </c>
    </row>
    <row r="27">
      <c r="A27" s="3" t="inlineStr">
        <is>
          <t>VEHICLES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>
      <c r="A28" t="inlineStr">
        <is>
          <t>d2k</t>
        </is>
      </c>
      <c r="B28" t="inlineStr">
        <is>
          <t>apparition.ixian</t>
        </is>
      </c>
      <c r="C28" t="inlineStr">
        <is>
          <t>Apparition</t>
        </is>
      </c>
      <c r="D28" t="inlineStr"/>
      <c r="E28" s="5" t="n">
        <v>37500</v>
      </c>
      <c r="F28" s="5" t="n">
        <v>160</v>
      </c>
      <c r="G28" t="inlineStr">
        <is>
          <t>Plate</t>
        </is>
      </c>
      <c r="H28" s="5" t="n">
        <v>1</v>
      </c>
      <c r="I28" s="5" t="n">
        <v>1</v>
      </c>
      <c r="J28" s="5" t="n">
        <v>1</v>
      </c>
      <c r="O28">
        <f>MAX(O29,O30)</f>
        <v/>
      </c>
      <c r="R28">
        <f>R29+R30</f>
        <v/>
      </c>
      <c r="S28">
        <f>(E28/100000+F28/100+(O28/1000)*J28/5+R28/200)*200*I28*H28</f>
        <v/>
      </c>
      <c r="T28">
        <f>((E28*F28/25000)+((O28/1000)*J28*R28/2.5))*I28*H28</f>
        <v/>
      </c>
      <c r="U28">
        <f>(E28*F28*(O28/1000)*J28*R28*I28*H28)/12500000</f>
        <v/>
      </c>
      <c r="V28">
        <f>(S28+T28+U28)/3</f>
        <v/>
      </c>
      <c r="W28" s="5" t="n">
        <v>2000</v>
      </c>
      <c r="X28">
        <f>IFERROR(V28-W28,"")</f>
        <v/>
      </c>
      <c r="Y28">
        <f>IFERROR(ABS(X28)/MAX(W28,1),"")</f>
        <v/>
      </c>
      <c r="Z28">
        <f>IFERROR((W28-(((E28/100000+F28/100+R28/200)*200*I28*H28)+((E28*F28/25000)*I28*H28))/3)/(((J28/5)*200*I28*H28)+((J28*R28/2.5)*I28*H28)+((E28*F28*J28*R28*I28*H28)/12500000))/3*1000,"")</f>
        <v/>
      </c>
    </row>
    <row r="29">
      <c r="B29" s="6" t="inlineStr">
        <is>
          <t xml:space="preserve">  ↳ d2k_basq</t>
        </is>
      </c>
      <c r="C29" s="6" t="inlineStr">
        <is>
          <t>Armament</t>
        </is>
      </c>
      <c r="K29" s="5" t="n">
        <v>8000</v>
      </c>
      <c r="L29" s="5" t="n">
        <v>25</v>
      </c>
      <c r="M29" s="5" t="n">
        <v>1</v>
      </c>
      <c r="N29" s="5" t="n"/>
      <c r="O29" s="5" t="n">
        <v>3333</v>
      </c>
      <c r="P29" s="5" t="n">
        <v>1</v>
      </c>
      <c r="Q29">
        <f>L29+IF(M29&gt;1,N(N29)*(M29-1),0)</f>
        <v/>
      </c>
      <c r="R29">
        <f>IFERROR(K29*MAX(M29,1)/Q29*P29,0)</f>
        <v/>
      </c>
      <c r="AA29" s="6" t="inlineStr">
        <is>
          <t>^LightFlameWeapon, ^MediumChemicalWeapon, ^FlakWeapon, ^HeavyCannon</t>
        </is>
      </c>
    </row>
    <row r="30">
      <c r="B30" s="6" t="inlineStr">
        <is>
          <t xml:space="preserve">  ↳ d2k_basq_AA</t>
        </is>
      </c>
      <c r="C30" s="6" t="inlineStr">
        <is>
          <t>Armament@aa</t>
        </is>
      </c>
      <c r="K30" s="5" t="n">
        <v>8000</v>
      </c>
      <c r="L30" s="5" t="n">
        <v>25</v>
      </c>
      <c r="M30" s="5" t="n">
        <v>1</v>
      </c>
      <c r="N30" s="5" t="n"/>
      <c r="O30" s="5" t="n">
        <v>6666</v>
      </c>
      <c r="P30" s="5" t="n">
        <v>1</v>
      </c>
      <c r="Q30">
        <f>L30+IF(M30&gt;1,N(N30)*(M30-1),0)</f>
        <v/>
      </c>
      <c r="R30">
        <f>IFERROR(K30*MAX(M30,1)/Q30*P30,0)</f>
        <v/>
      </c>
      <c r="AA30" s="6" t="inlineStr">
        <is>
          <t>^LightFlameWeapon, ^MediumChemicalWeapon, ^FlakWeapon, ^HeavyCannon</t>
        </is>
      </c>
    </row>
    <row r="31">
      <c r="A31" t="inlineStr">
        <is>
          <t>d2k</t>
        </is>
      </c>
      <c r="B31" t="inlineStr">
        <is>
          <t>duelist_tank.ixian</t>
        </is>
      </c>
      <c r="C31" t="inlineStr">
        <is>
          <t>Ix Duelist Tank</t>
        </is>
      </c>
      <c r="D31" t="inlineStr"/>
      <c r="E31" s="5" t="n">
        <v>240000</v>
      </c>
      <c r="F31" s="5" t="n">
        <v>45</v>
      </c>
      <c r="G31" t="inlineStr">
        <is>
          <t>Heavy</t>
        </is>
      </c>
      <c r="H31" s="5" t="n">
        <v>0.75</v>
      </c>
      <c r="I31" s="5" t="n">
        <v>1</v>
      </c>
      <c r="J31" s="5" t="n">
        <v>1</v>
      </c>
      <c r="O31">
        <f>MAX(O32,O33,O34)</f>
        <v/>
      </c>
      <c r="R31">
        <f>R32+R33+R34</f>
        <v/>
      </c>
      <c r="S31">
        <f>(E31/100000+F31/100+(O31/1000)*J31/5+R31/200)*200*I31*H31</f>
        <v/>
      </c>
      <c r="T31">
        <f>((E31*F31/25000)+((O31/1000)*J31*R31/2.5))*I31*H31</f>
        <v/>
      </c>
      <c r="U31">
        <f>(E31*F31*(O31/1000)*J31*R31*I31*H31)/12500000</f>
        <v/>
      </c>
      <c r="V31">
        <f>(S31+T31+U31)/3</f>
        <v/>
      </c>
      <c r="W31" s="5" t="n">
        <v>1800</v>
      </c>
      <c r="X31">
        <f>IFERROR(V31-W31,"")</f>
        <v/>
      </c>
      <c r="Y31">
        <f>IFERROR(ABS(X31)/MAX(W31,1),"")</f>
        <v/>
      </c>
      <c r="Z31">
        <f>IFERROR((W31-(((E31/100000+F31/100+R31/200)*200*I31*H31)+((E31*F31/25000)*I31*H31))/3)/(((J31/5)*200*I31*H31)+((J31*R31/2.5)*I31*H31)+((E31*F31*J31*R31*I31*H31)/12500000))/3*1000,"")</f>
        <v/>
      </c>
    </row>
    <row r="32">
      <c r="B32" s="6" t="inlineStr">
        <is>
          <t xml:space="preserve">  ↳ DuelistTankCannon</t>
        </is>
      </c>
      <c r="C32" s="6" t="inlineStr">
        <is>
          <t>Armament</t>
        </is>
      </c>
      <c r="K32" s="5" t="n">
        <v>14000</v>
      </c>
      <c r="L32" s="5" t="n">
        <v>140</v>
      </c>
      <c r="M32" s="5" t="n">
        <v>1</v>
      </c>
      <c r="N32" s="5" t="n"/>
      <c r="O32" s="5" t="n">
        <v>7000</v>
      </c>
      <c r="P32" s="5" t="n">
        <v>1</v>
      </c>
      <c r="Q32">
        <f>L32+IF(M32&gt;1,N(N32)*(M32-1),0)</f>
        <v/>
      </c>
      <c r="R32">
        <f>IFERROR(K32*MAX(M32,1)/Q32*P32,0)</f>
        <v/>
      </c>
      <c r="AA32" s="6" t="inlineStr">
        <is>
          <t>^MediumFlameWeapon, ^Grenade, ^HeavyBomb, ^TankDestroyerCannon, ^HeavyCannon, ^D2K_Cannon</t>
        </is>
      </c>
    </row>
    <row r="33">
      <c r="B33" s="6" t="inlineStr">
        <is>
          <t xml:space="preserve">  ↳ HMG_Duelist</t>
        </is>
      </c>
      <c r="C33" s="6" t="inlineStr">
        <is>
          <t>Armament@Guns</t>
        </is>
      </c>
      <c r="K33" s="5" t="n">
        <v>2000</v>
      </c>
      <c r="L33" s="5" t="n">
        <v>64</v>
      </c>
      <c r="M33" s="5" t="n">
        <v>4</v>
      </c>
      <c r="N33" s="5" t="n">
        <v>2</v>
      </c>
      <c r="O33" s="5" t="n">
        <v>7000</v>
      </c>
      <c r="P33" s="5" t="n">
        <v>1</v>
      </c>
      <c r="Q33">
        <f>L33+IF(M33&gt;1,N(N33)*(M33-1),0)</f>
        <v/>
      </c>
      <c r="R33">
        <f>IFERROR(K33*MAX(M33,1)/Q33*P33,0)</f>
        <v/>
      </c>
      <c r="AA33" s="6" t="inlineStr">
        <is>
          <t>^LightMissile, ^Grenade, ^SmallArms, ^MediumMissile, ^FlakWeapon, ^Chaingun</t>
        </is>
      </c>
    </row>
    <row r="34">
      <c r="B34" s="6" t="inlineStr">
        <is>
          <t xml:space="preserve">  ↳ HMG_Duelist_upgrade</t>
        </is>
      </c>
      <c r="C34" s="6" t="inlineStr">
        <is>
          <t>Armament@Upgrade</t>
        </is>
      </c>
      <c r="K34" s="5" t="n">
        <v>2000</v>
      </c>
      <c r="L34" s="5" t="n">
        <v>64</v>
      </c>
      <c r="M34" s="5" t="n">
        <v>4</v>
      </c>
      <c r="N34" s="5" t="n">
        <v>2</v>
      </c>
      <c r="O34" s="5" t="n">
        <v>7000</v>
      </c>
      <c r="P34" s="5" t="n">
        <v>1</v>
      </c>
      <c r="Q34">
        <f>L34+IF(M34&gt;1,N(N34)*(M34-1),0)</f>
        <v/>
      </c>
      <c r="R34">
        <f>IFERROR(K34*MAX(M34,1)/Q34*P34,0)</f>
        <v/>
      </c>
      <c r="AA34" s="6" t="inlineStr">
        <is>
          <t>^LaserWeapon, ^HeavyMissile, ^HeavyCannon, ^LightMissile, ^Grenade, ^SmallArms, ^MediumMissile, ^FlakWeapon, ^Chaingun, ^HeavyMachineGunProjectile</t>
        </is>
      </c>
    </row>
    <row r="35">
      <c r="A35" t="inlineStr">
        <is>
          <t>d2k</t>
        </is>
      </c>
      <c r="B35" t="inlineStr">
        <is>
          <t>heavy_rocket_raider.ixian</t>
        </is>
      </c>
      <c r="C35" t="inlineStr">
        <is>
          <t>Heavy Ix Raider</t>
        </is>
      </c>
      <c r="D35" t="inlineStr"/>
      <c r="E35" s="5" t="n">
        <v>85000</v>
      </c>
      <c r="F35" s="5" t="n">
        <v>140</v>
      </c>
      <c r="G35" t="inlineStr">
        <is>
          <t>Heavy</t>
        </is>
      </c>
      <c r="H35" s="5" t="n">
        <v>1</v>
      </c>
      <c r="I35" s="5" t="n">
        <v>1.25</v>
      </c>
      <c r="J35" s="5" t="n">
        <v>1.25</v>
      </c>
      <c r="O35">
        <f>MAX(O36,O37,O38)</f>
        <v/>
      </c>
      <c r="R35">
        <f>R36+R37+R38</f>
        <v/>
      </c>
      <c r="S35">
        <f>(E35/100000+F35/100+(O35/1000)*J35/5+R35/200)*200*I35*H35</f>
        <v/>
      </c>
      <c r="T35">
        <f>((E35*F35/25000)+((O35/1000)*J35*R35/2.5))*I35*H35</f>
        <v/>
      </c>
      <c r="U35">
        <f>(E35*F35*(O35/1000)*J35*R35*I35*H35)/12500000</f>
        <v/>
      </c>
      <c r="V35">
        <f>(S35+T35+U35)/3</f>
        <v/>
      </c>
      <c r="W35" s="5" t="n">
        <v>2000</v>
      </c>
      <c r="X35">
        <f>IFERROR(V35-W35,"")</f>
        <v/>
      </c>
      <c r="Y35">
        <f>IFERROR(ABS(X35)/MAX(W35,1),"")</f>
        <v/>
      </c>
      <c r="Z35">
        <f>IFERROR((W35-(((E35/100000+F35/100+R35/200)*200*I35*H35)+((E35*F35/25000)*I35*H35))/3)/(((J35/5)*200*I35*H35)+((J35*R35/2.5)*I35*H35)+((E35*F35*J35*R35*I35*H35)/12500000))/3*1000,"")</f>
        <v/>
      </c>
    </row>
    <row r="36">
      <c r="B36" s="6" t="inlineStr">
        <is>
          <t xml:space="preserve">  ↳ D2K_Bazooka2</t>
        </is>
      </c>
      <c r="C36" s="6" t="inlineStr">
        <is>
          <t>Armament@damage</t>
        </is>
      </c>
      <c r="K36" s="5" t="n">
        <v>6000</v>
      </c>
      <c r="L36" s="5" t="n">
        <v>5</v>
      </c>
      <c r="M36" s="5" t="n">
        <v>1</v>
      </c>
      <c r="N36" s="5" t="n"/>
      <c r="O36" s="5" t="n">
        <v>6400</v>
      </c>
      <c r="P36" s="5" t="n">
        <v>1</v>
      </c>
      <c r="Q36">
        <f>L36+IF(M36&gt;1,N(N36)*(M36-1),0)</f>
        <v/>
      </c>
      <c r="R36">
        <f>IFERROR(K36*MAX(M36,1)/Q36*P36,0)</f>
        <v/>
      </c>
      <c r="AA36" s="6" t="inlineStr">
        <is>
          <t>^D2KMissile</t>
        </is>
      </c>
    </row>
    <row r="37">
      <c r="B37" s="6" t="inlineStr">
        <is>
          <t xml:space="preserve">  ↳ RaiderGuns</t>
        </is>
      </c>
      <c r="C37" s="6" t="inlineStr">
        <is>
          <t>Armament@Guns</t>
        </is>
      </c>
      <c r="K37" s="5" t="n">
        <v>2000</v>
      </c>
      <c r="L37" s="5" t="n">
        <v>40</v>
      </c>
      <c r="M37" s="5" t="n">
        <v>4</v>
      </c>
      <c r="N37" s="5" t="n">
        <v>2</v>
      </c>
      <c r="O37" s="5" t="n">
        <v>6400</v>
      </c>
      <c r="P37" s="5" t="n">
        <v>1</v>
      </c>
      <c r="Q37">
        <f>L37+IF(M37&gt;1,N(N37)*(M37-1),0)</f>
        <v/>
      </c>
      <c r="R37">
        <f>IFERROR(K37*MAX(M37,1)/Q37*P37,0)</f>
        <v/>
      </c>
      <c r="AA37" s="6" t="inlineStr">
        <is>
          <t>^SmallArms, ^Chaingun</t>
        </is>
      </c>
    </row>
    <row r="38">
      <c r="B38" s="6" t="inlineStr">
        <is>
          <t xml:space="preserve">  ↳ RaiderGuns_upgrade</t>
        </is>
      </c>
      <c r="C38" s="6" t="inlineStr">
        <is>
          <t>Armament@Upgrade</t>
        </is>
      </c>
      <c r="K38" s="5" t="n">
        <v>2000</v>
      </c>
      <c r="L38" s="5" t="n">
        <v>40</v>
      </c>
      <c r="M38" s="5" t="n">
        <v>4</v>
      </c>
      <c r="N38" s="5" t="n">
        <v>2</v>
      </c>
      <c r="O38" s="5" t="n">
        <v>6400</v>
      </c>
      <c r="P38" s="5" t="n">
        <v>1</v>
      </c>
      <c r="Q38">
        <f>L38+IF(M38&gt;1,N(N38)*(M38-1),0)</f>
        <v/>
      </c>
      <c r="R38">
        <f>IFERROR(K38*MAX(M38,1)/Q38*P38,0)</f>
        <v/>
      </c>
      <c r="AA38" s="6" t="inlineStr">
        <is>
          <t>^HeavyCannon, ^SmallArms, ^Chaingun, ^HeavyMachineGunProjectile</t>
        </is>
      </c>
    </row>
    <row r="39">
      <c r="A39" t="inlineStr">
        <is>
          <t>d2k</t>
        </is>
      </c>
      <c r="B39" t="inlineStr">
        <is>
          <t>ixian_ixcombatsiege</t>
        </is>
      </c>
      <c r="C39" t="inlineStr">
        <is>
          <t>Ix Combat Siege</t>
        </is>
      </c>
      <c r="D39" t="inlineStr"/>
      <c r="E39" s="5" t="n">
        <v>80000</v>
      </c>
      <c r="F39" s="5" t="n">
        <v>80</v>
      </c>
      <c r="G39" t="inlineStr">
        <is>
          <t>Medium</t>
        </is>
      </c>
      <c r="H39" s="5" t="n">
        <v>1</v>
      </c>
      <c r="I39" s="5" t="n">
        <v>1</v>
      </c>
      <c r="J39" s="5" t="n">
        <v>1</v>
      </c>
      <c r="O39">
        <f>MAX(O40)</f>
        <v/>
      </c>
      <c r="R39">
        <f>R40</f>
        <v/>
      </c>
      <c r="S39">
        <f>(E39/100000+F39/100+(O39/1000)*J39/5+R39/200)*200*I39*H39</f>
        <v/>
      </c>
      <c r="T39">
        <f>((E39*F39/25000)+((O39/1000)*J39*R39/2.5))*I39*H39</f>
        <v/>
      </c>
      <c r="U39">
        <f>(E39*F39*(O39/1000)*J39*R39*I39*H39)/12500000</f>
        <v/>
      </c>
      <c r="V39">
        <f>(S39+T39+U39)/3</f>
        <v/>
      </c>
      <c r="W39" s="5" t="n">
        <v>1200</v>
      </c>
      <c r="X39">
        <f>IFERROR(V39-W39,"")</f>
        <v/>
      </c>
      <c r="Y39">
        <f>IFERROR(ABS(X39)/MAX(W39,1),"")</f>
        <v/>
      </c>
      <c r="Z39">
        <f>IFERROR((W39-(((E39/100000+F39/100+R39/200)*200*I39*H39)+((E39*F39/25000)*I39*H39))/3)/(((J39/5)*200*I39*H39)+((J39*R39/2.5)*I39*H39)+((E39*F39*J39*R39*I39*H39)/12500000))/3*1000,"")</f>
        <v/>
      </c>
    </row>
    <row r="40">
      <c r="B40" s="6" t="inlineStr">
        <is>
          <t xml:space="preserve">  ↳ D2K_155mm3</t>
        </is>
      </c>
      <c r="C40" s="6" t="inlineStr">
        <is>
          <t>Armament</t>
        </is>
      </c>
      <c r="K40" s="5" t="n">
        <v>8000</v>
      </c>
      <c r="L40" s="5" t="n">
        <v>80</v>
      </c>
      <c r="M40" s="5" t="n">
        <v>1</v>
      </c>
      <c r="N40" s="5" t="n"/>
      <c r="O40" s="5" t="n">
        <v>8686</v>
      </c>
      <c r="P40" s="5" t="n">
        <v>1</v>
      </c>
      <c r="Q40">
        <f>L40+IF(M40&gt;1,N(N40)*(M40-1),0)</f>
        <v/>
      </c>
      <c r="R40">
        <f>IFERROR(K40*MAX(M40,1)/Q40*P40,0)</f>
        <v/>
      </c>
      <c r="AA40" s="6" t="inlineStr">
        <is>
          <t>^Grenade, ^ShrapnelWeapon, ^HeavyBomb</t>
        </is>
      </c>
    </row>
    <row r="41">
      <c r="A41" t="inlineStr">
        <is>
          <t>d2k</t>
        </is>
      </c>
      <c r="B41" t="inlineStr">
        <is>
          <t>ixian_ixmissiletank</t>
        </is>
      </c>
      <c r="C41" t="inlineStr">
        <is>
          <t>Ix Missile Tank</t>
        </is>
      </c>
      <c r="D41" t="inlineStr"/>
      <c r="E41" s="5" t="n">
        <v>50000</v>
      </c>
      <c r="F41" s="5" t="n">
        <v>50</v>
      </c>
      <c r="G41" t="inlineStr">
        <is>
          <t>Light</t>
        </is>
      </c>
      <c r="H41" s="5" t="n">
        <v>0.75</v>
      </c>
      <c r="I41" s="5" t="n">
        <v>1</v>
      </c>
      <c r="J41" s="5" t="n">
        <v>1.25</v>
      </c>
      <c r="O41">
        <f>MAX(O42)</f>
        <v/>
      </c>
      <c r="R41">
        <f>R42</f>
        <v/>
      </c>
      <c r="S41">
        <f>(E41/100000+F41/100+(O41/1000)*J41/5+R41/200)*200*I41*H41</f>
        <v/>
      </c>
      <c r="T41">
        <f>((E41*F41/25000)+((O41/1000)*J41*R41/2.5))*I41*H41</f>
        <v/>
      </c>
      <c r="U41">
        <f>(E41*F41*(O41/1000)*J41*R41*I41*H41)/12500000</f>
        <v/>
      </c>
      <c r="V41">
        <f>(S41+T41+U41)/3</f>
        <v/>
      </c>
      <c r="W41" s="5" t="n">
        <v>2250</v>
      </c>
      <c r="X41">
        <f>IFERROR(V41-W41,"")</f>
        <v/>
      </c>
      <c r="Y41">
        <f>IFERROR(ABS(X41)/MAX(W41,1),"")</f>
        <v/>
      </c>
      <c r="Z41">
        <f>IFERROR((W41-(((E41/100000+F41/100+R41/200)*200*I41*H41)+((E41*F41/25000)*I41*H41))/3)/(((J41/5)*200*I41*H41)+((J41*R41/2.5)*I41*H41)+((E41*F41*J41*R41*I41*H41)/12500000))/3*1000,"")</f>
        <v/>
      </c>
    </row>
    <row r="42">
      <c r="B42" s="6" t="inlineStr">
        <is>
          <t xml:space="preserve">  ↳ mtank_pri2</t>
        </is>
      </c>
      <c r="C42" s="6" t="inlineStr">
        <is>
          <t>Armament</t>
        </is>
      </c>
      <c r="K42" s="5" t="n">
        <v>8000</v>
      </c>
      <c r="L42" s="5" t="n">
        <v>5</v>
      </c>
      <c r="M42" s="5" t="n">
        <v>1</v>
      </c>
      <c r="N42" s="5" t="n"/>
      <c r="O42" s="5" t="n">
        <v>10052</v>
      </c>
      <c r="P42" s="5" t="n">
        <v>1</v>
      </c>
      <c r="Q42">
        <f>L42+IF(M42&gt;1,N(N42)*(M42-1),0)</f>
        <v/>
      </c>
      <c r="R42">
        <f>IFERROR(K42*MAX(M42,1)/Q42*P42,0)</f>
        <v/>
      </c>
      <c r="AA42" s="6" t="inlineStr">
        <is>
          <t>^Grenade, ^MediumFlameWeapon, ^D2KMissile</t>
        </is>
      </c>
    </row>
    <row r="43">
      <c r="A43" t="inlineStr">
        <is>
          <t>d2k</t>
        </is>
      </c>
      <c r="B43" t="inlineStr">
        <is>
          <t>ixian_ixprojector</t>
        </is>
      </c>
      <c r="C43" t="inlineStr">
        <is>
          <t>Ix Projector</t>
        </is>
      </c>
      <c r="D43" t="inlineStr"/>
      <c r="E43" s="5" t="n">
        <v>100000</v>
      </c>
      <c r="F43" s="5" t="n">
        <v>100</v>
      </c>
      <c r="G43" t="inlineStr">
        <is>
          <t>Medium</t>
        </is>
      </c>
      <c r="H43" s="5" t="n">
        <v>1</v>
      </c>
      <c r="I43" s="5" t="n">
        <v>1</v>
      </c>
      <c r="J43" s="5" t="n">
        <v>1</v>
      </c>
      <c r="O43">
        <f>MAX(O44,O45)</f>
        <v/>
      </c>
      <c r="R43">
        <f>R44+R45</f>
        <v/>
      </c>
      <c r="S43">
        <f>(E43/100000+F43/100+(O43/1000)*J43/5+R43/200)*200*I43*H43</f>
        <v/>
      </c>
      <c r="T43">
        <f>((E43*F43/25000)+((O43/1000)*J43*R43/2.5))*I43*H43</f>
        <v/>
      </c>
      <c r="U43">
        <f>(E43*F43*(O43/1000)*J43*R43*I43*H43)/12500000</f>
        <v/>
      </c>
      <c r="V43">
        <f>(S43+T43+U43)/3</f>
        <v/>
      </c>
      <c r="W43" s="5" t="n">
        <v>5000</v>
      </c>
      <c r="X43">
        <f>IFERROR(V43-W43,"")</f>
        <v/>
      </c>
      <c r="Y43">
        <f>IFERROR(ABS(X43)/MAX(W43,1),"")</f>
        <v/>
      </c>
      <c r="Z43">
        <f>IFERROR((W43-(((E43/100000+F43/100+R43/200)*200*I43*H43)+((E43*F43/25000)*I43*H43))/3)/(((J43/5)*200*I43*H43)+((J43*R43/2.5)*I43*H43)+((E43*F43*J43*R43*I43*H43)/12500000))/3*1000,"")</f>
        <v/>
      </c>
    </row>
    <row r="44">
      <c r="B44" s="6" t="inlineStr">
        <is>
          <t xml:space="preserve">  ↳ empdisable.anim</t>
        </is>
      </c>
      <c r="C44" s="6" t="inlineStr">
        <is>
          <t>Armament@Anim</t>
        </is>
      </c>
      <c r="K44" s="5" t="n">
        <v>1</v>
      </c>
      <c r="L44" s="5" t="n">
        <v>3</v>
      </c>
      <c r="M44" s="5" t="n">
        <v>1</v>
      </c>
      <c r="N44" s="5" t="n"/>
      <c r="O44" s="5" t="n">
        <v>20000</v>
      </c>
      <c r="P44" s="5" t="n">
        <v>1</v>
      </c>
      <c r="Q44">
        <f>L44+IF(M44&gt;1,N(N44)*(M44-1),0)</f>
        <v/>
      </c>
      <c r="R44">
        <f>IFERROR(K44*MAX(M44,1)/Q44*P44,0)</f>
        <v/>
      </c>
      <c r="AA44" s="6" t="inlineStr"/>
    </row>
    <row r="45">
      <c r="B45" s="6" t="inlineStr">
        <is>
          <t xml:space="preserve">  ↳ empdisable.end</t>
        </is>
      </c>
      <c r="C45" s="6" t="inlineStr">
        <is>
          <t>Armament@End</t>
        </is>
      </c>
      <c r="K45" s="5" t="n">
        <v>2000</v>
      </c>
      <c r="L45" s="5" t="n">
        <v>4</v>
      </c>
      <c r="M45" s="5" t="n">
        <v>1</v>
      </c>
      <c r="N45" s="5" t="n"/>
      <c r="O45" s="5" t="n">
        <v>20000</v>
      </c>
      <c r="P45" s="5" t="n">
        <v>1</v>
      </c>
      <c r="Q45">
        <f>L45+IF(M45&gt;1,N(N45)*(M45-1),0)</f>
        <v/>
      </c>
      <c r="R45">
        <f>IFERROR(K45*MAX(M45,1)/Q45*P45,0)</f>
        <v/>
      </c>
      <c r="AA45" s="6" t="inlineStr">
        <is>
          <t>^TeslaChargedWeapon</t>
        </is>
      </c>
    </row>
    <row r="46">
      <c r="A46" t="inlineStr">
        <is>
          <t>d2k</t>
        </is>
      </c>
      <c r="B46" t="inlineStr">
        <is>
          <t>ixian_ixsiegetank</t>
        </is>
      </c>
      <c r="C46" t="inlineStr">
        <is>
          <t>Ix Siege Tank</t>
        </is>
      </c>
      <c r="D46" t="inlineStr"/>
      <c r="E46" s="5" t="n">
        <v>60000</v>
      </c>
      <c r="F46" s="5" t="n">
        <v>60</v>
      </c>
      <c r="G46" t="inlineStr">
        <is>
          <t>Medium</t>
        </is>
      </c>
      <c r="H46" s="5" t="n">
        <v>1</v>
      </c>
      <c r="I46" s="5" t="n">
        <v>0.5</v>
      </c>
      <c r="J46" s="5" t="n">
        <v>1.25</v>
      </c>
      <c r="O46">
        <f>MAX(O47)</f>
        <v/>
      </c>
      <c r="R46">
        <f>R47</f>
        <v/>
      </c>
      <c r="S46">
        <f>(E46/100000+F46/100+(O46/1000)*J46/5+R46/200)*200*I46*H46</f>
        <v/>
      </c>
      <c r="T46">
        <f>((E46*F46/25000)+((O46/1000)*J46*R46/2.5))*I46*H46</f>
        <v/>
      </c>
      <c r="U46">
        <f>(E46*F46*(O46/1000)*J46*R46*I46*H46)/12500000</f>
        <v/>
      </c>
      <c r="V46">
        <f>(S46+T46+U46)/3</f>
        <v/>
      </c>
      <c r="W46" s="5" t="n">
        <v>2050</v>
      </c>
      <c r="X46">
        <f>IFERROR(V46-W46,"")</f>
        <v/>
      </c>
      <c r="Y46">
        <f>IFERROR(ABS(X46)/MAX(W46,1),"")</f>
        <v/>
      </c>
      <c r="Z46">
        <f>IFERROR((W46-(((E46/100000+F46/100+R46/200)*200*I46*H46)+((E46*F46/25000)*I46*H46))/3)/(((J46/5)*200*I46*H46)+((J46*R46/2.5)*I46*H46)+((E46*F46*J46*R46*I46*H46)/12500000))/3*1000,"")</f>
        <v/>
      </c>
    </row>
    <row r="47">
      <c r="B47" s="6" t="inlineStr">
        <is>
          <t xml:space="preserve">  ↳ D2K_155mm2</t>
        </is>
      </c>
      <c r="C47" s="6" t="inlineStr">
        <is>
          <t>Armament</t>
        </is>
      </c>
      <c r="K47" s="5" t="n">
        <v>12000</v>
      </c>
      <c r="L47" s="5" t="n">
        <v>120</v>
      </c>
      <c r="M47" s="5" t="n">
        <v>3</v>
      </c>
      <c r="N47" s="5" t="n">
        <v>12</v>
      </c>
      <c r="O47" s="5" t="n">
        <v>12000</v>
      </c>
      <c r="P47" s="5" t="n">
        <v>1</v>
      </c>
      <c r="Q47">
        <f>L47+IF(M47&gt;1,N(N47)*(M47-1),0)</f>
        <v/>
      </c>
      <c r="R47">
        <f>IFERROR(K47*MAX(M47,1)/Q47*P47,0)</f>
        <v/>
      </c>
      <c r="AA47" s="6" t="inlineStr">
        <is>
          <t>^Grenade, ^MediumFlameWeapon, ^ShrapnelWeapon, ^HeavyBomb</t>
        </is>
      </c>
    </row>
    <row r="48">
      <c r="A48" t="inlineStr">
        <is>
          <t>d2k</t>
        </is>
      </c>
      <c r="B48" t="inlineStr">
        <is>
          <t>ixian_koda_tank</t>
        </is>
      </c>
      <c r="C48" t="inlineStr">
        <is>
          <t>Koda Tank</t>
        </is>
      </c>
      <c r="D48" t="inlineStr"/>
      <c r="E48" s="5" t="n">
        <v>65000</v>
      </c>
      <c r="F48" s="5" t="n">
        <v>65</v>
      </c>
      <c r="G48" t="inlineStr">
        <is>
          <t>Medium</t>
        </is>
      </c>
      <c r="H48" s="5" t="n">
        <v>1</v>
      </c>
      <c r="I48" s="5" t="n">
        <v>1</v>
      </c>
      <c r="J48" s="5" t="n">
        <v>1</v>
      </c>
      <c r="O48">
        <f>MAX(O49)</f>
        <v/>
      </c>
      <c r="R48">
        <f>R49</f>
        <v/>
      </c>
      <c r="S48">
        <f>(E48/100000+F48/100+(O48/1000)*J48/5+R48/200)*200*I48*H48</f>
        <v/>
      </c>
      <c r="T48">
        <f>((E48*F48/25000)+((O48/1000)*J48*R48/2.5))*I48*H48</f>
        <v/>
      </c>
      <c r="U48">
        <f>(E48*F48*(O48/1000)*J48*R48*I48*H48)/12500000</f>
        <v/>
      </c>
      <c r="V48">
        <f>(S48+T48+U48)/3</f>
        <v/>
      </c>
      <c r="W48" s="5" t="n">
        <v>800</v>
      </c>
      <c r="X48">
        <f>IFERROR(V48-W48,"")</f>
        <v/>
      </c>
      <c r="Y48">
        <f>IFERROR(ABS(X48)/MAX(W48,1),"")</f>
        <v/>
      </c>
      <c r="Z48">
        <f>IFERROR((W48-(((E48/100000+F48/100+R48/200)*200*I48*H48)+((E48*F48/25000)*I48*H48))/3)/(((J48/5)*200*I48*H48)+((J48*R48/2.5)*I48*H48)+((E48*F48*J48*R48*I48*H48)/12500000))/3*1000,"")</f>
        <v/>
      </c>
    </row>
    <row r="49">
      <c r="B49" s="6" t="inlineStr">
        <is>
          <t xml:space="preserve">  ↳ IxianCombatTankCannon</t>
        </is>
      </c>
      <c r="C49" s="6" t="inlineStr">
        <is>
          <t>Armament</t>
        </is>
      </c>
      <c r="K49" s="5" t="n">
        <v>4000</v>
      </c>
      <c r="L49" s="5" t="n">
        <v>35</v>
      </c>
      <c r="M49" s="5" t="n">
        <v>1</v>
      </c>
      <c r="N49" s="5" t="n"/>
      <c r="O49" s="5" t="n">
        <v>5555</v>
      </c>
      <c r="P49" s="5" t="n">
        <v>1</v>
      </c>
      <c r="Q49">
        <f>L49+IF(M49&gt;1,N(N49)*(M49-1),0)</f>
        <v/>
      </c>
      <c r="R49">
        <f>IFERROR(K49*MAX(M49,1)/Q49*P49,0)</f>
        <v/>
      </c>
      <c r="AA49" s="6" t="inlineStr">
        <is>
          <t>^TankDestroyerCannon, ^HeavyCannon, ^D2K_Cannon</t>
        </is>
      </c>
    </row>
    <row r="50">
      <c r="A50" t="inlineStr">
        <is>
          <t>d2k</t>
        </is>
      </c>
      <c r="B50" t="inlineStr">
        <is>
          <t>ixian_mobileconstructionvehicle</t>
        </is>
      </c>
      <c r="C50" t="inlineStr">
        <is>
          <t>Ixian Mobile Construction Vehicle</t>
        </is>
      </c>
      <c r="D50" t="inlineStr"/>
      <c r="E50" s="5" t="n">
        <v>300000</v>
      </c>
      <c r="F50" s="5" t="n">
        <v>75</v>
      </c>
      <c r="G50" t="inlineStr">
        <is>
          <t>Medium</t>
        </is>
      </c>
      <c r="H50" s="5" t="n">
        <v>1</v>
      </c>
      <c r="I50" s="5" t="n">
        <v>1</v>
      </c>
      <c r="J50" s="5" t="n">
        <v>1</v>
      </c>
      <c r="W50" s="5" t="n">
        <v>5000</v>
      </c>
    </row>
    <row r="51">
      <c r="A51" t="inlineStr">
        <is>
          <t>d2k</t>
        </is>
      </c>
      <c r="B51" t="inlineStr">
        <is>
          <t>ixian_mongoose</t>
        </is>
      </c>
      <c r="C51" t="inlineStr">
        <is>
          <t>Mongoose</t>
        </is>
      </c>
      <c r="D51" t="inlineStr"/>
      <c r="E51" s="5" t="n">
        <v>75000</v>
      </c>
      <c r="F51" s="5" t="n">
        <v>75</v>
      </c>
      <c r="G51" t="inlineStr">
        <is>
          <t>Medium</t>
        </is>
      </c>
      <c r="H51" s="5" t="n">
        <v>1</v>
      </c>
      <c r="I51" s="5" t="n">
        <v>1</v>
      </c>
      <c r="J51" s="5" t="n">
        <v>1</v>
      </c>
      <c r="O51">
        <f>MAX(O52)</f>
        <v/>
      </c>
      <c r="R51">
        <f>R52</f>
        <v/>
      </c>
      <c r="S51">
        <f>(E51/100000+F51/100+(O51/1000)*J51/5+R51/200)*200*I51*H51</f>
        <v/>
      </c>
      <c r="T51">
        <f>((E51*F51/25000)+((O51/1000)*J51*R51/2.5))*I51*H51</f>
        <v/>
      </c>
      <c r="U51">
        <f>(E51*F51*(O51/1000)*J51*R51*I51*H51)/12500000</f>
        <v/>
      </c>
      <c r="V51">
        <f>(S51+T51+U51)/3</f>
        <v/>
      </c>
      <c r="W51" s="5" t="n">
        <v>1300</v>
      </c>
      <c r="X51">
        <f>IFERROR(V51-W51,"")</f>
        <v/>
      </c>
      <c r="Y51">
        <f>IFERROR(ABS(X51)/MAX(W51,1),"")</f>
        <v/>
      </c>
      <c r="Z51">
        <f>IFERROR((W51-(((E51/100000+F51/100+R51/200)*200*I51*H51)+((E51*F51/25000)*I51*H51))/3)/(((J51/5)*200*I51*H51)+((J51*R51/2.5)*I51*H51)+((E51*F51*J51*R51*I51*H51)/12500000))/3*1000,"")</f>
        <v/>
      </c>
    </row>
    <row r="52">
      <c r="B52" s="6" t="inlineStr">
        <is>
          <t xml:space="preserve">  ↳ MongooseRocket</t>
        </is>
      </c>
      <c r="C52" s="6" t="inlineStr">
        <is>
          <t>Armament@primary</t>
        </is>
      </c>
      <c r="K52" s="5" t="n">
        <v>4000</v>
      </c>
      <c r="L52" s="5" t="n">
        <v>64</v>
      </c>
      <c r="M52" s="5" t="n">
        <v>1</v>
      </c>
      <c r="N52" s="5" t="n"/>
      <c r="O52" s="5" t="n">
        <v>6183</v>
      </c>
      <c r="P52" s="5" t="n">
        <v>1</v>
      </c>
      <c r="Q52">
        <f>L52+IF(M52&gt;1,N(N52)*(M52-1),0)</f>
        <v/>
      </c>
      <c r="R52">
        <f>IFERROR(K52*MAX(M52,1)/Q52*P52,0)</f>
        <v/>
      </c>
      <c r="AA52" s="6" t="inlineStr">
        <is>
          <t>^Grenade, ^ShrapnelWeapon, ^Chaingun, ^FlakWeapon, ^TankDestroyerCannon, ^RailgunWeapon, ^MediumMissile, ^D2KRocket</t>
        </is>
      </c>
    </row>
    <row r="53">
      <c r="A53" t="inlineStr">
        <is>
          <t>d2k</t>
        </is>
      </c>
      <c r="B53" t="inlineStr">
        <is>
          <t>ixian_neocymek</t>
        </is>
      </c>
      <c r="C53" t="inlineStr">
        <is>
          <t>Neo Cymek</t>
        </is>
      </c>
      <c r="D53" t="inlineStr"/>
      <c r="E53" s="5" t="n">
        <v>300000</v>
      </c>
      <c r="F53" s="5" t="n">
        <v>45</v>
      </c>
      <c r="G53" t="inlineStr">
        <is>
          <t>Heavy</t>
        </is>
      </c>
      <c r="H53" s="5" t="n">
        <v>0.75</v>
      </c>
      <c r="I53" s="5" t="n">
        <v>1</v>
      </c>
      <c r="J53" s="5" t="n">
        <v>1.25</v>
      </c>
      <c r="O53">
        <f>MAX(O54,O55)</f>
        <v/>
      </c>
      <c r="R53">
        <f>R54+R55</f>
        <v/>
      </c>
      <c r="S53">
        <f>(E53/100000+F53/100+(O53/1000)*J53/5+R53/200)*200*I53*H53</f>
        <v/>
      </c>
      <c r="T53">
        <f>((E53*F53/25000)+((O53/1000)*J53*R53/2.5))*I53*H53</f>
        <v/>
      </c>
      <c r="U53">
        <f>(E53*F53*(O53/1000)*J53*R53*I53*H53)/12500000</f>
        <v/>
      </c>
      <c r="V53">
        <f>(S53+T53+U53)/3</f>
        <v/>
      </c>
      <c r="W53" s="5" t="n">
        <v>4500</v>
      </c>
      <c r="X53">
        <f>IFERROR(V53-W53,"")</f>
        <v/>
      </c>
      <c r="Y53">
        <f>IFERROR(ABS(X53)/MAX(W53,1),"")</f>
        <v/>
      </c>
      <c r="Z53">
        <f>IFERROR((W53-(((E53/100000+F53/100+R53/200)*200*I53*H53)+((E53*F53/25000)*I53*H53))/3)/(((J53/5)*200*I53*H53)+((J53*R53/2.5)*I53*H53)+((E53*F53*J53*R53*I53*H53)/12500000))/3*1000,"")</f>
        <v/>
      </c>
    </row>
    <row r="54">
      <c r="B54" s="6" t="inlineStr">
        <is>
          <t xml:space="preserve">  ↳ D2K_StormGunCymek</t>
        </is>
      </c>
      <c r="C54" s="6" t="inlineStr">
        <is>
          <t>Armament@Cannon</t>
        </is>
      </c>
      <c r="K54" s="5" t="n">
        <v>16000</v>
      </c>
      <c r="L54" s="5" t="n">
        <v>66</v>
      </c>
      <c r="M54" s="5" t="n">
        <v>2</v>
      </c>
      <c r="N54" s="5" t="n">
        <v>0</v>
      </c>
      <c r="O54" s="5" t="n">
        <v>6787</v>
      </c>
      <c r="P54" s="5" t="n">
        <v>1</v>
      </c>
      <c r="Q54">
        <f>L54+IF(M54&gt;1,N(N54)*(M54-1),0)</f>
        <v/>
      </c>
      <c r="R54">
        <f>IFERROR(K54*MAX(M54,1)/Q54*P54,0)</f>
        <v/>
      </c>
      <c r="AA54" s="6" t="inlineStr">
        <is>
          <t>^TeslaWeapon, ^RailgunWeapon</t>
        </is>
      </c>
    </row>
    <row r="55">
      <c r="B55" s="6" t="inlineStr">
        <is>
          <t xml:space="preserve">  ↳ D2K_RocketsCymek</t>
        </is>
      </c>
      <c r="C55" s="6" t="inlineStr">
        <is>
          <t>Armament@Rockets</t>
        </is>
      </c>
      <c r="K55" s="5" t="n">
        <v>6000</v>
      </c>
      <c r="L55" s="5" t="n">
        <v>60</v>
      </c>
      <c r="M55" s="5" t="n">
        <v>4</v>
      </c>
      <c r="N55" s="5" t="n">
        <v>2</v>
      </c>
      <c r="O55" s="5" t="n">
        <v>6787</v>
      </c>
      <c r="P55" s="5" t="n">
        <v>1</v>
      </c>
      <c r="Q55">
        <f>L55+IF(M55&gt;1,N(N55)*(M55-1),0)</f>
        <v/>
      </c>
      <c r="R55">
        <f>IFERROR(K55*MAX(M55,1)/Q55*P55,0)</f>
        <v/>
      </c>
      <c r="AA55" s="6" t="inlineStr">
        <is>
          <t>^Grenade, ^FlakWeapon, ^HeavyMissile, ^RA2MediumMissile</t>
        </is>
      </c>
    </row>
    <row r="56">
      <c r="A56" t="inlineStr">
        <is>
          <t>d2k</t>
        </is>
      </c>
      <c r="B56" t="inlineStr">
        <is>
          <t>ixian_shockraider</t>
        </is>
      </c>
      <c r="C56" t="inlineStr">
        <is>
          <t>Shock Raider</t>
        </is>
      </c>
      <c r="D56" t="inlineStr"/>
      <c r="E56" s="5" t="n">
        <v>40000</v>
      </c>
      <c r="F56" s="5" t="n">
        <v>120</v>
      </c>
      <c r="G56" t="inlineStr">
        <is>
          <t>Medium</t>
        </is>
      </c>
      <c r="H56" s="5" t="n">
        <v>0.75</v>
      </c>
      <c r="I56" s="5" t="n">
        <v>1</v>
      </c>
      <c r="J56" s="5" t="n">
        <v>1.25</v>
      </c>
      <c r="O56">
        <f>MAX(O57)</f>
        <v/>
      </c>
      <c r="R56">
        <f>R57</f>
        <v/>
      </c>
      <c r="S56">
        <f>(E56/100000+F56/100+(O56/1000)*J56/5+R56/200)*200*I56*H56</f>
        <v/>
      </c>
      <c r="T56">
        <f>((E56*F56/25000)+((O56/1000)*J56*R56/2.5))*I56*H56</f>
        <v/>
      </c>
      <c r="U56">
        <f>(E56*F56*(O56/1000)*J56*R56*I56*H56)/12500000</f>
        <v/>
      </c>
      <c r="V56">
        <f>(S56+T56+U56)/3</f>
        <v/>
      </c>
      <c r="W56" s="5" t="n">
        <v>1300</v>
      </c>
      <c r="X56">
        <f>IFERROR(V56-W56,"")</f>
        <v/>
      </c>
      <c r="Y56">
        <f>IFERROR(ABS(X56)/MAX(W56,1),"")</f>
        <v/>
      </c>
      <c r="Z56">
        <f>IFERROR((W56-(((E56/100000+F56/100+R56/200)*200*I56*H56)+((E56*F56/25000)*I56*H56))/3)/(((J56/5)*200*I56*H56)+((J56*R56/2.5)*I56*H56)+((E56*F56*J56*R56*I56*H56)/12500000))/3*1000,"")</f>
        <v/>
      </c>
    </row>
    <row r="57">
      <c r="B57" s="6" t="inlineStr">
        <is>
          <t xml:space="preserve">  ↳ D2K_ShockGun</t>
        </is>
      </c>
      <c r="C57" s="6" t="inlineStr">
        <is>
          <t>Armament@damage</t>
        </is>
      </c>
      <c r="K57" s="5" t="n">
        <v>20000</v>
      </c>
      <c r="L57" s="5" t="n">
        <v>100</v>
      </c>
      <c r="M57" s="5" t="n">
        <v>1</v>
      </c>
      <c r="N57" s="5" t="n"/>
      <c r="O57" s="5" t="n">
        <v>7756</v>
      </c>
      <c r="P57" s="5" t="n">
        <v>1</v>
      </c>
      <c r="Q57">
        <f>L57+IF(M57&gt;1,N(N57)*(M57-1),0)</f>
        <v/>
      </c>
      <c r="R57">
        <f>IFERROR(K57*MAX(M57,1)/Q57*P57,0)</f>
        <v/>
      </c>
      <c r="AA57" s="6" t="inlineStr">
        <is>
          <t>^TeslaWeapon, ^RailgunWeapon</t>
        </is>
      </c>
    </row>
    <row r="58">
      <c r="A58" t="inlineStr">
        <is>
          <t>d2k</t>
        </is>
      </c>
      <c r="B58" t="inlineStr">
        <is>
          <t>ixian_spiceharvester</t>
        </is>
      </c>
      <c r="C58" t="inlineStr">
        <is>
          <t>Ixian Spice Harvester</t>
        </is>
      </c>
      <c r="D58" t="inlineStr"/>
      <c r="E58" s="5" t="n">
        <v>200000</v>
      </c>
      <c r="F58" s="5" t="n">
        <v>45</v>
      </c>
      <c r="G58" t="inlineStr">
        <is>
          <t>Heavy</t>
        </is>
      </c>
      <c r="H58" s="5" t="n">
        <v>1</v>
      </c>
      <c r="I58" s="5" t="n">
        <v>1</v>
      </c>
      <c r="J58" s="5" t="n">
        <v>1</v>
      </c>
      <c r="W58" s="5" t="n">
        <v>500</v>
      </c>
    </row>
    <row r="59">
      <c r="A59" t="inlineStr">
        <is>
          <t>d2k</t>
        </is>
      </c>
      <c r="B59" t="inlineStr">
        <is>
          <t>ixian_stormraider</t>
        </is>
      </c>
      <c r="C59" t="inlineStr">
        <is>
          <t>Storm Raider</t>
        </is>
      </c>
      <c r="D59" t="inlineStr"/>
      <c r="E59" s="5" t="n">
        <v>60000</v>
      </c>
      <c r="F59" s="5" t="n">
        <v>95</v>
      </c>
      <c r="G59" t="inlineStr">
        <is>
          <t>Medium</t>
        </is>
      </c>
      <c r="H59" s="5" t="n">
        <v>0.75</v>
      </c>
      <c r="I59" s="5" t="n">
        <v>1</v>
      </c>
      <c r="J59" s="5" t="n">
        <v>1.5</v>
      </c>
      <c r="O59">
        <f>MAX(O60,O61)</f>
        <v/>
      </c>
      <c r="R59">
        <f>R60+R61</f>
        <v/>
      </c>
      <c r="S59">
        <f>(E59/100000+F59/100+(O59/1000)*J59/5+R59/200)*200*I59*H59</f>
        <v/>
      </c>
      <c r="T59">
        <f>((E59*F59/25000)+((O59/1000)*J59*R59/2.5))*I59*H59</f>
        <v/>
      </c>
      <c r="U59">
        <f>(E59*F59*(O59/1000)*J59*R59*I59*H59)/12500000</f>
        <v/>
      </c>
      <c r="V59">
        <f>(S59+T59+U59)/3</f>
        <v/>
      </c>
      <c r="W59" s="5" t="n">
        <v>2200</v>
      </c>
      <c r="X59">
        <f>IFERROR(V59-W59,"")</f>
        <v/>
      </c>
      <c r="Y59">
        <f>IFERROR(ABS(X59)/MAX(W59,1),"")</f>
        <v/>
      </c>
      <c r="Z59">
        <f>IFERROR((W59-(((E59/100000+F59/100+R59/200)*200*I59*H59)+((E59*F59/25000)*I59*H59))/3)/(((J59/5)*200*I59*H59)+((J59*R59/2.5)*I59*H59)+((E59*F59*J59*R59*I59*H59)/12500000))/3*1000,"")</f>
        <v/>
      </c>
    </row>
    <row r="60">
      <c r="B60" s="6" t="inlineStr">
        <is>
          <t xml:space="preserve">  ↳ D2K_ShockGun2</t>
        </is>
      </c>
      <c r="C60" s="6" t="inlineStr">
        <is>
          <t>Armament@damage</t>
        </is>
      </c>
      <c r="K60" s="5" t="n">
        <v>20000</v>
      </c>
      <c r="L60" s="5" t="n">
        <v>100</v>
      </c>
      <c r="M60" s="5" t="n">
        <v>1</v>
      </c>
      <c r="N60" s="5" t="n"/>
      <c r="O60" s="5" t="n">
        <v>7343</v>
      </c>
      <c r="P60" s="5" t="n">
        <v>1</v>
      </c>
      <c r="Q60">
        <f>L60+IF(M60&gt;1,N(N60)*(M60-1),0)</f>
        <v/>
      </c>
      <c r="R60">
        <f>IFERROR(K60*MAX(M60,1)/Q60*P60,0)</f>
        <v/>
      </c>
      <c r="AA60" s="6" t="inlineStr">
        <is>
          <t>^TeslaWeapon, ^RailgunWeapon</t>
        </is>
      </c>
    </row>
    <row r="61">
      <c r="B61" s="6" t="inlineStr">
        <is>
          <t xml:space="preserve">  ↳ D2K_StormGun</t>
        </is>
      </c>
      <c r="C61" s="6" t="inlineStr">
        <is>
          <t>Armament@StormEffect</t>
        </is>
      </c>
      <c r="K61" s="5" t="n">
        <v>40000</v>
      </c>
      <c r="L61" s="5" t="n">
        <v>100</v>
      </c>
      <c r="M61" s="5" t="n">
        <v>1</v>
      </c>
      <c r="N61" s="5" t="n"/>
      <c r="O61" s="5" t="n">
        <v>7343</v>
      </c>
      <c r="P61" s="5" t="n">
        <v>1</v>
      </c>
      <c r="Q61">
        <f>L61+IF(M61&gt;1,N(N61)*(M61-1),0)</f>
        <v/>
      </c>
      <c r="R61">
        <f>IFERROR(K61*MAX(M61,1)/Q61*P61,0)</f>
        <v/>
      </c>
      <c r="AA61" s="6" t="inlineStr">
        <is>
          <t>^TeslaWeapon, ^MagicWeapon</t>
        </is>
      </c>
    </row>
    <row r="62">
      <c r="A62" t="inlineStr">
        <is>
          <t>d2k</t>
        </is>
      </c>
      <c r="B62" t="inlineStr">
        <is>
          <t>rocket_raider.ixian</t>
        </is>
      </c>
      <c r="C62" t="inlineStr">
        <is>
          <t>Ix Raider</t>
        </is>
      </c>
      <c r="D62" t="inlineStr"/>
      <c r="E62" s="5" t="n">
        <v>25000</v>
      </c>
      <c r="F62" s="5" t="n">
        <v>160</v>
      </c>
      <c r="G62" t="inlineStr">
        <is>
          <t>Medium</t>
        </is>
      </c>
      <c r="H62" s="5" t="n">
        <v>1</v>
      </c>
      <c r="I62" s="5" t="n">
        <v>1.25</v>
      </c>
      <c r="J62" s="5" t="n">
        <v>1.25</v>
      </c>
      <c r="O62">
        <f>MAX(O63)</f>
        <v/>
      </c>
      <c r="R62">
        <f>R63</f>
        <v/>
      </c>
      <c r="S62">
        <f>(E62/100000+F62/100+(O62/1000)*J62/5+R62/200)*200*I62*H62</f>
        <v/>
      </c>
      <c r="T62">
        <f>((E62*F62/25000)+((O62/1000)*J62*R62/2.5))*I62*H62</f>
        <v/>
      </c>
      <c r="U62">
        <f>(E62*F62*(O62/1000)*J62*R62*I62*H62)/12500000</f>
        <v/>
      </c>
      <c r="V62">
        <f>(S62+T62+U62)/3</f>
        <v/>
      </c>
      <c r="W62" s="5" t="n">
        <v>1200</v>
      </c>
      <c r="X62">
        <f>IFERROR(V62-W62,"")</f>
        <v/>
      </c>
      <c r="Y62">
        <f>IFERROR(ABS(X62)/MAX(W62,1),"")</f>
        <v/>
      </c>
      <c r="Z62">
        <f>IFERROR((W62-(((E62/100000+F62/100+R62/200)*200*I62*H62)+((E62*F62/25000)*I62*H62))/3)/(((J62/5)*200*I62*H62)+((J62*R62/2.5)*I62*H62)+((E62*F62*J62*R62*I62*H62)/12500000))/3*1000,"")</f>
        <v/>
      </c>
    </row>
    <row r="63">
      <c r="B63" s="6" t="inlineStr">
        <is>
          <t xml:space="preserve">  ↳ D2K_Bazooka2</t>
        </is>
      </c>
      <c r="C63" s="6" t="inlineStr">
        <is>
          <t>Armament@damage</t>
        </is>
      </c>
      <c r="K63" s="5" t="n">
        <v>6000</v>
      </c>
      <c r="L63" s="5" t="n">
        <v>5</v>
      </c>
      <c r="M63" s="5" t="n">
        <v>1</v>
      </c>
      <c r="N63" s="5" t="n"/>
      <c r="O63" s="5" t="n">
        <v>6400</v>
      </c>
      <c r="P63" s="5" t="n">
        <v>1</v>
      </c>
      <c r="Q63">
        <f>L63+IF(M63&gt;1,N(N63)*(M63-1),0)</f>
        <v/>
      </c>
      <c r="R63">
        <f>IFERROR(K63*MAX(M63,1)/Q63*P63,0)</f>
        <v/>
      </c>
      <c r="AA63" s="6" t="inlineStr">
        <is>
          <t>^D2KMissile</t>
        </is>
      </c>
    </row>
    <row r="64">
      <c r="A64" s="3" t="inlineStr">
        <is>
          <t>AIRCRAFT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>
      <c r="A65" t="inlineStr">
        <is>
          <t>d2k</t>
        </is>
      </c>
      <c r="B65" t="inlineStr">
        <is>
          <t>farasha_drone.ixian</t>
        </is>
      </c>
      <c r="C65" t="inlineStr">
        <is>
          <t>Alfayrus</t>
        </is>
      </c>
      <c r="D65" t="inlineStr"/>
      <c r="E65" s="5" t="n">
        <v>25000</v>
      </c>
      <c r="F65" s="5" t="n">
        <v>215</v>
      </c>
      <c r="G65" t="inlineStr">
        <is>
          <t>Bomber</t>
        </is>
      </c>
      <c r="H65" s="5" t="n">
        <v>1</v>
      </c>
      <c r="I65" s="5" t="n">
        <v>1</v>
      </c>
      <c r="J65" s="5" t="n">
        <v>1</v>
      </c>
      <c r="O65">
        <f>MAX(O66)</f>
        <v/>
      </c>
      <c r="R65">
        <f>R66</f>
        <v/>
      </c>
      <c r="S65">
        <f>(E65/100000+F65/100+(O65/1000)*J65/5+R65/200)*200*I65*H65</f>
        <v/>
      </c>
      <c r="T65">
        <f>((E65*F65/25000)+((O65/1000)*J65*R65/2.5))*I65*H65</f>
        <v/>
      </c>
      <c r="U65">
        <f>(E65*F65*(O65/1000)*J65*R65*I65*H65)/12500000</f>
        <v/>
      </c>
      <c r="V65">
        <f>(S65+T65+U65)/3</f>
        <v/>
      </c>
      <c r="W65" s="5" t="n">
        <v>1000</v>
      </c>
      <c r="X65">
        <f>IFERROR(V65-W65,"")</f>
        <v/>
      </c>
      <c r="Y65">
        <f>IFERROR(ABS(X65)/MAX(W65,1),"")</f>
        <v/>
      </c>
      <c r="Z65">
        <f>IFERROR((W65-(((E65/100000+F65/100+R65/200)*200*I65*H65)+((E65*F65/25000)*I65*H65))/3)/(((J65/5)*200*I65*H65)+((J65*R65/2.5)*I65*H65)+((E65*F65*J65*R65*I65*H65)/12500000))/3*1000,"")</f>
        <v/>
      </c>
    </row>
    <row r="66">
      <c r="B66" s="6" t="inlineStr">
        <is>
          <t xml:space="preserve">  ↳ farasha_drone.ixian</t>
        </is>
      </c>
      <c r="C66" s="6" t="inlineStr">
        <is>
          <t>Armament@PRIMARY</t>
        </is>
      </c>
      <c r="K66" s="5" t="n">
        <v>2000</v>
      </c>
      <c r="L66" s="5" t="n">
        <v>25</v>
      </c>
      <c r="M66" s="5" t="n">
        <v>5</v>
      </c>
      <c r="N66" s="5" t="n">
        <v>0</v>
      </c>
      <c r="O66" s="5" t="n">
        <v>2500</v>
      </c>
      <c r="P66" s="5" t="n">
        <v>1</v>
      </c>
      <c r="Q66">
        <f>L66+IF(M66&gt;1,N(N66)*(M66-1),0)</f>
        <v/>
      </c>
      <c r="R66">
        <f>IFERROR(K66*MAX(M66,1)/Q66*P66,0)</f>
        <v/>
      </c>
      <c r="AA66" s="6" t="inlineStr">
        <is>
          <t>^LightFlameWeapon, ^MediumChemicalWeapon, ^LaserWeapon</t>
        </is>
      </c>
    </row>
    <row r="67">
      <c r="A67" t="inlineStr">
        <is>
          <t>d2k</t>
        </is>
      </c>
      <c r="B67" t="inlineStr">
        <is>
          <t>ixian_airdrone</t>
        </is>
      </c>
      <c r="C67" t="inlineStr">
        <is>
          <t>Ixian Air Drone</t>
        </is>
      </c>
      <c r="D67" t="inlineStr"/>
      <c r="E67" s="5" t="n">
        <v>62500</v>
      </c>
      <c r="F67" s="5" t="n">
        <v>165</v>
      </c>
      <c r="G67" t="inlineStr">
        <is>
          <t>Bomber</t>
        </is>
      </c>
      <c r="H67" s="5" t="n">
        <v>1</v>
      </c>
      <c r="I67" s="5" t="n">
        <v>1</v>
      </c>
      <c r="J67" s="5" t="n">
        <v>1.25</v>
      </c>
      <c r="O67">
        <f>MAX(O68,O69,O70)</f>
        <v/>
      </c>
      <c r="R67">
        <f>R68+R69+R70</f>
        <v/>
      </c>
      <c r="S67">
        <f>(E67/100000+F67/100+(O67/1000)*J67/5+R67/200)*200*I67*H67</f>
        <v/>
      </c>
      <c r="T67">
        <f>((E67*F67/25000)+((O67/1000)*J67*R67/2.5))*I67*H67</f>
        <v/>
      </c>
      <c r="U67">
        <f>(E67*F67*(O67/1000)*J67*R67*I67*H67)/12500000</f>
        <v/>
      </c>
      <c r="V67">
        <f>(S67+T67+U67)/3</f>
        <v/>
      </c>
      <c r="W67" s="5" t="n">
        <v>1800</v>
      </c>
      <c r="X67">
        <f>IFERROR(V67-W67,"")</f>
        <v/>
      </c>
      <c r="Y67">
        <f>IFERROR(ABS(X67)/MAX(W67,1),"")</f>
        <v/>
      </c>
      <c r="Z67">
        <f>IFERROR((W67-(((E67/100000+F67/100+R67/200)*200*I67*H67)+((E67*F67/25000)*I67*H67))/3)/(((J67/5)*200*I67*H67)+((J67*R67/2.5)*I67*H67)+((E67*F67*J67*R67*I67*H67)/12500000))/3*1000,"")</f>
        <v/>
      </c>
    </row>
    <row r="68">
      <c r="B68" s="6" t="inlineStr">
        <is>
          <t xml:space="preserve">  ↳ ixian_airdrone</t>
        </is>
      </c>
      <c r="C68" s="6" t="inlineStr">
        <is>
          <t>Armament</t>
        </is>
      </c>
      <c r="K68" s="5" t="n">
        <v>2000</v>
      </c>
      <c r="L68" s="5" t="n">
        <v>132</v>
      </c>
      <c r="M68" s="5" t="n">
        <v>4</v>
      </c>
      <c r="N68" s="5" t="n">
        <v>5</v>
      </c>
      <c r="O68" s="5" t="n">
        <v>6500</v>
      </c>
      <c r="P68" s="5" t="n">
        <v>1</v>
      </c>
      <c r="Q68">
        <f>L68+IF(M68&gt;1,N(N68)*(M68-1),0)</f>
        <v/>
      </c>
      <c r="R68">
        <f>IFERROR(K68*MAX(M68,1)/Q68*P68,0)</f>
        <v/>
      </c>
      <c r="AA68" s="6" t="inlineStr">
        <is>
          <t>^TankDestroyerCannon, ^LightChemicalWeapon, ^FlakWeapon, ^MediumMissile, ^HeavyBomb, ^D2KMissile</t>
        </is>
      </c>
    </row>
    <row r="69">
      <c r="B69" s="6" t="inlineStr">
        <is>
          <t xml:space="preserve">  ↳ d2k_air_drone_guns</t>
        </is>
      </c>
      <c r="C69" s="6" t="inlineStr">
        <is>
          <t>Armament@PRIMARY</t>
        </is>
      </c>
      <c r="K69" s="5" t="n">
        <v>4000</v>
      </c>
      <c r="L69" s="5" t="n">
        <v>28</v>
      </c>
      <c r="M69" s="5" t="n">
        <v>4</v>
      </c>
      <c r="N69" s="5" t="n">
        <v>2</v>
      </c>
      <c r="O69" s="5" t="n">
        <v>6500</v>
      </c>
      <c r="P69" s="5" t="n">
        <v>1</v>
      </c>
      <c r="Q69">
        <f>L69+IF(M69&gt;1,N(N69)*(M69-1),0)</f>
        <v/>
      </c>
      <c r="R69">
        <f>IFERROR(K69*MAX(M69,1)/Q69*P69,0)</f>
        <v/>
      </c>
      <c r="AA69" s="6" t="inlineStr">
        <is>
          <t>^D2KMissile, ^SmallArms, ^Chaingun</t>
        </is>
      </c>
    </row>
    <row r="70">
      <c r="B70" s="6" t="inlineStr">
        <is>
          <t xml:space="preserve">  ↳ d2k_air_drone_guns_upgrade</t>
        </is>
      </c>
      <c r="C70" s="6" t="inlineStr">
        <is>
          <t>Armament@Upgrade</t>
        </is>
      </c>
      <c r="K70" s="5" t="n">
        <v>4000</v>
      </c>
      <c r="L70" s="5" t="n">
        <v>28</v>
      </c>
      <c r="M70" s="5" t="n">
        <v>4</v>
      </c>
      <c r="N70" s="5" t="n">
        <v>2</v>
      </c>
      <c r="O70" s="5" t="n">
        <v>6500</v>
      </c>
      <c r="P70" s="5" t="n">
        <v>1</v>
      </c>
      <c r="Q70">
        <f>L70+IF(M70&gt;1,N(N70)*(M70-1),0)</f>
        <v/>
      </c>
      <c r="R70">
        <f>IFERROR(K70*MAX(M70,1)/Q70*P70,0)</f>
        <v/>
      </c>
      <c r="AA70" s="6" t="inlineStr">
        <is>
          <t>^HeavyCannon, ^D2KMissile, ^SmallArms, ^Chaingun, ^HeavyMachineGunProjectile</t>
        </is>
      </c>
    </row>
    <row r="71">
      <c r="A71" t="inlineStr">
        <is>
          <t>d2k</t>
        </is>
      </c>
      <c r="B71" t="inlineStr">
        <is>
          <t>ixian_empbomber</t>
        </is>
      </c>
      <c r="C71" t="inlineStr">
        <is>
          <t>Ixian EMP Bomber</t>
        </is>
      </c>
      <c r="D71" t="inlineStr"/>
      <c r="E71" s="5" t="n">
        <v>111000</v>
      </c>
      <c r="F71" s="5" t="n">
        <v>145</v>
      </c>
      <c r="G71" t="inlineStr">
        <is>
          <t>Bomber</t>
        </is>
      </c>
      <c r="H71" s="5" t="n">
        <v>0.75</v>
      </c>
      <c r="I71" s="5" t="n">
        <v>1</v>
      </c>
      <c r="J71" s="5" t="n">
        <v>2</v>
      </c>
      <c r="O71">
        <f>MAX(O72)</f>
        <v/>
      </c>
      <c r="R71">
        <f>R72</f>
        <v/>
      </c>
      <c r="S71">
        <f>(E71/100000+F71/100+(O71/1000)*J71/5+R71/200)*200*I71*H71</f>
        <v/>
      </c>
      <c r="T71">
        <f>((E71*F71/25000)+((O71/1000)*J71*R71/2.5))*I71*H71</f>
        <v/>
      </c>
      <c r="U71">
        <f>(E71*F71*(O71/1000)*J71*R71*I71*H71)/12500000</f>
        <v/>
      </c>
      <c r="V71">
        <f>(S71+T71+U71)/3</f>
        <v/>
      </c>
      <c r="W71" s="5" t="n">
        <v>2400</v>
      </c>
      <c r="X71">
        <f>IFERROR(V71-W71,"")</f>
        <v/>
      </c>
      <c r="Y71">
        <f>IFERROR(ABS(X71)/MAX(W71,1),"")</f>
        <v/>
      </c>
      <c r="Z71">
        <f>IFERROR((W71-(((E71/100000+F71/100+R71/200)*200*I71*H71)+((E71*F71/25000)*I71*H71))/3)/(((J71/5)*200*I71*H71)+((J71*R71/2.5)*I71*H71)+((E71*F71*J71*R71*I71*H71)/12500000))/3*1000,"")</f>
        <v/>
      </c>
    </row>
    <row r="72">
      <c r="B72" s="6" t="inlineStr">
        <is>
          <t xml:space="preserve">  ↳ IxianEmpBomb</t>
        </is>
      </c>
      <c r="C72" s="6" t="inlineStr">
        <is>
          <t>Armament@PRIMARY</t>
        </is>
      </c>
      <c r="K72" s="5" t="n">
        <v>30000</v>
      </c>
      <c r="L72" s="5" t="n">
        <v>250</v>
      </c>
      <c r="M72" s="5" t="n">
        <v>1</v>
      </c>
      <c r="N72" s="5" t="n"/>
      <c r="O72" s="5" t="n">
        <v>1250</v>
      </c>
      <c r="P72" s="5" t="n">
        <v>1</v>
      </c>
      <c r="Q72">
        <f>L72+IF(M72&gt;1,N(N72)*(M72-1),0)</f>
        <v/>
      </c>
      <c r="R72">
        <f>IFERROR(K72*MAX(M72,1)/Q72*P72,0)</f>
        <v/>
      </c>
      <c r="AA72" s="6" t="inlineStr">
        <is>
          <t>^MediumFlameWeapon, ^HeavyBomb, ^TeslaChargedWeapon</t>
        </is>
      </c>
    </row>
    <row r="73">
      <c r="A73" t="inlineStr">
        <is>
          <t>d2k</t>
        </is>
      </c>
      <c r="B73" t="inlineStr">
        <is>
          <t>ixian_farasha</t>
        </is>
      </c>
      <c r="C73" t="inlineStr">
        <is>
          <t>Farasha</t>
        </is>
      </c>
      <c r="D73" t="inlineStr"/>
      <c r="E73" s="5" t="n">
        <v>250000</v>
      </c>
      <c r="F73" s="5" t="n">
        <v>40</v>
      </c>
      <c r="G73" t="inlineStr">
        <is>
          <t>Spaceship</t>
        </is>
      </c>
      <c r="H73" s="5" t="n">
        <v>0.75</v>
      </c>
      <c r="I73" s="5" t="n">
        <v>1</v>
      </c>
      <c r="J73" s="5" t="n">
        <v>1.25</v>
      </c>
      <c r="O73">
        <f>MAX(O74,O75,O76,O77)</f>
        <v/>
      </c>
      <c r="R73">
        <f>R74+R75+R76+R77</f>
        <v/>
      </c>
      <c r="S73">
        <f>(E73/100000+F73/100+(O73/1000)*J73/5+R73/200)*200*I73*H73</f>
        <v/>
      </c>
      <c r="T73">
        <f>((E73*F73/25000)+((O73/1000)*J73*R73/2.5))*I73*H73</f>
        <v/>
      </c>
      <c r="U73">
        <f>(E73*F73*(O73/1000)*J73*R73*I73*H73)/12500000</f>
        <v/>
      </c>
      <c r="V73">
        <f>(S73+T73+U73)/3</f>
        <v/>
      </c>
      <c r="W73" s="5" t="n">
        <v>6000</v>
      </c>
      <c r="X73">
        <f>IFERROR(V73-W73,"")</f>
        <v/>
      </c>
      <c r="Y73">
        <f>IFERROR(ABS(X73)/MAX(W73,1),"")</f>
        <v/>
      </c>
      <c r="Z73">
        <f>IFERROR((W73-(((E73/100000+F73/100+R73/200)*200*I73*H73)+((E73*F73/25000)*I73*H73))/3)/(((J73/5)*200*I73*H73)+((J73*R73/2.5)*I73*H73)+((E73*F73*J73*R73*I73*H73)/12500000))/3*1000,"")</f>
        <v/>
      </c>
    </row>
    <row r="74">
      <c r="B74" s="6" t="inlineStr">
        <is>
          <t xml:space="preserve">  ↳ d2k_dronelauncher</t>
        </is>
      </c>
      <c r="C74" s="6" t="inlineStr">
        <is>
          <t>Armament@drones</t>
        </is>
      </c>
      <c r="K74" s="5" t="n"/>
      <c r="L74" s="5" t="n">
        <v>25</v>
      </c>
      <c r="M74" s="5" t="n">
        <v>1</v>
      </c>
      <c r="N74" s="5" t="n"/>
      <c r="O74" s="5" t="n">
        <v>6400</v>
      </c>
      <c r="P74" s="5" t="n">
        <v>1</v>
      </c>
      <c r="Q74">
        <f>L74+IF(M74&gt;1,N(N74)*(M74-1),0)</f>
        <v/>
      </c>
      <c r="R74">
        <f>IFERROR(K74*MAX(M74,1)/Q74*P74,0)</f>
        <v/>
      </c>
      <c r="AA74" s="6" t="inlineStr"/>
    </row>
    <row r="75">
      <c r="B75" s="6" t="inlineStr">
        <is>
          <t xml:space="preserve">  ↳ d2k_farasha_charge</t>
        </is>
      </c>
      <c r="C75" s="6" t="inlineStr">
        <is>
          <t>Armament@charge</t>
        </is>
      </c>
      <c r="K75" s="5" t="n"/>
      <c r="L75" s="5" t="n">
        <v>125</v>
      </c>
      <c r="M75" s="5" t="n">
        <v>1</v>
      </c>
      <c r="N75" s="5" t="n"/>
      <c r="O75" s="5" t="n">
        <v>6400</v>
      </c>
      <c r="P75" s="5" t="n">
        <v>1</v>
      </c>
      <c r="Q75">
        <f>L75+IF(M75&gt;1,N(N75)*(M75-1),0)</f>
        <v/>
      </c>
      <c r="R75">
        <f>IFERROR(K75*MAX(M75,1)/Q75*P75,0)</f>
        <v/>
      </c>
      <c r="AA75" s="6" t="inlineStr"/>
    </row>
    <row r="76">
      <c r="B76" s="6" t="inlineStr">
        <is>
          <t xml:space="preserve">  ↳ ixian_farasha</t>
        </is>
      </c>
      <c r="C76" s="6" t="inlineStr">
        <is>
          <t>Armament</t>
        </is>
      </c>
      <c r="K76" s="5" t="n">
        <v>2000</v>
      </c>
      <c r="L76" s="5" t="n">
        <v>50</v>
      </c>
      <c r="M76" s="5" t="n">
        <v>50</v>
      </c>
      <c r="N76" s="5" t="n">
        <v>1</v>
      </c>
      <c r="O76" s="5" t="n">
        <v>6400</v>
      </c>
      <c r="P76" s="5" t="n">
        <v>1</v>
      </c>
      <c r="Q76">
        <f>L76+IF(M76&gt;1,N(N76)*(M76-1),0)</f>
        <v/>
      </c>
      <c r="R76">
        <f>IFERROR(K76*MAX(M76,1)/Q76*P76,0)</f>
        <v/>
      </c>
      <c r="AA76" s="6" t="inlineStr">
        <is>
          <t>^TeslaWeapon, ^HeavyFlameWeapon, ^RailgunWeapon</t>
        </is>
      </c>
    </row>
    <row r="77">
      <c r="B77" s="6" t="inlineStr">
        <is>
          <t xml:space="preserve">  ↳ d2k_farasha_aa</t>
        </is>
      </c>
      <c r="C77" s="6" t="inlineStr">
        <is>
          <t>Armament@AA</t>
        </is>
      </c>
      <c r="K77" s="5" t="n">
        <v>2000</v>
      </c>
      <c r="L77" s="5" t="n">
        <v>50</v>
      </c>
      <c r="M77" s="5" t="n">
        <v>50</v>
      </c>
      <c r="N77" s="5" t="n">
        <v>1</v>
      </c>
      <c r="O77" s="5" t="n">
        <v>6400</v>
      </c>
      <c r="P77" s="5" t="n">
        <v>1</v>
      </c>
      <c r="Q77">
        <f>L77+IF(M77&gt;1,N(N77)*(M77-1),0)</f>
        <v/>
      </c>
      <c r="R77">
        <f>IFERROR(K77*MAX(M77,1)/Q77*P77,0)</f>
        <v/>
      </c>
      <c r="AA77" s="6" t="inlineStr">
        <is>
          <t>^TeslaWeapon, ^HeavyFlameWeapon, ^RailgunWeapon</t>
        </is>
      </c>
    </row>
    <row r="78">
      <c r="A78" t="inlineStr">
        <is>
          <t>d2k</t>
        </is>
      </c>
      <c r="B78" t="inlineStr">
        <is>
          <t>ixian_railgundrone</t>
        </is>
      </c>
      <c r="C78" t="inlineStr">
        <is>
          <t>Ixian Railgun Drone</t>
        </is>
      </c>
      <c r="D78" t="inlineStr"/>
      <c r="E78" s="5" t="n">
        <v>30000</v>
      </c>
      <c r="F78" s="5" t="n">
        <v>170</v>
      </c>
      <c r="G78" t="inlineStr">
        <is>
          <t>Helicopter</t>
        </is>
      </c>
      <c r="H78" s="5" t="n">
        <v>1</v>
      </c>
      <c r="I78" s="5" t="n">
        <v>1</v>
      </c>
      <c r="J78" s="5" t="n">
        <v>1</v>
      </c>
      <c r="O78">
        <f>MAX(O79)</f>
        <v/>
      </c>
      <c r="R78">
        <f>R79</f>
        <v/>
      </c>
      <c r="S78">
        <f>(E78/100000+F78/100+(O78/1000)*J78/5+R78/200)*200*I78*H78</f>
        <v/>
      </c>
      <c r="T78">
        <f>((E78*F78/25000)+((O78/1000)*J78*R78/2.5))*I78*H78</f>
        <v/>
      </c>
      <c r="U78">
        <f>(E78*F78*(O78/1000)*J78*R78*I78*H78)/12500000</f>
        <v/>
      </c>
      <c r="V78">
        <f>(S78+T78+U78)/3</f>
        <v/>
      </c>
      <c r="W78" s="5" t="n">
        <v>2000</v>
      </c>
      <c r="X78">
        <f>IFERROR(V78-W78,"")</f>
        <v/>
      </c>
      <c r="Y78">
        <f>IFERROR(ABS(X78)/MAX(W78,1),"")</f>
        <v/>
      </c>
      <c r="Z78">
        <f>IFERROR((W78-(((E78/100000+F78/100+R78/200)*200*I78*H78)+((E78*F78/25000)*I78*H78))/3)/(((J78/5)*200*I78*H78)+((J78*R78/2.5)*I78*H78)+((E78*F78*J78*R78*I78*H78)/12500000))/3*1000,"")</f>
        <v/>
      </c>
    </row>
    <row r="79">
      <c r="B79" s="6" t="inlineStr">
        <is>
          <t xml:space="preserve">  ↳ IxRailgunDroneBullet</t>
        </is>
      </c>
      <c r="C79" s="6" t="inlineStr">
        <is>
          <t>Armament@PRIMARY</t>
        </is>
      </c>
      <c r="K79" s="5" t="n">
        <v>6000</v>
      </c>
      <c r="L79" s="5" t="n">
        <v>24</v>
      </c>
      <c r="M79" s="5" t="n">
        <v>1</v>
      </c>
      <c r="N79" s="5" t="n"/>
      <c r="O79" s="5" t="n">
        <v>6034</v>
      </c>
      <c r="P79" s="5" t="n">
        <v>1</v>
      </c>
      <c r="Q79">
        <f>L79+IF(M79&gt;1,N(N79)*(M79-1),0)</f>
        <v/>
      </c>
      <c r="R79">
        <f>IFERROR(K79*MAX(M79,1)/Q79*P79,0)</f>
        <v/>
      </c>
      <c r="AA79" s="6" t="inlineStr">
        <is>
          <t>^FlakWeapon, ^TankDestroyerCannon, ^RailgunWeapon, ^D2K_Cannon</t>
        </is>
      </c>
    </row>
    <row r="80">
      <c r="A80" t="inlineStr">
        <is>
          <t>d2k</t>
        </is>
      </c>
      <c r="B80" t="inlineStr">
        <is>
          <t>ixian_resonancedrone</t>
        </is>
      </c>
      <c r="C80" t="inlineStr">
        <is>
          <t>Ixian Resonance Drone</t>
        </is>
      </c>
      <c r="D80" t="inlineStr"/>
      <c r="E80" s="5" t="n">
        <v>25000</v>
      </c>
      <c r="F80" s="5" t="n">
        <v>125</v>
      </c>
      <c r="G80" t="inlineStr">
        <is>
          <t>Helicopter</t>
        </is>
      </c>
      <c r="H80" s="5" t="n">
        <v>1</v>
      </c>
      <c r="I80" s="5" t="n">
        <v>1</v>
      </c>
      <c r="J80" s="5" t="n">
        <v>1</v>
      </c>
      <c r="O80">
        <f>MAX(O81)</f>
        <v/>
      </c>
      <c r="R80">
        <f>R81</f>
        <v/>
      </c>
      <c r="S80">
        <f>(E80/100000+F80/100+(O80/1000)*J80/5+R80/200)*200*I80*H80</f>
        <v/>
      </c>
      <c r="T80">
        <f>((E80*F80/25000)+((O80/1000)*J80*R80/2.5))*I80*H80</f>
        <v/>
      </c>
      <c r="U80">
        <f>(E80*F80*(O80/1000)*J80*R80*I80*H80)/12500000</f>
        <v/>
      </c>
      <c r="V80">
        <f>(S80+T80+U80)/3</f>
        <v/>
      </c>
      <c r="W80" s="5" t="n">
        <v>2500</v>
      </c>
      <c r="X80">
        <f>IFERROR(V80-W80,"")</f>
        <v/>
      </c>
      <c r="Y80">
        <f>IFERROR(ABS(X80)/MAX(W80,1),"")</f>
        <v/>
      </c>
      <c r="Z80">
        <f>IFERROR((W80-(((E80/100000+F80/100+R80/200)*200*I80*H80)+((E80*F80/25000)*I80*H80))/3)/(((J80/5)*200*I80*H80)+((J80*R80/2.5)*I80*H80)+((E80*F80*J80*R80*I80*H80)/12500000))/3*1000,"")</f>
        <v/>
      </c>
    </row>
    <row r="81">
      <c r="B81" s="6" t="inlineStr">
        <is>
          <t xml:space="preserve">  ↳ ResonanceDroneRepair</t>
        </is>
      </c>
      <c r="C81" s="6" t="inlineStr">
        <is>
          <t>Armament@repair</t>
        </is>
      </c>
      <c r="K81" s="5" t="n">
        <v>-1</v>
      </c>
      <c r="L81" s="5" t="n">
        <v>5</v>
      </c>
      <c r="M81" s="5" t="n">
        <v>10</v>
      </c>
      <c r="N81" s="5" t="n">
        <v>1</v>
      </c>
      <c r="O81" s="5" t="n">
        <v>4500</v>
      </c>
      <c r="P81" s="5" t="n">
        <v>1</v>
      </c>
      <c r="Q81">
        <f>L81+IF(M81&gt;1,N(N81)*(M81-1),0)</f>
        <v/>
      </c>
      <c r="R81">
        <f>IFERROR(K81*MAX(M81,1)/Q81*P81,0)</f>
        <v/>
      </c>
      <c r="AA81" s="6" t="inlineStr">
        <is>
          <t>^RepairWeapon</t>
        </is>
      </c>
    </row>
    <row r="82">
      <c r="A82" s="3" t="inlineStr">
        <is>
          <t>BUILDINGS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>
      <c r="A83" t="inlineStr">
        <is>
          <t>d2k</t>
        </is>
      </c>
      <c r="B83" t="inlineStr">
        <is>
          <t>ixian_advancedheavyfactory</t>
        </is>
      </c>
      <c r="C83" t="inlineStr">
        <is>
          <t>Ixian Advanced Heavy Factory</t>
        </is>
      </c>
      <c r="D83" t="inlineStr"/>
      <c r="E83" s="5" t="n">
        <v>400000</v>
      </c>
      <c r="F83" s="5" t="n"/>
      <c r="G83" t="inlineStr">
        <is>
          <t>Concrete</t>
        </is>
      </c>
      <c r="H83" s="5" t="n">
        <v>1</v>
      </c>
      <c r="I83" s="5" t="n">
        <v>1</v>
      </c>
      <c r="J83" s="5" t="n">
        <v>1</v>
      </c>
      <c r="W83" s="5" t="n">
        <v>2000</v>
      </c>
    </row>
    <row r="84">
      <c r="A84" t="inlineStr">
        <is>
          <t>d2k</t>
        </is>
      </c>
      <c r="B84" t="inlineStr">
        <is>
          <t>ixian_barracks</t>
        </is>
      </c>
      <c r="C84" t="inlineStr">
        <is>
          <t>Ixian Barracks</t>
        </is>
      </c>
      <c r="D84" t="inlineStr"/>
      <c r="E84" s="5" t="n">
        <v>200000</v>
      </c>
      <c r="F84" s="5" t="n"/>
      <c r="G84" t="inlineStr">
        <is>
          <t>Wood</t>
        </is>
      </c>
      <c r="H84" s="5" t="n">
        <v>1</v>
      </c>
      <c r="I84" s="5" t="n">
        <v>1</v>
      </c>
      <c r="J84" s="5" t="n">
        <v>1</v>
      </c>
      <c r="W84" s="5" t="n">
        <v>1000</v>
      </c>
    </row>
    <row r="85">
      <c r="A85" t="inlineStr">
        <is>
          <t>d2k</t>
        </is>
      </c>
      <c r="B85" t="inlineStr">
        <is>
          <t>ixian_constructionyard</t>
        </is>
      </c>
      <c r="C85" t="inlineStr">
        <is>
          <t>Ixian Construction Yard</t>
        </is>
      </c>
      <c r="D85" t="inlineStr"/>
      <c r="E85" s="5" t="n">
        <v>1000000</v>
      </c>
      <c r="F85" s="5" t="n"/>
      <c r="G85" t="inlineStr">
        <is>
          <t>Concrete</t>
        </is>
      </c>
      <c r="H85" s="5" t="n">
        <v>1</v>
      </c>
      <c r="I85" s="5" t="n">
        <v>1</v>
      </c>
      <c r="J85" s="5" t="n">
        <v>1</v>
      </c>
      <c r="W85" s="5" t="n">
        <v>5000</v>
      </c>
    </row>
    <row r="86">
      <c r="A86" t="inlineStr">
        <is>
          <t>d2k</t>
        </is>
      </c>
      <c r="B86" t="inlineStr">
        <is>
          <t>ixian_gunturret</t>
        </is>
      </c>
      <c r="C86" t="inlineStr">
        <is>
          <t>Gun Turret</t>
        </is>
      </c>
      <c r="D86" t="inlineStr"/>
      <c r="E86" s="5" t="n">
        <v>125000</v>
      </c>
      <c r="F86" s="5" t="n"/>
      <c r="G86" t="inlineStr">
        <is>
          <t>Concrete</t>
        </is>
      </c>
      <c r="H86" s="5" t="n">
        <v>1</v>
      </c>
      <c r="I86" s="5" t="n">
        <v>1</v>
      </c>
      <c r="J86" s="5" t="n">
        <v>1</v>
      </c>
      <c r="W86" s="5" t="n">
        <v>1000</v>
      </c>
    </row>
    <row r="87">
      <c r="B87" s="6" t="inlineStr">
        <is>
          <t xml:space="preserve">  ↳ 110mm_Gun</t>
        </is>
      </c>
      <c r="C87" s="6" t="inlineStr">
        <is>
          <t>Armament</t>
        </is>
      </c>
      <c r="K87" s="5" t="n">
        <v>10000</v>
      </c>
      <c r="L87" s="5" t="n">
        <v>50</v>
      </c>
      <c r="M87" s="5" t="n">
        <v>1</v>
      </c>
      <c r="N87" s="5" t="n"/>
      <c r="O87" s="5" t="n">
        <v>7979</v>
      </c>
      <c r="P87" s="5" t="n">
        <v>1</v>
      </c>
      <c r="Q87">
        <f>L87+IF(M87&gt;1,N(N87)*(M87-1),0)</f>
        <v/>
      </c>
      <c r="R87">
        <f>IFERROR(K87*MAX(M87,1)/Q87*P87,0)</f>
        <v/>
      </c>
      <c r="AA87" s="6" t="inlineStr">
        <is>
          <t>^TankDestroyerCannon, ^HeavyCannon, ^D2K_Cannon</t>
        </is>
      </c>
    </row>
    <row r="88">
      <c r="A88" t="inlineStr">
        <is>
          <t>d2k</t>
        </is>
      </c>
      <c r="B88" t="inlineStr">
        <is>
          <t>ixian_hightechfactory</t>
        </is>
      </c>
      <c r="C88" t="inlineStr">
        <is>
          <t>High Tech Factory</t>
        </is>
      </c>
      <c r="D88" t="inlineStr"/>
      <c r="E88" s="5" t="n">
        <v>300000</v>
      </c>
      <c r="F88" s="5" t="n"/>
      <c r="G88" t="inlineStr">
        <is>
          <t>Concrete</t>
        </is>
      </c>
      <c r="H88" s="5" t="n">
        <v>1</v>
      </c>
      <c r="I88" s="5" t="n">
        <v>1</v>
      </c>
      <c r="J88" s="5" t="n">
        <v>1</v>
      </c>
      <c r="W88" s="5" t="n">
        <v>1500</v>
      </c>
    </row>
    <row r="89">
      <c r="A89" t="inlineStr">
        <is>
          <t>d2k</t>
        </is>
      </c>
      <c r="B89" t="inlineStr">
        <is>
          <t>ixian_ixresearchcenter</t>
        </is>
      </c>
      <c r="C89" t="inlineStr">
        <is>
          <t>Ix Research Center</t>
        </is>
      </c>
      <c r="D89" t="inlineStr"/>
      <c r="E89" s="5" t="n">
        <v>500000</v>
      </c>
      <c r="F89" s="5" t="n"/>
      <c r="G89" t="inlineStr">
        <is>
          <t>Concrete</t>
        </is>
      </c>
      <c r="H89" s="5" t="n">
        <v>1</v>
      </c>
      <c r="I89" s="5" t="n">
        <v>1</v>
      </c>
      <c r="J89" s="5" t="n">
        <v>1</v>
      </c>
      <c r="W89" s="5" t="n">
        <v>5000</v>
      </c>
    </row>
    <row r="90">
      <c r="A90" t="inlineStr">
        <is>
          <t>d2k</t>
        </is>
      </c>
      <c r="B90" t="inlineStr">
        <is>
          <t>ixian_launchpad</t>
        </is>
      </c>
      <c r="C90" t="inlineStr">
        <is>
          <t>Ixian Launchpad</t>
        </is>
      </c>
      <c r="D90" t="inlineStr"/>
      <c r="E90" s="5" t="n">
        <v>300000</v>
      </c>
      <c r="F90" s="5" t="n"/>
      <c r="G90" t="inlineStr">
        <is>
          <t>Wood</t>
        </is>
      </c>
      <c r="H90" s="5" t="n">
        <v>1</v>
      </c>
      <c r="I90" s="5" t="n">
        <v>1</v>
      </c>
      <c r="J90" s="5" t="n">
        <v>1</v>
      </c>
      <c r="W90" s="5" t="n">
        <v>1500</v>
      </c>
    </row>
    <row r="91">
      <c r="A91" t="inlineStr">
        <is>
          <t>d2k</t>
        </is>
      </c>
      <c r="B91" t="inlineStr">
        <is>
          <t>ixian_machinegunturret</t>
        </is>
      </c>
      <c r="C91" t="inlineStr">
        <is>
          <t>Machine Gun Turret</t>
        </is>
      </c>
      <c r="D91" t="inlineStr"/>
      <c r="E91" s="5" t="n">
        <v>75000</v>
      </c>
      <c r="F91" s="5" t="n"/>
      <c r="G91" t="inlineStr">
        <is>
          <t>Concrete</t>
        </is>
      </c>
      <c r="H91" s="5" t="n">
        <v>1</v>
      </c>
      <c r="I91" s="5" t="n">
        <v>1</v>
      </c>
      <c r="J91" s="5" t="n">
        <v>1</v>
      </c>
      <c r="W91" s="5" t="n">
        <v>600</v>
      </c>
    </row>
    <row r="92">
      <c r="B92" s="6" t="inlineStr">
        <is>
          <t xml:space="preserve">  ↳ HMG_turret</t>
        </is>
      </c>
      <c r="C92" s="6" t="inlineStr">
        <is>
          <t>Armament</t>
        </is>
      </c>
      <c r="K92" s="5" t="n">
        <v>2000</v>
      </c>
      <c r="L92" s="5" t="n">
        <v>22</v>
      </c>
      <c r="M92" s="5" t="n">
        <v>4</v>
      </c>
      <c r="N92" s="5" t="n">
        <v>2</v>
      </c>
      <c r="O92" s="5" t="n">
        <v>7394</v>
      </c>
      <c r="P92" s="5" t="n">
        <v>1</v>
      </c>
      <c r="Q92">
        <f>L92+IF(M92&gt;1,N(N92)*(M92-1),0)</f>
        <v/>
      </c>
      <c r="R92">
        <f>IFERROR(K92*MAX(M92,1)/Q92*P92,0)</f>
        <v/>
      </c>
      <c r="AA92" s="6" t="inlineStr">
        <is>
          <t>^SmallArms, ^Chaingun</t>
        </is>
      </c>
    </row>
    <row r="93">
      <c r="B93" s="6" t="inlineStr">
        <is>
          <t xml:space="preserve">  ↳ HMG_turret_upgrade</t>
        </is>
      </c>
      <c r="C93" s="6" t="inlineStr">
        <is>
          <t>Armament@Upgrade</t>
        </is>
      </c>
      <c r="K93" s="5" t="n">
        <v>2000</v>
      </c>
      <c r="L93" s="5" t="n">
        <v>33</v>
      </c>
      <c r="M93" s="5" t="n">
        <v>4</v>
      </c>
      <c r="N93" s="5" t="n">
        <v>3</v>
      </c>
      <c r="O93" s="5" t="n">
        <v>7394</v>
      </c>
      <c r="P93" s="5" t="n">
        <v>1</v>
      </c>
      <c r="Q93">
        <f>L93+IF(M93&gt;1,N(N93)*(M93-1),0)</f>
        <v/>
      </c>
      <c r="R93">
        <f>IFERROR(K93*MAX(M93,1)/Q93*P93,0)</f>
        <v/>
      </c>
      <c r="AA93" s="6" t="inlineStr">
        <is>
          <t>^HeavyCannon, ^SmallArms, ^Chaingun, ^HeavyMachineGunProjectile</t>
        </is>
      </c>
    </row>
    <row r="94">
      <c r="A94" t="inlineStr">
        <is>
          <t>d2k</t>
        </is>
      </c>
      <c r="B94" t="inlineStr">
        <is>
          <t>ixian_munitionssilo</t>
        </is>
      </c>
      <c r="C94" t="inlineStr">
        <is>
          <t>Ixian Munitions Silo</t>
        </is>
      </c>
      <c r="D94" t="inlineStr"/>
      <c r="E94" s="5" t="n">
        <v>50000</v>
      </c>
      <c r="F94" s="5" t="n"/>
      <c r="G94" t="inlineStr">
        <is>
          <t>Wood</t>
        </is>
      </c>
      <c r="H94" s="5" t="n">
        <v>1</v>
      </c>
      <c r="I94" s="5" t="n">
        <v>1</v>
      </c>
      <c r="J94" s="5" t="n">
        <v>1</v>
      </c>
      <c r="W94" s="5" t="n">
        <v>500</v>
      </c>
    </row>
    <row r="95">
      <c r="A95" t="inlineStr">
        <is>
          <t>d2k</t>
        </is>
      </c>
      <c r="B95" t="inlineStr">
        <is>
          <t>ixian_outpost</t>
        </is>
      </c>
      <c r="C95" t="inlineStr">
        <is>
          <t>Ixian Outpost</t>
        </is>
      </c>
      <c r="D95" t="inlineStr"/>
      <c r="E95" s="5" t="n">
        <v>250000</v>
      </c>
      <c r="F95" s="5" t="n"/>
      <c r="G95" t="inlineStr">
        <is>
          <t>Wood</t>
        </is>
      </c>
      <c r="H95" s="5" t="n">
        <v>1</v>
      </c>
      <c r="I95" s="5" t="n">
        <v>1</v>
      </c>
      <c r="J95" s="5" t="n">
        <v>1</v>
      </c>
      <c r="W95" s="5" t="n">
        <v>2500</v>
      </c>
    </row>
    <row r="96">
      <c r="A96" t="inlineStr">
        <is>
          <t>d2k</t>
        </is>
      </c>
      <c r="B96" t="inlineStr">
        <is>
          <t>ixian_refineryixian</t>
        </is>
      </c>
      <c r="C96" t="inlineStr">
        <is>
          <t>Refinery</t>
        </is>
      </c>
      <c r="D96" t="inlineStr"/>
      <c r="E96" s="5" t="n">
        <v>40000</v>
      </c>
      <c r="F96" s="5" t="n"/>
      <c r="G96" t="inlineStr">
        <is>
          <t>Wood</t>
        </is>
      </c>
      <c r="H96" s="5" t="n">
        <v>1</v>
      </c>
      <c r="I96" s="5" t="n">
        <v>1</v>
      </c>
      <c r="J96" s="5" t="n">
        <v>1</v>
      </c>
      <c r="W96" s="5" t="n"/>
    </row>
    <row r="97">
      <c r="A97" t="inlineStr">
        <is>
          <t>d2k</t>
        </is>
      </c>
      <c r="B97" t="inlineStr">
        <is>
          <t>ixian_repairpad</t>
        </is>
      </c>
      <c r="C97" t="inlineStr">
        <is>
          <t>Ixian Repair Pad</t>
        </is>
      </c>
      <c r="D97" t="inlineStr"/>
      <c r="E97" s="5" t="n">
        <v>250000</v>
      </c>
      <c r="F97" s="5" t="n"/>
      <c r="G97" t="inlineStr">
        <is>
          <t>Concrete</t>
        </is>
      </c>
      <c r="H97" s="5" t="n">
        <v>1</v>
      </c>
      <c r="I97" s="5" t="n">
        <v>1</v>
      </c>
      <c r="J97" s="5" t="n">
        <v>1</v>
      </c>
      <c r="W97" s="5" t="n">
        <v>1000</v>
      </c>
    </row>
    <row r="98">
      <c r="A98" t="inlineStr">
        <is>
          <t>d2k</t>
        </is>
      </c>
      <c r="B98" t="inlineStr">
        <is>
          <t>ixian_rocketturret</t>
        </is>
      </c>
      <c r="C98" t="inlineStr">
        <is>
          <t>Rocket Turret</t>
        </is>
      </c>
      <c r="D98" t="inlineStr"/>
      <c r="E98" s="5" t="n">
        <v>150000</v>
      </c>
      <c r="F98" s="5" t="n"/>
      <c r="G98" t="inlineStr">
        <is>
          <t>Steel</t>
        </is>
      </c>
      <c r="H98" s="5" t="n">
        <v>1</v>
      </c>
      <c r="I98" s="5" t="n">
        <v>1</v>
      </c>
      <c r="J98" s="5" t="n">
        <v>1</v>
      </c>
      <c r="W98" s="5" t="n">
        <v>1500</v>
      </c>
    </row>
    <row r="99">
      <c r="B99" s="6" t="inlineStr">
        <is>
          <t xml:space="preserve">  ↳ D2K_TowerMissile</t>
        </is>
      </c>
      <c r="C99" s="6" t="inlineStr">
        <is>
          <t>Armament@PRIMARY</t>
        </is>
      </c>
      <c r="K99" s="5" t="n">
        <v>4000</v>
      </c>
      <c r="L99" s="5" t="n">
        <v>42</v>
      </c>
      <c r="M99" s="5" t="n">
        <v>2</v>
      </c>
      <c r="N99" s="5" t="n">
        <v>5</v>
      </c>
      <c r="O99" s="5" t="n">
        <v>10684</v>
      </c>
      <c r="P99" s="5" t="n">
        <v>1</v>
      </c>
      <c r="Q99">
        <f>L99+IF(M99&gt;1,N(N99)*(M99-1),0)</f>
        <v/>
      </c>
      <c r="R99">
        <f>IFERROR(K99*MAX(M99,1)/Q99*P99,0)</f>
        <v/>
      </c>
      <c r="AA99" s="6" t="inlineStr">
        <is>
          <t>^Grenade, ^MediumFlameWeapon, ^FlakWeapon, ^D2KMissile</t>
        </is>
      </c>
    </row>
    <row r="100">
      <c r="A100" t="inlineStr">
        <is>
          <t>d2k</t>
        </is>
      </c>
      <c r="B100" t="inlineStr">
        <is>
          <t>ixian_starport</t>
        </is>
      </c>
      <c r="C100" t="inlineStr">
        <is>
          <t>Starport</t>
        </is>
      </c>
      <c r="D100" t="inlineStr"/>
      <c r="E100" s="5" t="n">
        <v>500000</v>
      </c>
      <c r="F100" s="5" t="n"/>
      <c r="G100" t="inlineStr">
        <is>
          <t>Concrete</t>
        </is>
      </c>
      <c r="H100" s="5" t="n">
        <v>1</v>
      </c>
      <c r="I100" s="5" t="n">
        <v>1</v>
      </c>
      <c r="J100" s="5" t="n">
        <v>1</v>
      </c>
      <c r="W100" s="5" t="n">
        <v>5000</v>
      </c>
    </row>
    <row r="101">
      <c r="A101" t="inlineStr">
        <is>
          <t>d2k</t>
        </is>
      </c>
      <c r="B101" t="inlineStr">
        <is>
          <t>ixian_storagesilo</t>
        </is>
      </c>
      <c r="C101" t="inlineStr">
        <is>
          <t>Storage Silo</t>
        </is>
      </c>
      <c r="D101" t="inlineStr"/>
      <c r="E101" s="5" t="n">
        <v>50000</v>
      </c>
      <c r="F101" s="5" t="n"/>
      <c r="G101" t="inlineStr">
        <is>
          <t>Wood</t>
        </is>
      </c>
      <c r="H101" s="5" t="n">
        <v>1</v>
      </c>
      <c r="I101" s="5" t="n">
        <v>1</v>
      </c>
      <c r="J101" s="5" t="n">
        <v>1</v>
      </c>
      <c r="W101" s="5" t="n">
        <v>150</v>
      </c>
    </row>
    <row r="102">
      <c r="A102" t="inlineStr">
        <is>
          <t>d2k</t>
        </is>
      </c>
      <c r="B102" t="inlineStr">
        <is>
          <t>ixian_stormlasher</t>
        </is>
      </c>
      <c r="C102" t="inlineStr">
        <is>
          <t>Storm Lasher</t>
        </is>
      </c>
      <c r="D102" t="inlineStr"/>
      <c r="E102" s="5" t="n">
        <v>200000</v>
      </c>
      <c r="F102" s="5" t="n"/>
      <c r="G102" t="inlineStr">
        <is>
          <t>Steel</t>
        </is>
      </c>
      <c r="H102" s="5" t="n">
        <v>1</v>
      </c>
      <c r="I102" s="5" t="n">
        <v>0.325</v>
      </c>
      <c r="J102" s="5" t="n">
        <v>1.25</v>
      </c>
      <c r="W102" s="5" t="n">
        <v>5000</v>
      </c>
    </row>
    <row r="103">
      <c r="B103" s="6" t="inlineStr">
        <is>
          <t xml:space="preserve">  ↳ d2kStormLasher</t>
        </is>
      </c>
      <c r="C103" s="6" t="inlineStr">
        <is>
          <t>Armament</t>
        </is>
      </c>
      <c r="K103" s="5" t="n">
        <v>150000</v>
      </c>
      <c r="L103" s="5" t="n">
        <v>250</v>
      </c>
      <c r="M103" s="5" t="n">
        <v>1</v>
      </c>
      <c r="N103" s="5" t="n"/>
      <c r="O103" s="5" t="n">
        <v>11384</v>
      </c>
      <c r="P103" s="5" t="n">
        <v>1</v>
      </c>
      <c r="Q103">
        <f>L103+IF(M103&gt;1,N(N103)*(M103-1),0)</f>
        <v/>
      </c>
      <c r="R103">
        <f>IFERROR(K103*MAX(M103,1)/Q103*P103,0)</f>
        <v/>
      </c>
      <c r="AA103" s="6" t="inlineStr">
        <is>
          <t>^TeslaWeapon, ^MagicWeapon</t>
        </is>
      </c>
    </row>
    <row r="104">
      <c r="A104" t="inlineStr">
        <is>
          <t>d2k</t>
        </is>
      </c>
      <c r="B104" t="inlineStr">
        <is>
          <t>ixian_supercomputer</t>
        </is>
      </c>
      <c r="C104" t="inlineStr">
        <is>
          <t>Ixian Supercomputer</t>
        </is>
      </c>
      <c r="D104" t="inlineStr"/>
      <c r="E104" s="5" t="n">
        <v>1000000</v>
      </c>
      <c r="F104" s="5" t="n"/>
      <c r="G104" t="inlineStr">
        <is>
          <t>Concrete</t>
        </is>
      </c>
      <c r="H104" s="5" t="n">
        <v>1</v>
      </c>
      <c r="I104" s="5" t="n">
        <v>1</v>
      </c>
      <c r="J104" s="5" t="n">
        <v>1</v>
      </c>
      <c r="W104" s="5" t="n">
        <v>10000</v>
      </c>
    </row>
    <row r="105">
      <c r="A105" t="inlineStr">
        <is>
          <t>d2k</t>
        </is>
      </c>
      <c r="B105" t="inlineStr">
        <is>
          <t>ixian_windtrap</t>
        </is>
      </c>
      <c r="C105" t="inlineStr">
        <is>
          <t>Wind Trap</t>
        </is>
      </c>
      <c r="D105" t="inlineStr"/>
      <c r="E105" s="5" t="n">
        <v>200000</v>
      </c>
      <c r="F105" s="5" t="n"/>
      <c r="G105" t="inlineStr">
        <is>
          <t>Concrete</t>
        </is>
      </c>
      <c r="H105" s="5" t="n">
        <v>1</v>
      </c>
      <c r="I105" s="5" t="n">
        <v>1</v>
      </c>
      <c r="J105" s="5" t="n">
        <v>1</v>
      </c>
      <c r="W105" s="5" t="n">
        <v>500</v>
      </c>
    </row>
    <row r="106">
      <c r="A106" s="3" t="inlineStr">
        <is>
          <t>UPGRADES</t>
        </is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</row>
    <row r="107">
      <c r="A107" t="inlineStr">
        <is>
          <t>d2k</t>
        </is>
      </c>
      <c r="B107" t="inlineStr">
        <is>
          <t>ixian_upgrade_advancedixiantechnology</t>
        </is>
      </c>
      <c r="C107" t="inlineStr">
        <is>
          <t>Advanced Ixian Technology</t>
        </is>
      </c>
      <c r="D107" t="inlineStr"/>
      <c r="E107" s="5" t="n"/>
      <c r="F107" s="5" t="n"/>
      <c r="H107" s="5" t="n">
        <v>1</v>
      </c>
      <c r="I107" s="5" t="n">
        <v>1</v>
      </c>
      <c r="J107" s="5" t="n">
        <v>1</v>
      </c>
      <c r="W107" s="5" t="n">
        <v>12500</v>
      </c>
    </row>
    <row r="108">
      <c r="A108" t="inlineStr">
        <is>
          <t>d2k</t>
        </is>
      </c>
      <c r="B108" t="inlineStr">
        <is>
          <t>ixian_upgrade_generalpurposearmor</t>
        </is>
      </c>
      <c r="C108" t="inlineStr">
        <is>
          <t>General Purpose Armor</t>
        </is>
      </c>
      <c r="D108" t="inlineStr"/>
      <c r="E108" s="5" t="n"/>
      <c r="F108" s="5" t="n"/>
      <c r="H108" s="5" t="n">
        <v>1</v>
      </c>
      <c r="I108" s="5" t="n">
        <v>1</v>
      </c>
      <c r="J108" s="5" t="n">
        <v>1</v>
      </c>
      <c r="W108" s="5" t="n">
        <v>7500</v>
      </c>
    </row>
    <row r="109">
      <c r="A109" t="inlineStr">
        <is>
          <t>d2k</t>
        </is>
      </c>
      <c r="B109" t="inlineStr">
        <is>
          <t>ixian_upgrade_heavymissiles</t>
        </is>
      </c>
      <c r="C109" t="inlineStr">
        <is>
          <t>Heavy Missiles</t>
        </is>
      </c>
      <c r="D109" t="inlineStr"/>
      <c r="E109" s="5" t="n"/>
      <c r="F109" s="5" t="n"/>
      <c r="H109" s="5" t="n">
        <v>1</v>
      </c>
      <c r="I109" s="5" t="n">
        <v>1</v>
      </c>
      <c r="J109" s="5" t="n">
        <v>1</v>
      </c>
      <c r="W109" s="5" t="n">
        <v>7500</v>
      </c>
    </row>
    <row r="110">
      <c r="A110" t="inlineStr">
        <is>
          <t>d2k</t>
        </is>
      </c>
      <c r="B110" t="inlineStr">
        <is>
          <t>ixian_upgrade_personalshield</t>
        </is>
      </c>
      <c r="C110" t="inlineStr">
        <is>
          <t>Personal Shield</t>
        </is>
      </c>
      <c r="D110" t="inlineStr"/>
      <c r="E110" s="5" t="n"/>
      <c r="F110" s="5" t="n"/>
      <c r="H110" s="5" t="n">
        <v>1</v>
      </c>
      <c r="I110" s="5" t="n">
        <v>1</v>
      </c>
      <c r="J110" s="5" t="n">
        <v>1</v>
      </c>
      <c r="W110" s="5" t="n">
        <v>5000</v>
      </c>
    </row>
    <row r="111">
      <c r="A111" t="inlineStr">
        <is>
          <t>d2k</t>
        </is>
      </c>
      <c r="B111" t="inlineStr">
        <is>
          <t>ixian_upgrade_reinforcedbarrel</t>
        </is>
      </c>
      <c r="C111" t="inlineStr">
        <is>
          <t>Reinforced Barrel</t>
        </is>
      </c>
      <c r="D111" t="inlineStr"/>
      <c r="E111" s="5" t="n"/>
      <c r="F111" s="5" t="n"/>
      <c r="H111" s="5" t="n">
        <v>1</v>
      </c>
      <c r="I111" s="5" t="n">
        <v>1</v>
      </c>
      <c r="J111" s="5" t="n">
        <v>1</v>
      </c>
      <c r="W111" s="5" t="n">
        <v>7500</v>
      </c>
    </row>
    <row r="112">
      <c r="A112" t="inlineStr">
        <is>
          <t>d2k</t>
        </is>
      </c>
      <c r="B112" t="inlineStr">
        <is>
          <t>ixian_upgrade_tungstenneedleguns</t>
        </is>
      </c>
      <c r="C112" t="inlineStr">
        <is>
          <t>Tungsten Needle Guns</t>
        </is>
      </c>
      <c r="D112" t="inlineStr"/>
      <c r="E112" s="5" t="n"/>
      <c r="F112" s="5" t="n"/>
      <c r="H112" s="5" t="n">
        <v>1</v>
      </c>
      <c r="I112" s="5" t="n">
        <v>1</v>
      </c>
      <c r="J112" s="5" t="n">
        <v>1</v>
      </c>
      <c r="W112" s="5" t="n">
        <v>5000</v>
      </c>
    </row>
    <row r="113">
      <c r="A113" t="inlineStr">
        <is>
          <t>d2k</t>
        </is>
      </c>
      <c r="B113" t="inlineStr">
        <is>
          <t>ixian_upgrade_twinbazooka</t>
        </is>
      </c>
      <c r="C113" t="inlineStr">
        <is>
          <t>Twin Bazooka Upgrade</t>
        </is>
      </c>
      <c r="D113" t="inlineStr"/>
      <c r="E113" s="5" t="n"/>
      <c r="F113" s="5" t="n"/>
      <c r="H113" s="5" t="n">
        <v>1</v>
      </c>
      <c r="I113" s="5" t="n">
        <v>1</v>
      </c>
      <c r="J113" s="5" t="n">
        <v>1</v>
      </c>
      <c r="W113" s="5" t="n">
        <v>2500</v>
      </c>
    </row>
    <row r="114">
      <c r="A114" t="inlineStr">
        <is>
          <t>d2k</t>
        </is>
      </c>
      <c r="B114" t="inlineStr">
        <is>
          <t>team_upgrade.d2k_advanced_ixian_technology</t>
        </is>
      </c>
      <c r="C114" t="inlineStr">
        <is>
          <t>Advanced Ixian Technology</t>
        </is>
      </c>
      <c r="D114" t="inlineStr"/>
      <c r="E114" s="5" t="n"/>
      <c r="F114" s="5" t="n"/>
      <c r="H114" s="5" t="n">
        <v>1</v>
      </c>
      <c r="I114" s="5" t="n">
        <v>1</v>
      </c>
      <c r="J114" s="5" t="n">
        <v>1</v>
      </c>
      <c r="W114" s="5" t="n"/>
    </row>
    <row r="115">
      <c r="A115" s="3" t="inlineStr">
        <is>
          <t>PROMOTIONS</t>
        </is>
      </c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>
      <c r="A116" t="inlineStr">
        <is>
          <t>d2k</t>
        </is>
      </c>
      <c r="B116" t="inlineStr">
        <is>
          <t>ixian_promotion_unlockfarasha</t>
        </is>
      </c>
      <c r="C116" t="inlineStr">
        <is>
          <t>Unlock Farasha</t>
        </is>
      </c>
      <c r="D116" t="inlineStr"/>
      <c r="E116" s="5" t="n"/>
      <c r="F116" s="5" t="n"/>
      <c r="H116" s="5" t="n">
        <v>1</v>
      </c>
      <c r="I116" s="5" t="n">
        <v>1</v>
      </c>
      <c r="J116" s="5" t="n">
        <v>1</v>
      </c>
      <c r="W116" s="5" t="n"/>
    </row>
    <row r="117">
      <c r="A117" t="inlineStr">
        <is>
          <t>d2k</t>
        </is>
      </c>
      <c r="B117" t="inlineStr">
        <is>
          <t>ixian_promotion_unlockheavyixraider</t>
        </is>
      </c>
      <c r="C117" t="inlineStr">
        <is>
          <t>Unlock Heavy Ix Raider</t>
        </is>
      </c>
      <c r="D117" t="inlineStr"/>
      <c r="E117" s="5" t="n"/>
      <c r="F117" s="5" t="n"/>
      <c r="H117" s="5" t="n">
        <v>1</v>
      </c>
      <c r="I117" s="5" t="n">
        <v>1</v>
      </c>
      <c r="J117" s="5" t="n">
        <v>1</v>
      </c>
      <c r="W117" s="5" t="n"/>
    </row>
    <row r="118">
      <c r="A118" t="inlineStr">
        <is>
          <t>d2k</t>
        </is>
      </c>
      <c r="B118" t="inlineStr">
        <is>
          <t>ixian_promotion_unlockixianempbomber</t>
        </is>
      </c>
      <c r="C118" t="inlineStr">
        <is>
          <t>Unlock Ixian EMP Bomber</t>
        </is>
      </c>
      <c r="D118" t="inlineStr"/>
      <c r="E118" s="5" t="n"/>
      <c r="F118" s="5" t="n"/>
      <c r="H118" s="5" t="n">
        <v>1</v>
      </c>
      <c r="I118" s="5" t="n">
        <v>1</v>
      </c>
      <c r="J118" s="5" t="n">
        <v>1</v>
      </c>
      <c r="W118" s="5" t="n"/>
    </row>
    <row r="119">
      <c r="A119" t="inlineStr">
        <is>
          <t>d2k</t>
        </is>
      </c>
      <c r="B119" t="inlineStr">
        <is>
          <t>ixian_promotion_unlockixprojector</t>
        </is>
      </c>
      <c r="C119" t="inlineStr">
        <is>
          <t>Unlock Ix Projector</t>
        </is>
      </c>
      <c r="D119" t="inlineStr"/>
      <c r="E119" s="5" t="n"/>
      <c r="F119" s="5" t="n"/>
      <c r="H119" s="5" t="n">
        <v>1</v>
      </c>
      <c r="I119" s="5" t="n">
        <v>1</v>
      </c>
      <c r="J119" s="5" t="n">
        <v>1</v>
      </c>
      <c r="W119" s="5" t="n"/>
    </row>
    <row r="120">
      <c r="A120" t="inlineStr">
        <is>
          <t>d2k</t>
        </is>
      </c>
      <c r="B120" t="inlineStr">
        <is>
          <t>ixian_promotion_unlockixrailgundrone</t>
        </is>
      </c>
      <c r="C120" t="inlineStr">
        <is>
          <t>Unlock Ix Railgun Drone</t>
        </is>
      </c>
      <c r="D120" t="inlineStr"/>
      <c r="E120" s="5" t="n"/>
      <c r="F120" s="5" t="n"/>
      <c r="H120" s="5" t="n">
        <v>1</v>
      </c>
      <c r="I120" s="5" t="n">
        <v>1</v>
      </c>
      <c r="J120" s="5" t="n">
        <v>1</v>
      </c>
      <c r="W120" s="5" t="n"/>
    </row>
    <row r="121">
      <c r="A121" t="inlineStr">
        <is>
          <t>d2k</t>
        </is>
      </c>
      <c r="B121" t="inlineStr">
        <is>
          <t>ixian_promotion_unlockixresonancedrone</t>
        </is>
      </c>
      <c r="C121" t="inlineStr">
        <is>
          <t>Unlock Ix Resonance Drone</t>
        </is>
      </c>
      <c r="D121" t="inlineStr"/>
      <c r="E121" s="5" t="n"/>
      <c r="F121" s="5" t="n"/>
      <c r="H121" s="5" t="n">
        <v>1</v>
      </c>
      <c r="I121" s="5" t="n">
        <v>1</v>
      </c>
      <c r="J121" s="5" t="n">
        <v>1</v>
      </c>
      <c r="W121" s="5" t="n"/>
    </row>
    <row r="122">
      <c r="A122" t="inlineStr">
        <is>
          <t>d2k</t>
        </is>
      </c>
      <c r="B122" t="inlineStr">
        <is>
          <t>ixian_promotion_unlockixsiegetank</t>
        </is>
      </c>
      <c r="C122" t="inlineStr">
        <is>
          <t>Unlock Ix Siege Tank</t>
        </is>
      </c>
      <c r="D122" t="inlineStr"/>
      <c r="E122" s="5" t="n"/>
      <c r="F122" s="5" t="n"/>
      <c r="H122" s="5" t="n">
        <v>1</v>
      </c>
      <c r="I122" s="5" t="n">
        <v>1</v>
      </c>
      <c r="J122" s="5" t="n">
        <v>1</v>
      </c>
      <c r="W122" s="5" t="n"/>
    </row>
    <row r="123">
      <c r="A123" t="inlineStr">
        <is>
          <t>d2k</t>
        </is>
      </c>
      <c r="B123" t="inlineStr">
        <is>
          <t>ixian_promotion_unlockneocymek</t>
        </is>
      </c>
      <c r="C123" t="inlineStr">
        <is>
          <t>Unlock Neo Cymek</t>
        </is>
      </c>
      <c r="D123" t="inlineStr"/>
      <c r="E123" s="5" t="n"/>
      <c r="F123" s="5" t="n"/>
      <c r="H123" s="5" t="n">
        <v>1</v>
      </c>
      <c r="I123" s="5" t="n">
        <v>1</v>
      </c>
      <c r="J123" s="5" t="n">
        <v>1</v>
      </c>
      <c r="W123" s="5" t="n"/>
    </row>
    <row r="124">
      <c r="A124" t="inlineStr">
        <is>
          <t>d2k</t>
        </is>
      </c>
      <c r="B124" t="inlineStr">
        <is>
          <t>ixian_promotion_unlockrashidan</t>
        </is>
      </c>
      <c r="C124" t="inlineStr">
        <is>
          <t>Unlock Rashidan</t>
        </is>
      </c>
      <c r="D124" t="inlineStr"/>
      <c r="E124" s="5" t="n"/>
      <c r="F124" s="5" t="n"/>
      <c r="H124" s="5" t="n">
        <v>1</v>
      </c>
      <c r="I124" s="5" t="n">
        <v>1</v>
      </c>
      <c r="J124" s="5" t="n">
        <v>1</v>
      </c>
      <c r="W124" s="5" t="n"/>
    </row>
    <row r="125">
      <c r="A125" t="inlineStr">
        <is>
          <t>d2k</t>
        </is>
      </c>
      <c r="B125" t="inlineStr">
        <is>
          <t>ixian_promotion_unlockstorminfantry</t>
        </is>
      </c>
      <c r="C125" t="inlineStr">
        <is>
          <t>Unlock Storm Infantry</t>
        </is>
      </c>
      <c r="D125" t="inlineStr"/>
      <c r="E125" s="5" t="n"/>
      <c r="F125" s="5" t="n"/>
      <c r="H125" s="5" t="n">
        <v>1</v>
      </c>
      <c r="I125" s="5" t="n">
        <v>1</v>
      </c>
      <c r="J125" s="5" t="n">
        <v>1</v>
      </c>
      <c r="W125" s="5" t="n"/>
    </row>
    <row r="126">
      <c r="A126" t="inlineStr">
        <is>
          <t>d2k</t>
        </is>
      </c>
      <c r="B126" t="inlineStr">
        <is>
          <t>ixian_promotion_unlockstormlasher</t>
        </is>
      </c>
      <c r="C126" t="inlineStr">
        <is>
          <t>Unlock Storm Lasher</t>
        </is>
      </c>
      <c r="D126" t="inlineStr"/>
      <c r="E126" s="5" t="n"/>
      <c r="F126" s="5" t="n"/>
      <c r="H126" s="5" t="n">
        <v>1</v>
      </c>
      <c r="I126" s="5" t="n">
        <v>1</v>
      </c>
      <c r="J126" s="5" t="n">
        <v>1</v>
      </c>
      <c r="W126" s="5" t="n"/>
    </row>
    <row r="127">
      <c r="A127" t="inlineStr">
        <is>
          <t>d2k</t>
        </is>
      </c>
      <c r="B127" t="inlineStr">
        <is>
          <t>ixian_promotion_unlockstormraider</t>
        </is>
      </c>
      <c r="C127" t="inlineStr">
        <is>
          <t>Unlock Storm Raider</t>
        </is>
      </c>
      <c r="D127" t="inlineStr"/>
      <c r="E127" s="5" t="n"/>
      <c r="F127" s="5" t="n"/>
      <c r="H127" s="5" t="n">
        <v>1</v>
      </c>
      <c r="I127" s="5" t="n">
        <v>1</v>
      </c>
      <c r="J127" s="5" t="n">
        <v>1</v>
      </c>
      <c r="W127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128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d2k</t>
        </is>
      </c>
      <c r="B3" t="inlineStr">
        <is>
          <t>ordos_antiairtrooper</t>
        </is>
      </c>
      <c r="C3" t="inlineStr">
        <is>
          <t>Anti Air Trooper</t>
        </is>
      </c>
      <c r="D3" t="inlineStr"/>
      <c r="E3" s="5" t="n">
        <v>15000</v>
      </c>
      <c r="F3" s="5" t="n">
        <v>45</v>
      </c>
      <c r="G3" t="inlineStr">
        <is>
          <t>Flak</t>
        </is>
      </c>
      <c r="H3" s="5" t="n">
        <v>1</v>
      </c>
      <c r="I3" s="5" t="n">
        <v>1</v>
      </c>
      <c r="J3" s="5" t="n">
        <v>1</v>
      </c>
      <c r="O3">
        <f>MAX(O4,O5)</f>
        <v/>
      </c>
      <c r="R3">
        <f>R4+R5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450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D2K_Rocket_Trooper_AAPowered</t>
        </is>
      </c>
      <c r="C4" s="6" t="inlineStr">
        <is>
          <t>Armament</t>
        </is>
      </c>
      <c r="K4" s="5" t="n">
        <v>10000</v>
      </c>
      <c r="L4" s="5" t="n">
        <v>75</v>
      </c>
      <c r="M4" s="5" t="n">
        <v>1</v>
      </c>
      <c r="N4" s="5" t="n"/>
      <c r="O4" s="5" t="n">
        <v>9716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^LightMissile, ^FlakWeapon, ^D2KRocket</t>
        </is>
      </c>
    </row>
    <row r="5">
      <c r="B5" s="6" t="inlineStr">
        <is>
          <t xml:space="preserve">  ↳ D2K_Rocket_Trooper_AGOnly</t>
        </is>
      </c>
      <c r="C5" s="6" t="inlineStr">
        <is>
          <t>Armament@SECONDARY</t>
        </is>
      </c>
      <c r="K5" s="5" t="n">
        <v>10000</v>
      </c>
      <c r="L5" s="5" t="n">
        <v>50</v>
      </c>
      <c r="M5" s="5" t="n">
        <v>1</v>
      </c>
      <c r="N5" s="5" t="n"/>
      <c r="O5" s="5" t="n">
        <v>6252</v>
      </c>
      <c r="P5" s="5" t="n">
        <v>1</v>
      </c>
      <c r="Q5">
        <f>L5+IF(M5&gt;1,N(N5)*(M5-1),0)</f>
        <v/>
      </c>
      <c r="R5">
        <f>IFERROR(K5*MAX(M5,1)/Q5*P5,0)</f>
        <v/>
      </c>
      <c r="AA5" s="6" t="inlineStr">
        <is>
          <t>^Grenade, ^RailgunWeapon, ^D2K_Cannon</t>
        </is>
      </c>
    </row>
    <row r="6">
      <c r="B6" s="6" t="inlineStr">
        <is>
          <t xml:space="preserve">  ↳ D2K_Rocket_Trooper_AAPowered</t>
        </is>
      </c>
      <c r="C6" s="6" t="inlineStr">
        <is>
          <t>Armament@garrisoned</t>
        </is>
      </c>
      <c r="K6" s="5" t="n">
        <v>10000</v>
      </c>
      <c r="L6" s="5" t="n">
        <v>75</v>
      </c>
      <c r="M6" s="5" t="n">
        <v>1</v>
      </c>
      <c r="N6" s="5" t="n"/>
      <c r="O6" s="5" t="n">
        <v>9716</v>
      </c>
      <c r="P6" s="5" t="n">
        <v>1</v>
      </c>
      <c r="Q6">
        <f>L6+IF(M6&gt;1,N(N6)*(M6-1),0)</f>
        <v/>
      </c>
      <c r="R6">
        <f>IFERROR(K6*MAX(M6,1)/Q6*P6,0)</f>
        <v/>
      </c>
      <c r="AA6" s="6" t="inlineStr">
        <is>
          <t>^LightMissile, ^FlakWeapon, ^D2KRocket</t>
        </is>
      </c>
    </row>
    <row r="7">
      <c r="B7" s="6" t="inlineStr">
        <is>
          <t xml:space="preserve">  ↳ D2K_Rocket_Trooper_AGOnly</t>
        </is>
      </c>
      <c r="C7" s="6" t="inlineStr">
        <is>
          <t>Armament@SECONDARYgarrisoned</t>
        </is>
      </c>
      <c r="K7" s="5" t="n">
        <v>10000</v>
      </c>
      <c r="L7" s="5" t="n">
        <v>50</v>
      </c>
      <c r="M7" s="5" t="n">
        <v>1</v>
      </c>
      <c r="N7" s="5" t="n"/>
      <c r="O7" s="5" t="n">
        <v>6252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^Grenade, ^RailgunWeapon, ^D2K_Cannon</t>
        </is>
      </c>
    </row>
    <row r="8">
      <c r="A8" t="inlineStr">
        <is>
          <t>d2k</t>
        </is>
      </c>
      <c r="B8" t="inlineStr">
        <is>
          <t>ordos_chemicaltrooper</t>
        </is>
      </c>
      <c r="C8" t="inlineStr">
        <is>
          <t>Ordos Chemical Trooper</t>
        </is>
      </c>
      <c r="D8" t="inlineStr"/>
      <c r="E8" s="5" t="n">
        <v>30000</v>
      </c>
      <c r="F8" s="5" t="n">
        <v>45</v>
      </c>
      <c r="G8" t="inlineStr">
        <is>
          <t>Plate</t>
        </is>
      </c>
      <c r="H8" s="5" t="n">
        <v>1</v>
      </c>
      <c r="I8" s="5" t="n">
        <v>0.8</v>
      </c>
      <c r="J8" s="5" t="n">
        <v>1</v>
      </c>
      <c r="O8">
        <f>MAX(O9)</f>
        <v/>
      </c>
      <c r="R8">
        <f>R9</f>
        <v/>
      </c>
      <c r="S8">
        <f>(E8/100000+F8/100+(O8/1000)*J8/5+R8/200)*200*I8*H8</f>
        <v/>
      </c>
      <c r="T8">
        <f>((E8*F8/25000)+((O8/1000)*J8*R8/2.5))*I8*H8</f>
        <v/>
      </c>
      <c r="U8">
        <f>(E8*F8*(O8/1000)*J8*R8*I8*H8)/12500000</f>
        <v/>
      </c>
      <c r="V8">
        <f>(S8+T8+U8)/3</f>
        <v/>
      </c>
      <c r="W8" s="5" t="n">
        <v>400</v>
      </c>
      <c r="X8">
        <f>IFERROR(V8-W8,"")</f>
        <v/>
      </c>
      <c r="Y8">
        <f>IFERROR(ABS(X8)/MAX(W8,1),"")</f>
        <v/>
      </c>
      <c r="Z8">
        <f>IFERROR((W8-(((E8/100000+F8/100+R8/200)*200*I8*H8)+((E8*F8/25000)*I8*H8))/3)/(((J8/5)*200*I8*H8)+((J8*R8/2.5)*I8*H8)+((E8*F8*J8*R8*I8*H8)/12500000))/3*1000,"")</f>
        <v/>
      </c>
    </row>
    <row r="9">
      <c r="B9" s="6" t="inlineStr">
        <is>
          <t xml:space="preserve">  ↳ d2k_chemgun</t>
        </is>
      </c>
      <c r="C9" s="6" t="inlineStr">
        <is>
          <t>Armament@PRIMARY</t>
        </is>
      </c>
      <c r="K9" s="5" t="n">
        <v>30000</v>
      </c>
      <c r="L9" s="5" t="n">
        <v>75</v>
      </c>
      <c r="M9" s="5" t="n">
        <v>1</v>
      </c>
      <c r="N9" s="5" t="n"/>
      <c r="O9" s="5" t="n">
        <v>5177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>
        <is>
          <t>^LightChemicalWeapon</t>
        </is>
      </c>
    </row>
    <row r="10">
      <c r="B10" s="6" t="inlineStr">
        <is>
          <t xml:space="preserve">  ↳ d2k_chemgun</t>
        </is>
      </c>
      <c r="C10" s="6" t="inlineStr">
        <is>
          <t>Armament@GARRISONED</t>
        </is>
      </c>
      <c r="K10" s="5" t="n">
        <v>30000</v>
      </c>
      <c r="L10" s="5" t="n">
        <v>75</v>
      </c>
      <c r="M10" s="5" t="n">
        <v>1</v>
      </c>
      <c r="N10" s="5" t="n"/>
      <c r="O10" s="5" t="n">
        <v>5177</v>
      </c>
      <c r="P10" s="5" t="n">
        <v>1</v>
      </c>
      <c r="Q10">
        <f>L10+IF(M10&gt;1,N(N10)*(M10-1),0)</f>
        <v/>
      </c>
      <c r="R10">
        <f>IFERROR(K10*MAX(M10,1)/Q10*P10,0)</f>
        <v/>
      </c>
      <c r="AA10" s="6" t="inlineStr">
        <is>
          <t>^LightChemicalWeapon</t>
        </is>
      </c>
    </row>
    <row r="11">
      <c r="A11" t="inlineStr">
        <is>
          <t>d2k</t>
        </is>
      </c>
      <c r="B11" t="inlineStr">
        <is>
          <t>ordos_contaminator</t>
        </is>
      </c>
      <c r="C11" t="inlineStr">
        <is>
          <t>Contaminator</t>
        </is>
      </c>
      <c r="D11" t="inlineStr"/>
      <c r="E11" s="5" t="n">
        <v>75000</v>
      </c>
      <c r="F11" s="5" t="n">
        <v>60</v>
      </c>
      <c r="G11" t="inlineStr">
        <is>
          <t>Plate</t>
        </is>
      </c>
      <c r="H11" s="5" t="n">
        <v>1</v>
      </c>
      <c r="I11" s="5" t="n">
        <v>0.75</v>
      </c>
      <c r="J11" s="5" t="n">
        <v>1.25</v>
      </c>
      <c r="O11">
        <f>MAX(O12)</f>
        <v/>
      </c>
      <c r="R11">
        <f>R12</f>
        <v/>
      </c>
      <c r="S11">
        <f>(E11/100000+F11/100+(O11/1000)*J11/5+R11/200)*200*I11*H11</f>
        <v/>
      </c>
      <c r="T11">
        <f>((E11*F11/25000)+((O11/1000)*J11*R11/2.5))*I11*H11</f>
        <v/>
      </c>
      <c r="U11">
        <f>(E11*F11*(O11/1000)*J11*R11*I11*H11)/12500000</f>
        <v/>
      </c>
      <c r="V11">
        <f>(S11+T11+U11)/3</f>
        <v/>
      </c>
      <c r="W11" s="5" t="n">
        <v>500</v>
      </c>
      <c r="X11">
        <f>IFERROR(V11-W11,"")</f>
        <v/>
      </c>
      <c r="Y11">
        <f>IFERROR(ABS(X11)/MAX(W11,1),"")</f>
        <v/>
      </c>
      <c r="Z11">
        <f>IFERROR((W11-(((E11/100000+F11/100+R11/200)*200*I11*H11)+((E11*F11/25000)*I11*H11))/3)/(((J11/5)*200*I11*H11)+((J11*R11/2.5)*I11*H11)+((E11*F11*J11*R11*I11*H11)/12500000))/3*1000,"")</f>
        <v/>
      </c>
    </row>
    <row r="12">
      <c r="B12" s="6" t="inlineStr">
        <is>
          <t xml:space="preserve">  ↳ contaminator_attack</t>
        </is>
      </c>
      <c r="C12" s="6" t="inlineStr">
        <is>
          <t>Armament</t>
        </is>
      </c>
      <c r="K12" s="5" t="n">
        <v>10000</v>
      </c>
      <c r="L12" s="5" t="n">
        <v>20</v>
      </c>
      <c r="M12" s="5" t="n">
        <v>1</v>
      </c>
      <c r="N12" s="5" t="n"/>
      <c r="O12" s="5" t="n">
        <v>2000</v>
      </c>
      <c r="P12" s="5" t="n">
        <v>1</v>
      </c>
      <c r="Q12">
        <f>L12+IF(M12&gt;1,N(N12)*(M12-1),0)</f>
        <v/>
      </c>
      <c r="R12">
        <f>IFERROR(K12*MAX(M12,1)/Q12*P12,0)</f>
        <v/>
      </c>
      <c r="AA12" s="6" t="inlineStr">
        <is>
          <t>^SwordWeapon</t>
        </is>
      </c>
    </row>
    <row r="13">
      <c r="B13" s="6" t="inlineStr">
        <is>
          <t xml:space="preserve">  ↳ contaminator_attack</t>
        </is>
      </c>
      <c r="C13" s="6" t="inlineStr">
        <is>
          <t>Armament@GARRISONED</t>
        </is>
      </c>
      <c r="K13" s="5" t="n">
        <v>10000</v>
      </c>
      <c r="L13" s="5" t="n">
        <v>20</v>
      </c>
      <c r="M13" s="5" t="n">
        <v>1</v>
      </c>
      <c r="N13" s="5" t="n"/>
      <c r="O13" s="5" t="n">
        <v>2000</v>
      </c>
      <c r="P13" s="5" t="n">
        <v>1</v>
      </c>
      <c r="Q13">
        <f>L13+IF(M13&gt;1,N(N13)*(M13-1),0)</f>
        <v/>
      </c>
      <c r="R13">
        <f>IFERROR(K13*MAX(M13,1)/Q13*P13,0)</f>
        <v/>
      </c>
      <c r="AA13" s="6" t="inlineStr">
        <is>
          <t>^SwordWeapon</t>
        </is>
      </c>
    </row>
    <row r="14">
      <c r="A14" t="inlineStr">
        <is>
          <t>d2k</t>
        </is>
      </c>
      <c r="B14" t="inlineStr">
        <is>
          <t>ordos_facedancer</t>
        </is>
      </c>
      <c r="C14" t="inlineStr">
        <is>
          <t>Face Dancer</t>
        </is>
      </c>
      <c r="D14" t="inlineStr"/>
      <c r="E14" s="5" t="n">
        <v>90000</v>
      </c>
      <c r="F14" s="5" t="n">
        <v>75</v>
      </c>
      <c r="G14" t="inlineStr">
        <is>
          <t>Heroic</t>
        </is>
      </c>
      <c r="H14" s="5" t="n">
        <v>0.75</v>
      </c>
      <c r="I14" s="5" t="n">
        <v>1</v>
      </c>
      <c r="J14" s="5" t="n">
        <v>1.25</v>
      </c>
      <c r="O14">
        <f>MAX(O15)</f>
        <v/>
      </c>
      <c r="R14">
        <f>R15</f>
        <v/>
      </c>
      <c r="S14">
        <f>(E14/100000+F14/100+(O14/1000)*J14/5+R14/200)*200*I14*H14</f>
        <v/>
      </c>
      <c r="T14">
        <f>((E14*F14/25000)+((O14/1000)*J14*R14/2.5))*I14*H14</f>
        <v/>
      </c>
      <c r="U14">
        <f>(E14*F14*(O14/1000)*J14*R14*I14*H14)/12500000</f>
        <v/>
      </c>
      <c r="V14">
        <f>(S14+T14+U14)/3</f>
        <v/>
      </c>
      <c r="W14" s="5" t="n">
        <v>5000</v>
      </c>
      <c r="X14">
        <f>IFERROR(V14-W14,"")</f>
        <v/>
      </c>
      <c r="Y14">
        <f>IFERROR(ABS(X14)/MAX(W14,1),"")</f>
        <v/>
      </c>
      <c r="Z14">
        <f>IFERROR((W14-(((E14/100000+F14/100+R14/200)*200*I14*H14)+((E14*F14/25000)*I14*H14))/3)/(((J14/5)*200*I14*H14)+((J14*R14/2.5)*I14*H14)+((E14*F14*J14*R14*I14*H14)/12500000))/3*1000,"")</f>
        <v/>
      </c>
    </row>
    <row r="15">
      <c r="B15" s="6" t="inlineStr">
        <is>
          <t xml:space="preserve">  ↳ facedancer_grenade</t>
        </is>
      </c>
      <c r="C15" s="6" t="inlineStr">
        <is>
          <t>Armament</t>
        </is>
      </c>
      <c r="K15" s="5" t="n">
        <v>20000</v>
      </c>
      <c r="L15" s="5" t="n">
        <v>90</v>
      </c>
      <c r="M15" s="5" t="n">
        <v>1</v>
      </c>
      <c r="N15" s="5" t="n"/>
      <c r="O15" s="5" t="n">
        <v>7250</v>
      </c>
      <c r="P15" s="5" t="n">
        <v>1</v>
      </c>
      <c r="Q15">
        <f>L15+IF(M15&gt;1,N(N15)*(M15-1),0)</f>
        <v/>
      </c>
      <c r="R15">
        <f>IFERROR(K15*MAX(M15,1)/Q15*P15,0)</f>
        <v/>
      </c>
      <c r="AA15" s="6" t="inlineStr">
        <is>
          <t>^LightFlameWeapon, ^MediumChemicalWeapon, ^HeavyBomb, ^Grenade, ^ShrapnelWeapon, ^HeavyCannon, ^LightMissile, ^MediumMissile, ^D2KMissile</t>
        </is>
      </c>
    </row>
    <row r="16">
      <c r="B16" s="6" t="inlineStr">
        <is>
          <t xml:space="preserve">  ↳ facedancer_grenade</t>
        </is>
      </c>
      <c r="C16" s="6" t="inlineStr">
        <is>
          <t>Armament@GARRISONED</t>
        </is>
      </c>
      <c r="K16" s="5" t="n">
        <v>20000</v>
      </c>
      <c r="L16" s="5" t="n">
        <v>90</v>
      </c>
      <c r="M16" s="5" t="n">
        <v>1</v>
      </c>
      <c r="N16" s="5" t="n"/>
      <c r="O16" s="5" t="n">
        <v>7250</v>
      </c>
      <c r="P16" s="5" t="n">
        <v>1</v>
      </c>
      <c r="Q16">
        <f>L16+IF(M16&gt;1,N(N16)*(M16-1),0)</f>
        <v/>
      </c>
      <c r="R16">
        <f>IFERROR(K16*MAX(M16,1)/Q16*P16,0)</f>
        <v/>
      </c>
      <c r="AA16" s="6" t="inlineStr">
        <is>
          <t>^LightFlameWeapon, ^MediumChemicalWeapon, ^HeavyBomb, ^Grenade, ^ShrapnelWeapon, ^HeavyCannon, ^LightMissile, ^MediumMissile, ^D2KMissile</t>
        </is>
      </c>
    </row>
    <row r="17">
      <c r="A17" t="inlineStr">
        <is>
          <t>d2k</t>
        </is>
      </c>
      <c r="B17" t="inlineStr">
        <is>
          <t>ordos_leech</t>
        </is>
      </c>
      <c r="C17" t="inlineStr">
        <is>
          <t>Leech</t>
        </is>
      </c>
      <c r="D17" t="inlineStr"/>
      <c r="E17" s="5" t="n">
        <v>50000</v>
      </c>
      <c r="F17" s="5" t="n">
        <v>150</v>
      </c>
      <c r="G17" t="inlineStr">
        <is>
          <t>Scout</t>
        </is>
      </c>
      <c r="H17" s="5" t="n">
        <v>1</v>
      </c>
      <c r="I17" s="5" t="n">
        <v>1</v>
      </c>
      <c r="J17" s="5" t="n">
        <v>1</v>
      </c>
      <c r="O17">
        <f>MAX(O18)</f>
        <v/>
      </c>
      <c r="R17">
        <f>R18</f>
        <v/>
      </c>
      <c r="S17">
        <f>(E17/100000+F17/100+(O17/1000)*J17/5+R17/200)*200*I17*H17</f>
        <v/>
      </c>
      <c r="T17">
        <f>((E17*F17/25000)+((O17/1000)*J17*R17/2.5))*I17*H17</f>
        <v/>
      </c>
      <c r="U17">
        <f>(E17*F17*(O17/1000)*J17*R17*I17*H17)/12500000</f>
        <v/>
      </c>
      <c r="V17">
        <f>(S17+T17+U17)/3</f>
        <v/>
      </c>
      <c r="W17" s="5" t="n">
        <v>1100</v>
      </c>
      <c r="X17">
        <f>IFERROR(V17-W17,"")</f>
        <v/>
      </c>
      <c r="Y17">
        <f>IFERROR(ABS(X17)/MAX(W17,1),"")</f>
        <v/>
      </c>
      <c r="Z17">
        <f>IFERROR((W17-(((E17/100000+F17/100+R17/200)*200*I17*H17)+((E17*F17/25000)*I17*H17))/3)/(((J17/5)*200*I17*H17)+((J17*R17/2.5)*I17*H17)+((E17*F17*J17*R17*I17*H17)/12500000))/3*1000,"")</f>
        <v/>
      </c>
    </row>
    <row r="18">
      <c r="B18" s="6" t="inlineStr">
        <is>
          <t xml:space="preserve">  ↳ LeechJump</t>
        </is>
      </c>
      <c r="C18" s="6" t="inlineStr">
        <is>
          <t>Armament@PRIMARY</t>
        </is>
      </c>
      <c r="K18" s="5" t="n">
        <v>100000</v>
      </c>
      <c r="L18" s="5" t="n">
        <v>30</v>
      </c>
      <c r="M18" s="5" t="n">
        <v>1</v>
      </c>
      <c r="N18" s="5" t="n"/>
      <c r="O18" s="5" t="n">
        <v>3000</v>
      </c>
      <c r="P18" s="5" t="n">
        <v>1</v>
      </c>
      <c r="Q18">
        <f>L18+IF(M18&gt;1,N(N18)*(M18-1),0)</f>
        <v/>
      </c>
      <c r="R18">
        <f>IFERROR(K18*MAX(M18,1)/Q18*P18,0)</f>
        <v/>
      </c>
      <c r="AA18" s="6" t="inlineStr"/>
    </row>
    <row r="19">
      <c r="A19" t="inlineStr">
        <is>
          <t>d2k</t>
        </is>
      </c>
      <c r="B19" t="inlineStr">
        <is>
          <t>ordos_lightinfantry</t>
        </is>
      </c>
      <c r="C19" t="inlineStr">
        <is>
          <t>Ordos Light Infantry</t>
        </is>
      </c>
      <c r="D19" t="inlineStr"/>
      <c r="E19" s="5" t="n">
        <v>36000</v>
      </c>
      <c r="F19" s="5" t="n">
        <v>52</v>
      </c>
      <c r="G19" t="inlineStr">
        <is>
          <t>None</t>
        </is>
      </c>
      <c r="H19" s="5" t="n">
        <v>1</v>
      </c>
      <c r="I19" s="5" t="n">
        <v>1</v>
      </c>
      <c r="J19" s="5" t="n">
        <v>1</v>
      </c>
      <c r="O19">
        <f>MAX(O20,O21)</f>
        <v/>
      </c>
      <c r="R19">
        <f>R20+R21</f>
        <v/>
      </c>
      <c r="S19">
        <f>(E19/100000+F19/100+(O19/1000)*J19/5+R19/200)*200*I19*H19</f>
        <v/>
      </c>
      <c r="T19">
        <f>((E19*F19/25000)+((O19/1000)*J19*R19/2.5))*I19*H19</f>
        <v/>
      </c>
      <c r="U19">
        <f>(E19*F19*(O19/1000)*J19*R19*I19*H19)/12500000</f>
        <v/>
      </c>
      <c r="V19">
        <f>(S19+T19+U19)/3</f>
        <v/>
      </c>
      <c r="W19" s="5" t="n">
        <v>150</v>
      </c>
      <c r="X19">
        <f>IFERROR(V19-W19,"")</f>
        <v/>
      </c>
      <c r="Y19">
        <f>IFERROR(ABS(X19)/MAX(W19,1),"")</f>
        <v/>
      </c>
      <c r="Z19">
        <f>IFERROR((W19-(((E19/100000+F19/100+R19/200)*200*I19*H19)+((E19*F19/25000)*I19*H19))/3)/(((J19/5)*200*I19*H19)+((J19*R19/2.5)*I19*H19)+((E19*F19*J19*R19*I19*H19)/12500000))/3*1000,"")</f>
        <v/>
      </c>
    </row>
    <row r="20">
      <c r="B20" s="6" t="inlineStr">
        <is>
          <t xml:space="preserve">  ↳ light_inf_lmg</t>
        </is>
      </c>
      <c r="C20" s="6" t="inlineStr">
        <is>
          <t>Armament@PRIMARY</t>
        </is>
      </c>
      <c r="K20" s="5" t="n">
        <v>2000</v>
      </c>
      <c r="L20" s="5" t="n">
        <v>20</v>
      </c>
      <c r="M20" s="5" t="n">
        <v>1</v>
      </c>
      <c r="N20" s="5" t="n"/>
      <c r="O20" s="5" t="n">
        <v>4500</v>
      </c>
      <c r="P20" s="5" t="n">
        <v>1</v>
      </c>
      <c r="Q20">
        <f>L20+IF(M20&gt;1,N(N20)*(M20-1),0)</f>
        <v/>
      </c>
      <c r="R20">
        <f>IFERROR(K20*MAX(M20,1)/Q20*P20,0)</f>
        <v/>
      </c>
      <c r="AA20" s="6" t="inlineStr">
        <is>
          <t>^Chaingun, ^SmallArms</t>
        </is>
      </c>
    </row>
    <row r="21">
      <c r="B21" s="6" t="inlineStr">
        <is>
          <t xml:space="preserve">  ↳ light_inf_lmg_ordos_upgrade</t>
        </is>
      </c>
      <c r="C21" s="6" t="inlineStr">
        <is>
          <t>Armament@Upgrade</t>
        </is>
      </c>
      <c r="K21" s="5" t="n">
        <v>2000</v>
      </c>
      <c r="L21" s="5" t="n">
        <v>20</v>
      </c>
      <c r="M21" s="5" t="n">
        <v>1</v>
      </c>
      <c r="N21" s="5" t="n"/>
      <c r="O21" s="5" t="n">
        <v>4500</v>
      </c>
      <c r="P21" s="5" t="n">
        <v>1</v>
      </c>
      <c r="Q21">
        <f>L21+IF(M21&gt;1,N(N21)*(M21-1),0)</f>
        <v/>
      </c>
      <c r="R21">
        <f>IFERROR(K21*MAX(M21,1)/Q21*P21,0)</f>
        <v/>
      </c>
      <c r="AA21" s="6" t="inlineStr">
        <is>
          <t>^LaserWeapon, ^Chaingun, ^SmallArms</t>
        </is>
      </c>
    </row>
    <row r="22">
      <c r="B22" s="6" t="inlineStr">
        <is>
          <t xml:space="preserve">  ↳ light_inf_lmg</t>
        </is>
      </c>
      <c r="C22" s="6" t="inlineStr">
        <is>
          <t>Armament@GARRISONED</t>
        </is>
      </c>
      <c r="K22" s="5" t="n">
        <v>2000</v>
      </c>
      <c r="L22" s="5" t="n">
        <v>20</v>
      </c>
      <c r="M22" s="5" t="n">
        <v>1</v>
      </c>
      <c r="N22" s="5" t="n"/>
      <c r="O22" s="5" t="n">
        <v>4500</v>
      </c>
      <c r="P22" s="5" t="n">
        <v>1</v>
      </c>
      <c r="Q22">
        <f>L22+IF(M22&gt;1,N(N22)*(M22-1),0)</f>
        <v/>
      </c>
      <c r="R22">
        <f>IFERROR(K22*MAX(M22,1)/Q22*P22,0)</f>
        <v/>
      </c>
      <c r="AA22" s="6" t="inlineStr">
        <is>
          <t>^Chaingun, ^SmallArms</t>
        </is>
      </c>
    </row>
    <row r="23">
      <c r="B23" s="6" t="inlineStr">
        <is>
          <t xml:space="preserve">  ↳ light_inf_lmg_ordos_upgrade</t>
        </is>
      </c>
      <c r="C23" s="6" t="inlineStr">
        <is>
          <t>Armament@UpgradeGARRISONED</t>
        </is>
      </c>
      <c r="K23" s="5" t="n">
        <v>2000</v>
      </c>
      <c r="L23" s="5" t="n">
        <v>20</v>
      </c>
      <c r="M23" s="5" t="n">
        <v>1</v>
      </c>
      <c r="N23" s="5" t="n"/>
      <c r="O23" s="5" t="n">
        <v>4500</v>
      </c>
      <c r="P23" s="5" t="n">
        <v>1</v>
      </c>
      <c r="Q23">
        <f>L23+IF(M23&gt;1,N(N23)*(M23-1),0)</f>
        <v/>
      </c>
      <c r="R23">
        <f>IFERROR(K23*MAX(M23,1)/Q23*P23,0)</f>
        <v/>
      </c>
      <c r="AA23" s="6" t="inlineStr">
        <is>
          <t>^LaserWeapon, ^Chaingun, ^SmallArms</t>
        </is>
      </c>
    </row>
    <row r="24">
      <c r="A24" t="inlineStr">
        <is>
          <t>d2k</t>
        </is>
      </c>
      <c r="B24" t="inlineStr">
        <is>
          <t>ordos_mortartrooper</t>
        </is>
      </c>
      <c r="C24" t="inlineStr">
        <is>
          <t>Ordos Mortar Trooper</t>
        </is>
      </c>
      <c r="D24" t="inlineStr"/>
      <c r="E24" s="5" t="n">
        <v>20000</v>
      </c>
      <c r="F24" s="5" t="n">
        <v>40</v>
      </c>
      <c r="G24" t="inlineStr">
        <is>
          <t>None</t>
        </is>
      </c>
      <c r="H24" s="5" t="n">
        <v>1</v>
      </c>
      <c r="I24" s="5" t="n">
        <v>0.6</v>
      </c>
      <c r="J24" s="5" t="n">
        <v>1</v>
      </c>
      <c r="O24">
        <f>MAX(O25)</f>
        <v/>
      </c>
      <c r="R24">
        <f>R25</f>
        <v/>
      </c>
      <c r="S24">
        <f>(E24/100000+F24/100+(O24/1000)*J24/5+R24/200)*200*I24*H24</f>
        <v/>
      </c>
      <c r="T24">
        <f>((E24*F24/25000)+((O24/1000)*J24*R24/2.5))*I24*H24</f>
        <v/>
      </c>
      <c r="U24">
        <f>(E24*F24*(O24/1000)*J24*R24*I24*H24)/12500000</f>
        <v/>
      </c>
      <c r="V24">
        <f>(S24+T24+U24)/3</f>
        <v/>
      </c>
      <c r="W24" s="5" t="n">
        <v>600</v>
      </c>
      <c r="X24">
        <f>IFERROR(V24-W24,"")</f>
        <v/>
      </c>
      <c r="Y24">
        <f>IFERROR(ABS(X24)/MAX(W24,1),"")</f>
        <v/>
      </c>
      <c r="Z24">
        <f>IFERROR((W24-(((E24/100000+F24/100+R24/200)*200*I24*H24)+((E24*F24/25000)*I24*H24))/3)/(((J24/5)*200*I24*H24)+((J24*R24/2.5)*I24*H24)+((E24*F24*J24*R24*I24*H24)/12500000))/3*1000,"")</f>
        <v/>
      </c>
    </row>
    <row r="25">
      <c r="B25" s="6" t="inlineStr">
        <is>
          <t xml:space="preserve">  ↳ Dune_SiegeMortar</t>
        </is>
      </c>
      <c r="C25" s="6" t="inlineStr">
        <is>
          <t>Armament</t>
        </is>
      </c>
      <c r="K25" s="5" t="n">
        <v>10000</v>
      </c>
      <c r="L25" s="5" t="n">
        <v>80</v>
      </c>
      <c r="M25" s="5" t="n">
        <v>1</v>
      </c>
      <c r="N25" s="5" t="n"/>
      <c r="O25" s="5" t="n">
        <v>9920</v>
      </c>
      <c r="P25" s="5" t="n">
        <v>1</v>
      </c>
      <c r="Q25">
        <f>L25+IF(M25&gt;1,N(N25)*(M25-1),0)</f>
        <v/>
      </c>
      <c r="R25">
        <f>IFERROR(K25*MAX(M25,1)/Q25*P25,0)</f>
        <v/>
      </c>
      <c r="AA25" s="6" t="inlineStr">
        <is>
          <t>^ShrapnelWeapon, ^Grenade, ^D2K_Cannon, ^TankDestroyerCannon</t>
        </is>
      </c>
    </row>
    <row r="26">
      <c r="B26" s="6" t="inlineStr">
        <is>
          <t xml:space="preserve">  ↳ Dune_SiegeMortar</t>
        </is>
      </c>
      <c r="C26" s="6" t="inlineStr">
        <is>
          <t>Armament@garrisoned</t>
        </is>
      </c>
      <c r="K26" s="5" t="n">
        <v>10000</v>
      </c>
      <c r="L26" s="5" t="n">
        <v>80</v>
      </c>
      <c r="M26" s="5" t="n">
        <v>1</v>
      </c>
      <c r="N26" s="5" t="n"/>
      <c r="O26" s="5" t="n">
        <v>9920</v>
      </c>
      <c r="P26" s="5" t="n">
        <v>1</v>
      </c>
      <c r="Q26">
        <f>L26+IF(M26&gt;1,N(N26)*(M26-1),0)</f>
        <v/>
      </c>
      <c r="R26">
        <f>IFERROR(K26*MAX(M26,1)/Q26*P26,0)</f>
        <v/>
      </c>
      <c r="AA26" s="6" t="inlineStr">
        <is>
          <t>^ShrapnelWeapon, ^Grenade, ^D2K_Cannon, ^TankDestroyerCannon</t>
        </is>
      </c>
    </row>
    <row r="27">
      <c r="A27" t="inlineStr">
        <is>
          <t>d2k</t>
        </is>
      </c>
      <c r="B27" t="inlineStr">
        <is>
          <t>ordos_rockettrooper</t>
        </is>
      </c>
      <c r="C27" t="inlineStr">
        <is>
          <t>Ordos Rocket Trooper</t>
        </is>
      </c>
      <c r="D27" t="inlineStr"/>
      <c r="E27" s="5" t="n">
        <v>12000</v>
      </c>
      <c r="F27" s="5" t="n">
        <v>48</v>
      </c>
      <c r="G27" t="inlineStr">
        <is>
          <t>Flak</t>
        </is>
      </c>
      <c r="H27" s="5" t="n">
        <v>1</v>
      </c>
      <c r="I27" s="5" t="n">
        <v>1</v>
      </c>
      <c r="J27" s="5" t="n">
        <v>1</v>
      </c>
      <c r="O27">
        <f>MAX(O28)</f>
        <v/>
      </c>
      <c r="R27">
        <f>R28</f>
        <v/>
      </c>
      <c r="S27">
        <f>(E27/100000+F27/100+(O27/1000)*J27/5+R27/200)*200*I27*H27</f>
        <v/>
      </c>
      <c r="T27">
        <f>((E27*F27/25000)+((O27/1000)*J27*R27/2.5))*I27*H27</f>
        <v/>
      </c>
      <c r="U27">
        <f>(E27*F27*(O27/1000)*J27*R27*I27*H27)/12500000</f>
        <v/>
      </c>
      <c r="V27">
        <f>(S27+T27+U27)/3</f>
        <v/>
      </c>
      <c r="W27" s="5" t="n">
        <v>300</v>
      </c>
      <c r="X27">
        <f>IFERROR(V27-W27,"")</f>
        <v/>
      </c>
      <c r="Y27">
        <f>IFERROR(ABS(X27)/MAX(W27,1),"")</f>
        <v/>
      </c>
      <c r="Z27">
        <f>IFERROR((W27-(((E27/100000+F27/100+R27/200)*200*I27*H27)+((E27*F27/25000)*I27*H27))/3)/(((J27/5)*200*I27*H27)+((J27*R27/2.5)*I27*H27)+((E27*F27*J27*R27*I27*H27)/12500000))/3*1000,"")</f>
        <v/>
      </c>
    </row>
    <row r="28">
      <c r="B28" s="6" t="inlineStr">
        <is>
          <t xml:space="preserve">  ↳ D2K_Rocket_Trooper</t>
        </is>
      </c>
      <c r="C28" s="6" t="inlineStr">
        <is>
          <t>Armament</t>
        </is>
      </c>
      <c r="K28" s="5" t="n">
        <v>8000</v>
      </c>
      <c r="L28" s="5" t="n">
        <v>64</v>
      </c>
      <c r="M28" s="5" t="n">
        <v>1</v>
      </c>
      <c r="N28" s="5" t="n"/>
      <c r="O28" s="5" t="n">
        <v>6185</v>
      </c>
      <c r="P28" s="5" t="n">
        <v>1</v>
      </c>
      <c r="Q28">
        <f>L28+IF(M28&gt;1,N(N28)*(M28-1),0)</f>
        <v/>
      </c>
      <c r="R28">
        <f>IFERROR(K28*MAX(M28,1)/Q28*P28,0)</f>
        <v/>
      </c>
      <c r="AA28" s="6" t="inlineStr">
        <is>
          <t>^LightMissile, ^MediumMissile, ^D2KRocket</t>
        </is>
      </c>
    </row>
    <row r="29">
      <c r="B29" s="6" t="inlineStr">
        <is>
          <t xml:space="preserve">  ↳ D2K_Rocket_Trooper</t>
        </is>
      </c>
      <c r="C29" s="6" t="inlineStr">
        <is>
          <t>Armament@garrisoned</t>
        </is>
      </c>
      <c r="K29" s="5" t="n">
        <v>8000</v>
      </c>
      <c r="L29" s="5" t="n">
        <v>64</v>
      </c>
      <c r="M29" s="5" t="n">
        <v>1</v>
      </c>
      <c r="N29" s="5" t="n"/>
      <c r="O29" s="5" t="n">
        <v>6185</v>
      </c>
      <c r="P29" s="5" t="n">
        <v>1</v>
      </c>
      <c r="Q29">
        <f>L29+IF(M29&gt;1,N(N29)*(M29-1),0)</f>
        <v/>
      </c>
      <c r="R29">
        <f>IFERROR(K29*MAX(M29,1)/Q29*P29,0)</f>
        <v/>
      </c>
      <c r="AA29" s="6" t="inlineStr">
        <is>
          <t>^LightMissile, ^MediumMissile, ^D2KRocket</t>
        </is>
      </c>
    </row>
    <row r="30">
      <c r="A30" t="inlineStr">
        <is>
          <t>d2k</t>
        </is>
      </c>
      <c r="B30" t="inlineStr">
        <is>
          <t>ordos_saboteur</t>
        </is>
      </c>
      <c r="C30" t="inlineStr">
        <is>
          <t>Saboteur</t>
        </is>
      </c>
      <c r="D30" t="inlineStr"/>
      <c r="E30" s="5" t="n">
        <v>12000</v>
      </c>
      <c r="F30" s="5" t="n">
        <v>100</v>
      </c>
      <c r="G30" t="inlineStr">
        <is>
          <t>None</t>
        </is>
      </c>
      <c r="H30" s="5" t="n">
        <v>1</v>
      </c>
      <c r="I30" s="5" t="n">
        <v>1</v>
      </c>
      <c r="J30" s="5" t="n">
        <v>1</v>
      </c>
      <c r="O30">
        <f>MAX(O31)</f>
        <v/>
      </c>
      <c r="R30">
        <f>R31</f>
        <v/>
      </c>
      <c r="S30">
        <f>(E30/100000+F30/100+(O30/1000)*J30/5+R30/200)*200*I30*H30</f>
        <v/>
      </c>
      <c r="T30">
        <f>((E30*F30/25000)+((O30/1000)*J30*R30/2.5))*I30*H30</f>
        <v/>
      </c>
      <c r="U30">
        <f>(E30*F30*(O30/1000)*J30*R30*I30*H30)/12500000</f>
        <v/>
      </c>
      <c r="V30">
        <f>(S30+T30+U30)/3</f>
        <v/>
      </c>
      <c r="W30" s="5" t="n">
        <v>300</v>
      </c>
      <c r="X30">
        <f>IFERROR(V30-W30,"")</f>
        <v/>
      </c>
      <c r="Y30">
        <f>IFERROR(ABS(X30)/MAX(W30,1),"")</f>
        <v/>
      </c>
      <c r="Z30">
        <f>IFERROR((W30-(((E30/100000+F30/100+R30/200)*200*I30*H30)+((E30*F30/25000)*I30*H30))/3)/(((J30/5)*200*I30*H30)+((J30*R30/2.5)*I30*H30)+((E30*F30*J30*R30*I30*H30)/12500000))/3*1000,"")</f>
        <v/>
      </c>
    </row>
    <row r="31">
      <c r="B31" s="6" t="inlineStr">
        <is>
          <t xml:space="preserve">  ↳ GenericC4</t>
        </is>
      </c>
      <c r="C31" s="6" t="inlineStr">
        <is>
          <t>Armament@c4</t>
        </is>
      </c>
      <c r="K31" s="5" t="n"/>
      <c r="L31" s="5" t="n">
        <v>20</v>
      </c>
      <c r="M31" s="5" t="n">
        <v>1</v>
      </c>
      <c r="N31" s="5" t="n"/>
      <c r="O31" s="5" t="n">
        <v>2000</v>
      </c>
      <c r="P31" s="5" t="n">
        <v>1</v>
      </c>
      <c r="Q31">
        <f>L31+IF(M31&gt;1,N(N31)*(M31-1),0)</f>
        <v/>
      </c>
      <c r="R31">
        <f>IFERROR(K31*MAX(M31,1)/Q31*P31,0)</f>
        <v/>
      </c>
      <c r="AA31" s="6" t="inlineStr"/>
    </row>
    <row r="32">
      <c r="A32" s="3" t="inlineStr">
        <is>
          <t>VEHICLES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>
      <c r="A33" t="inlineStr">
        <is>
          <t>d2k</t>
        </is>
      </c>
      <c r="B33" t="inlineStr">
        <is>
          <t>ordos_apc</t>
        </is>
      </c>
      <c r="C33" t="inlineStr">
        <is>
          <t>Ordos APC</t>
        </is>
      </c>
      <c r="D33" t="inlineStr"/>
      <c r="E33" s="5" t="n">
        <v>67500</v>
      </c>
      <c r="F33" s="5" t="n">
        <v>105</v>
      </c>
      <c r="G33" t="inlineStr">
        <is>
          <t>Medium</t>
        </is>
      </c>
      <c r="H33" s="5" t="n">
        <v>1</v>
      </c>
      <c r="I33" s="5" t="n">
        <v>1.25</v>
      </c>
      <c r="J33" s="5" t="n">
        <v>1</v>
      </c>
      <c r="O33">
        <f>MAX(O34)</f>
        <v/>
      </c>
      <c r="R33">
        <f>R34</f>
        <v/>
      </c>
      <c r="S33">
        <f>(E33/100000+F33/100+(O33/1000)*J33/5+R33/200)*200*I33*H33</f>
        <v/>
      </c>
      <c r="T33">
        <f>((E33*F33/25000)+((O33/1000)*J33*R33/2.5))*I33*H33</f>
        <v/>
      </c>
      <c r="U33">
        <f>(E33*F33*(O33/1000)*J33*R33*I33*H33)/12500000</f>
        <v/>
      </c>
      <c r="V33">
        <f>(S33+T33+U33)/3</f>
        <v/>
      </c>
      <c r="W33" s="5" t="n">
        <v>2100</v>
      </c>
      <c r="X33">
        <f>IFERROR(V33-W33,"")</f>
        <v/>
      </c>
      <c r="Y33">
        <f>IFERROR(ABS(X33)/MAX(W33,1),"")</f>
        <v/>
      </c>
      <c r="Z33">
        <f>IFERROR((W33-(((E33/100000+F33/100+R33/200)*200*I33*H33)+((E33*F33/25000)*I33*H33))/3)/(((J33/5)*200*I33*H33)+((J33*R33/2.5)*I33*H33)+((E33*F33*J33*R33*I33*H33)/12500000))/3*1000,"")</f>
        <v/>
      </c>
    </row>
    <row r="34">
      <c r="B34" s="6" t="inlineStr">
        <is>
          <t xml:space="preserve">  ↳ D2K_APC_Rocket</t>
        </is>
      </c>
      <c r="C34" s="6" t="inlineStr">
        <is>
          <t>Armament</t>
        </is>
      </c>
      <c r="K34" s="5" t="n">
        <v>8000</v>
      </c>
      <c r="L34" s="5" t="n">
        <v>42</v>
      </c>
      <c r="M34" s="5" t="n">
        <v>1</v>
      </c>
      <c r="N34" s="5" t="n"/>
      <c r="O34" s="5" t="n">
        <v>6500</v>
      </c>
      <c r="P34" s="5" t="n">
        <v>1</v>
      </c>
      <c r="Q34">
        <f>L34+IF(M34&gt;1,N(N34)*(M34-1),0)</f>
        <v/>
      </c>
      <c r="R34">
        <f>IFERROR(K34*MAX(M34,1)/Q34*P34,0)</f>
        <v/>
      </c>
      <c r="AA34" s="6" t="inlineStr">
        <is>
          <t>^LightMissile, ^MediumMissile, ^D2KRocket</t>
        </is>
      </c>
    </row>
    <row r="35">
      <c r="A35" t="inlineStr">
        <is>
          <t>d2k</t>
        </is>
      </c>
      <c r="B35" t="inlineStr">
        <is>
          <t>ordos_cobratank</t>
        </is>
      </c>
      <c r="C35" t="inlineStr">
        <is>
          <t>Cobra Tank</t>
        </is>
      </c>
      <c r="D35" t="inlineStr"/>
      <c r="E35" s="5" t="n">
        <v>45000</v>
      </c>
      <c r="F35" s="5" t="n">
        <v>45</v>
      </c>
      <c r="G35" t="inlineStr">
        <is>
          <t>Heavy</t>
        </is>
      </c>
      <c r="H35" s="5" t="n">
        <v>1</v>
      </c>
      <c r="I35" s="5" t="n">
        <v>1</v>
      </c>
      <c r="J35" s="5" t="n">
        <v>1</v>
      </c>
      <c r="O35">
        <f>MAX(O36,O37)</f>
        <v/>
      </c>
      <c r="R35">
        <f>R36+R37</f>
        <v/>
      </c>
      <c r="S35">
        <f>(E35/100000+F35/100+(O35/1000)*J35/5+R35/200)*200*I35*H35</f>
        <v/>
      </c>
      <c r="T35">
        <f>((E35*F35/25000)+((O35/1000)*J35*R35/2.5))*I35*H35</f>
        <v/>
      </c>
      <c r="U35">
        <f>(E35*F35*(O35/1000)*J35*R35*I35*H35)/12500000</f>
        <v/>
      </c>
      <c r="V35">
        <f>(S35+T35+U35)/3</f>
        <v/>
      </c>
      <c r="W35" s="5" t="n">
        <v>1500</v>
      </c>
      <c r="X35">
        <f>IFERROR(V35-W35,"")</f>
        <v/>
      </c>
      <c r="Y35">
        <f>IFERROR(ABS(X35)/MAX(W35,1),"")</f>
        <v/>
      </c>
      <c r="Z35">
        <f>IFERROR((W35-(((E35/100000+F35/100+R35/200)*200*I35*H35)+((E35*F35/25000)*I35*H35))/3)/(((J35/5)*200*I35*H35)+((J35*R35/2.5)*I35*H35)+((E35*F35*J35*R35*I35*H35)/12500000))/3*1000,"")</f>
        <v/>
      </c>
    </row>
    <row r="36">
      <c r="B36" s="6" t="inlineStr">
        <is>
          <t xml:space="preserve">  ↳ 120mm_cobra</t>
        </is>
      </c>
      <c r="C36" s="6" t="inlineStr">
        <is>
          <t>Armament@PRIMARY</t>
        </is>
      </c>
      <c r="K36" s="5" t="n">
        <v>30000</v>
      </c>
      <c r="L36" s="5" t="n">
        <v>80</v>
      </c>
      <c r="M36" s="5" t="n">
        <v>1</v>
      </c>
      <c r="N36" s="5" t="n"/>
      <c r="O36" s="5" t="n">
        <v>7640</v>
      </c>
      <c r="P36" s="5" t="n">
        <v>1</v>
      </c>
      <c r="Q36">
        <f>L36+IF(M36&gt;1,N(N36)*(M36-1),0)</f>
        <v/>
      </c>
      <c r="R36">
        <f>IFERROR(K36*MAX(M36,1)/Q36*P36,0)</f>
        <v/>
      </c>
      <c r="AA36" s="6" t="inlineStr">
        <is>
          <t>^Grenade, ^ShrapnelWeapon, ^TankDestroyerCannon, ^D2K_Cannon</t>
        </is>
      </c>
    </row>
    <row r="37">
      <c r="B37" s="6" t="inlineStr">
        <is>
          <t xml:space="preserve">  ↳ 120mm_cobra_deploy</t>
        </is>
      </c>
      <c r="C37" s="6" t="inlineStr">
        <is>
          <t>Armament@deployed</t>
        </is>
      </c>
      <c r="K37" s="5" t="n">
        <v>30000</v>
      </c>
      <c r="L37" s="5" t="n">
        <v>80</v>
      </c>
      <c r="M37" s="5" t="n">
        <v>1</v>
      </c>
      <c r="N37" s="5" t="n"/>
      <c r="O37" s="5" t="n">
        <v>7640</v>
      </c>
      <c r="P37" s="5" t="n">
        <v>1</v>
      </c>
      <c r="Q37">
        <f>L37+IF(M37&gt;1,N(N37)*(M37-1),0)</f>
        <v/>
      </c>
      <c r="R37">
        <f>IFERROR(K37*MAX(M37,1)/Q37*P37,0)</f>
        <v/>
      </c>
      <c r="AA37" s="6" t="inlineStr">
        <is>
          <t>^Grenade, ^ShrapnelWeapon, ^TankDestroyerCannon, ^D2K_Cannon</t>
        </is>
      </c>
    </row>
    <row r="38">
      <c r="A38" t="inlineStr">
        <is>
          <t>d2k</t>
        </is>
      </c>
      <c r="B38" t="inlineStr">
        <is>
          <t>ordos_combatautoguntank</t>
        </is>
      </c>
      <c r="C38" t="inlineStr">
        <is>
          <t>Combat Autogun Tank</t>
        </is>
      </c>
      <c r="D38" t="inlineStr"/>
      <c r="E38" s="5" t="n">
        <v>95000</v>
      </c>
      <c r="F38" s="5" t="n">
        <v>80</v>
      </c>
      <c r="G38" t="inlineStr">
        <is>
          <t>Medium</t>
        </is>
      </c>
      <c r="H38" s="5" t="n">
        <v>1</v>
      </c>
      <c r="I38" s="5" t="n">
        <v>1</v>
      </c>
      <c r="J38" s="5" t="n">
        <v>1</v>
      </c>
      <c r="O38">
        <f>MAX(O39)</f>
        <v/>
      </c>
      <c r="R38">
        <f>R39</f>
        <v/>
      </c>
      <c r="S38">
        <f>(E38/100000+F38/100+(O38/1000)*J38/5+R38/200)*200*I38*H38</f>
        <v/>
      </c>
      <c r="T38">
        <f>((E38*F38/25000)+((O38/1000)*J38*R38/2.5))*I38*H38</f>
        <v/>
      </c>
      <c r="U38">
        <f>(E38*F38*(O38/1000)*J38*R38*I38*H38)/12500000</f>
        <v/>
      </c>
      <c r="V38">
        <f>(S38+T38+U38)/3</f>
        <v/>
      </c>
      <c r="W38" s="5" t="n">
        <v>1500</v>
      </c>
      <c r="X38">
        <f>IFERROR(V38-W38,"")</f>
        <v/>
      </c>
      <c r="Y38">
        <f>IFERROR(ABS(X38)/MAX(W38,1),"")</f>
        <v/>
      </c>
      <c r="Z38">
        <f>IFERROR((W38-(((E38/100000+F38/100+R38/200)*200*I38*H38)+((E38*F38/25000)*I38*H38))/3)/(((J38/5)*200*I38*H38)+((J38*R38/2.5)*I38*H38)+((E38*F38*J38*R38*I38*H38)/12500000))/3*1000,"")</f>
        <v/>
      </c>
    </row>
    <row r="39">
      <c r="B39" s="6" t="inlineStr">
        <is>
          <t xml:space="preserve">  ↳ autogun_tank_small</t>
        </is>
      </c>
      <c r="C39" s="6" t="inlineStr">
        <is>
          <t>Armament</t>
        </is>
      </c>
      <c r="K39" s="5" t="n">
        <v>2000</v>
      </c>
      <c r="L39" s="5" t="n">
        <v>24</v>
      </c>
      <c r="M39" s="5" t="n">
        <v>4</v>
      </c>
      <c r="N39" s="5" t="n">
        <v>2</v>
      </c>
      <c r="O39" s="5" t="n">
        <v>6220</v>
      </c>
      <c r="P39" s="5" t="n">
        <v>1</v>
      </c>
      <c r="Q39">
        <f>L39+IF(M39&gt;1,N(N39)*(M39-1),0)</f>
        <v/>
      </c>
      <c r="R39">
        <f>IFERROR(K39*MAX(M39,1)/Q39*P39,0)</f>
        <v/>
      </c>
      <c r="AA39" s="6" t="inlineStr">
        <is>
          <t>^D2KMissile, ^HeavyCannon, ^HeavyAAWeapon, ^FlakWeapon, ^MediumMissile, ^Chaingun</t>
        </is>
      </c>
    </row>
    <row r="40">
      <c r="A40" t="inlineStr">
        <is>
          <t>d2k</t>
        </is>
      </c>
      <c r="B40" t="inlineStr">
        <is>
          <t>ordos_combattank</t>
        </is>
      </c>
      <c r="C40" t="inlineStr">
        <is>
          <t>Ordos Combat Tank</t>
        </is>
      </c>
      <c r="D40" t="inlineStr"/>
      <c r="E40" s="5" t="n">
        <v>85000</v>
      </c>
      <c r="F40" s="5" t="n">
        <v>85</v>
      </c>
      <c r="G40" t="inlineStr">
        <is>
          <t>Medium</t>
        </is>
      </c>
      <c r="H40" s="5" t="n">
        <v>1</v>
      </c>
      <c r="I40" s="5" t="n">
        <v>1</v>
      </c>
      <c r="J40" s="5" t="n">
        <v>1</v>
      </c>
      <c r="O40">
        <f>MAX(O41)</f>
        <v/>
      </c>
      <c r="R40">
        <f>R41</f>
        <v/>
      </c>
      <c r="S40">
        <f>(E40/100000+F40/100+(O40/1000)*J40/5+R40/200)*200*I40*H40</f>
        <v/>
      </c>
      <c r="T40">
        <f>((E40*F40/25000)+((O40/1000)*J40*R40/2.5))*I40*H40</f>
        <v/>
      </c>
      <c r="U40">
        <f>(E40*F40*(O40/1000)*J40*R40*I40*H40)/12500000</f>
        <v/>
      </c>
      <c r="V40">
        <f>(S40+T40+U40)/3</f>
        <v/>
      </c>
      <c r="W40" s="5" t="n">
        <v>650</v>
      </c>
      <c r="X40">
        <f>IFERROR(V40-W40,"")</f>
        <v/>
      </c>
      <c r="Y40">
        <f>IFERROR(ABS(X40)/MAX(W40,1),"")</f>
        <v/>
      </c>
      <c r="Z40">
        <f>IFERROR((W40-(((E40/100000+F40/100+R40/200)*200*I40*H40)+((E40*F40/25000)*I40*H40))/3)/(((J40/5)*200*I40*H40)+((J40*R40/2.5)*I40*H40)+((E40*F40*J40*R40*I40*H40)/12500000))/3*1000,"")</f>
        <v/>
      </c>
    </row>
    <row r="41">
      <c r="B41" s="6" t="inlineStr">
        <is>
          <t xml:space="preserve">  ↳ OrdosCombatTankCannon</t>
        </is>
      </c>
      <c r="C41" s="6" t="inlineStr">
        <is>
          <t>Armament</t>
        </is>
      </c>
      <c r="K41" s="5" t="n">
        <v>8000</v>
      </c>
      <c r="L41" s="5" t="n">
        <v>44</v>
      </c>
      <c r="M41" s="5" t="n">
        <v>1</v>
      </c>
      <c r="N41" s="5" t="n"/>
      <c r="O41" s="5" t="n">
        <v>5230</v>
      </c>
      <c r="P41" s="5" t="n">
        <v>1</v>
      </c>
      <c r="Q41">
        <f>L41+IF(M41&gt;1,N(N41)*(M41-1),0)</f>
        <v/>
      </c>
      <c r="R41">
        <f>IFERROR(K41*MAX(M41,1)/Q41*P41,0)</f>
        <v/>
      </c>
      <c r="AA41" s="6" t="inlineStr">
        <is>
          <t>^D2K_Cannon</t>
        </is>
      </c>
    </row>
    <row r="42">
      <c r="A42" t="inlineStr">
        <is>
          <t>d2k</t>
        </is>
      </c>
      <c r="B42" t="inlineStr">
        <is>
          <t>ordos_deviatorartillery</t>
        </is>
      </c>
      <c r="C42" t="inlineStr">
        <is>
          <t>Deviator Artillery</t>
        </is>
      </c>
      <c r="D42" t="inlineStr"/>
      <c r="E42" s="5" t="n">
        <v>55000</v>
      </c>
      <c r="F42" s="5" t="n">
        <v>55</v>
      </c>
      <c r="G42" t="inlineStr">
        <is>
          <t>Medium</t>
        </is>
      </c>
      <c r="H42" s="5" t="n">
        <v>0.75</v>
      </c>
      <c r="I42" s="5" t="n">
        <v>0.5</v>
      </c>
      <c r="J42" s="5" t="n">
        <v>1.25</v>
      </c>
      <c r="O42">
        <f>MAX(O43)</f>
        <v/>
      </c>
      <c r="R42">
        <f>R43</f>
        <v/>
      </c>
      <c r="S42">
        <f>(E42/100000+F42/100+(O42/1000)*J42/5+R42/200)*200*I42*H42</f>
        <v/>
      </c>
      <c r="T42">
        <f>((E42*F42/25000)+((O42/1000)*J42*R42/2.5))*I42*H42</f>
        <v/>
      </c>
      <c r="U42">
        <f>(E42*F42*(O42/1000)*J42*R42*I42*H42)/12500000</f>
        <v/>
      </c>
      <c r="V42">
        <f>(S42+T42+U42)/3</f>
        <v/>
      </c>
      <c r="W42" s="5" t="n">
        <v>1250</v>
      </c>
      <c r="X42">
        <f>IFERROR(V42-W42,"")</f>
        <v/>
      </c>
      <c r="Y42">
        <f>IFERROR(ABS(X42)/MAX(W42,1),"")</f>
        <v/>
      </c>
      <c r="Z42">
        <f>IFERROR((W42-(((E42/100000+F42/100+R42/200)*200*I42*H42)+((E42*F42/25000)*I42*H42))/3)/(((J42/5)*200*I42*H42)+((J42*R42/2.5)*I42*H42)+((E42*F42*J42*R42*I42*H42)/12500000))/3*1000,"")</f>
        <v/>
      </c>
    </row>
    <row r="43">
      <c r="B43" s="6" t="inlineStr">
        <is>
          <t xml:space="preserve">  ↳ DeviatorMissile_Artillery</t>
        </is>
      </c>
      <c r="C43" s="6" t="inlineStr">
        <is>
          <t>Armament</t>
        </is>
      </c>
      <c r="K43" s="5" t="n">
        <v>10000</v>
      </c>
      <c r="L43" s="5" t="n">
        <v>150</v>
      </c>
      <c r="M43" s="5" t="n">
        <v>3</v>
      </c>
      <c r="N43" s="5" t="n">
        <v>25</v>
      </c>
      <c r="O43" s="5" t="n">
        <v>10025</v>
      </c>
      <c r="P43" s="5" t="n">
        <v>1</v>
      </c>
      <c r="Q43">
        <f>L43+IF(M43&gt;1,N(N43)*(M43-1),0)</f>
        <v/>
      </c>
      <c r="R43">
        <f>IFERROR(K43*MAX(M43,1)/Q43*P43,0)</f>
        <v/>
      </c>
      <c r="AA43" s="6" t="inlineStr">
        <is>
          <t>^ShrapnelWeapon, ^HeavyFlameWeapon, ^MediumChemicalWeapon, ^HeavyCannon, ^MediumMissile, ^D2KMissile</t>
        </is>
      </c>
    </row>
    <row r="44">
      <c r="A44" t="inlineStr">
        <is>
          <t>d2k</t>
        </is>
      </c>
      <c r="B44" t="inlineStr">
        <is>
          <t>ordos_deviatortank</t>
        </is>
      </c>
      <c r="C44" t="inlineStr">
        <is>
          <t>Deviator Tank</t>
        </is>
      </c>
      <c r="D44" t="inlineStr"/>
      <c r="E44" s="5" t="n">
        <v>85000</v>
      </c>
      <c r="F44" s="5" t="n">
        <v>115</v>
      </c>
      <c r="G44" t="inlineStr">
        <is>
          <t>Medium</t>
        </is>
      </c>
      <c r="H44" s="5" t="n">
        <v>0.75</v>
      </c>
      <c r="I44" s="5" t="n">
        <v>1</v>
      </c>
      <c r="J44" s="5" t="n">
        <v>1.25</v>
      </c>
      <c r="O44">
        <f>MAX(O45)</f>
        <v/>
      </c>
      <c r="R44">
        <f>R45</f>
        <v/>
      </c>
      <c r="S44">
        <f>(E44/100000+F44/100+(O44/1000)*J44/5+R44/200)*200*I44*H44</f>
        <v/>
      </c>
      <c r="T44">
        <f>((E44*F44/25000)+((O44/1000)*J44*R44/2.5))*I44*H44</f>
        <v/>
      </c>
      <c r="U44">
        <f>(E44*F44*(O44/1000)*J44*R44*I44*H44)/12500000</f>
        <v/>
      </c>
      <c r="V44">
        <f>(S44+T44+U44)/3</f>
        <v/>
      </c>
      <c r="W44" s="5" t="n">
        <v>1600</v>
      </c>
      <c r="X44">
        <f>IFERROR(V44-W44,"")</f>
        <v/>
      </c>
      <c r="Y44">
        <f>IFERROR(ABS(X44)/MAX(W44,1),"")</f>
        <v/>
      </c>
      <c r="Z44">
        <f>IFERROR((W44-(((E44/100000+F44/100+R44/200)*200*I44*H44)+((E44*F44/25000)*I44*H44))/3)/(((J44/5)*200*I44*H44)+((J44*R44/2.5)*I44*H44)+((E44*F44*J44*R44*I44*H44)/12500000))/3*1000,"")</f>
        <v/>
      </c>
    </row>
    <row r="45">
      <c r="B45" s="6" t="inlineStr">
        <is>
          <t xml:space="preserve">  ↳ DeviatorMissile</t>
        </is>
      </c>
      <c r="C45" s="6" t="inlineStr">
        <is>
          <t>Armament</t>
        </is>
      </c>
      <c r="K45" s="5" t="n">
        <v>10000</v>
      </c>
      <c r="L45" s="5" t="n">
        <v>98</v>
      </c>
      <c r="M45" s="5" t="n">
        <v>1</v>
      </c>
      <c r="N45" s="5" t="n"/>
      <c r="O45" s="5" t="n">
        <v>7070</v>
      </c>
      <c r="P45" s="5" t="n">
        <v>1</v>
      </c>
      <c r="Q45">
        <f>L45+IF(M45&gt;1,N(N45)*(M45-1),0)</f>
        <v/>
      </c>
      <c r="R45">
        <f>IFERROR(K45*MAX(M45,1)/Q45*P45,0)</f>
        <v/>
      </c>
      <c r="AA45" s="6" t="inlineStr">
        <is>
          <t>^MediumChemicalWeapon, ^HeavyCannon, ^MediumMissile, ^D2KMissile</t>
        </is>
      </c>
    </row>
    <row r="46">
      <c r="A46" t="inlineStr">
        <is>
          <t>d2k</t>
        </is>
      </c>
      <c r="B46" t="inlineStr">
        <is>
          <t>ordos_dustdrone</t>
        </is>
      </c>
      <c r="C46" t="inlineStr">
        <is>
          <t>Dust Drone</t>
        </is>
      </c>
      <c r="D46" t="inlineStr"/>
      <c r="E46" s="5" t="n">
        <v>32500</v>
      </c>
      <c r="F46" s="5" t="n">
        <v>145</v>
      </c>
      <c r="G46" t="inlineStr">
        <is>
          <t>Light</t>
        </is>
      </c>
      <c r="H46" s="5" t="n">
        <v>1</v>
      </c>
      <c r="I46" s="5" t="n">
        <v>1</v>
      </c>
      <c r="J46" s="5" t="n">
        <v>1</v>
      </c>
      <c r="O46">
        <f>MAX(O47)</f>
        <v/>
      </c>
      <c r="R46">
        <f>R47</f>
        <v/>
      </c>
      <c r="S46">
        <f>(E46/100000+F46/100+(O46/1000)*J46/5+R46/200)*200*I46*H46</f>
        <v/>
      </c>
      <c r="T46">
        <f>((E46*F46/25000)+((O46/1000)*J46*R46/2.5))*I46*H46</f>
        <v/>
      </c>
      <c r="U46">
        <f>(E46*F46*(O46/1000)*J46*R46*I46*H46)/12500000</f>
        <v/>
      </c>
      <c r="V46">
        <f>(S46+T46+U46)/3</f>
        <v/>
      </c>
      <c r="W46" s="5" t="n">
        <v>1400</v>
      </c>
      <c r="X46">
        <f>IFERROR(V46-W46,"")</f>
        <v/>
      </c>
      <c r="Y46">
        <f>IFERROR(ABS(X46)/MAX(W46,1),"")</f>
        <v/>
      </c>
      <c r="Z46">
        <f>IFERROR((W46-(((E46/100000+F46/100+R46/200)*200*I46*H46)+((E46*F46/25000)*I46*H46))/3)/(((J46/5)*200*I46*H46)+((J46*R46/2.5)*I46*H46)+((E46*F46*J46*R46*I46*H46)/12500000))/3*1000,"")</f>
        <v/>
      </c>
    </row>
    <row r="47">
      <c r="B47" s="6" t="inlineStr">
        <is>
          <t xml:space="preserve">  ↳ D2K_APC_Rocket</t>
        </is>
      </c>
      <c r="C47" s="6" t="inlineStr">
        <is>
          <t>Armament</t>
        </is>
      </c>
      <c r="K47" s="5" t="n">
        <v>8000</v>
      </c>
      <c r="L47" s="5" t="n">
        <v>42</v>
      </c>
      <c r="M47" s="5" t="n">
        <v>1</v>
      </c>
      <c r="N47" s="5" t="n"/>
      <c r="O47" s="5" t="n">
        <v>6500</v>
      </c>
      <c r="P47" s="5" t="n">
        <v>1</v>
      </c>
      <c r="Q47">
        <f>L47+IF(M47&gt;1,N(N47)*(M47-1),0)</f>
        <v/>
      </c>
      <c r="R47">
        <f>IFERROR(K47*MAX(M47,1)/Q47*P47,0)</f>
        <v/>
      </c>
      <c r="AA47" s="6" t="inlineStr">
        <is>
          <t>^LightMissile, ^MediumMissile, ^D2KRocket</t>
        </is>
      </c>
    </row>
    <row r="48">
      <c r="A48" t="inlineStr">
        <is>
          <t>d2k</t>
        </is>
      </c>
      <c r="B48" t="inlineStr">
        <is>
          <t>ordos_heavyautoguntank</t>
        </is>
      </c>
      <c r="C48" t="inlineStr">
        <is>
          <t>Heavy Autogun Tank</t>
        </is>
      </c>
      <c r="D48" t="inlineStr"/>
      <c r="E48" s="5" t="n">
        <v>160000</v>
      </c>
      <c r="F48" s="5" t="n">
        <v>75</v>
      </c>
      <c r="G48" t="inlineStr">
        <is>
          <t>Heavy</t>
        </is>
      </c>
      <c r="H48" s="5" t="n">
        <v>0.75</v>
      </c>
      <c r="I48" s="5" t="n">
        <v>1</v>
      </c>
      <c r="J48" s="5" t="n">
        <v>1.25</v>
      </c>
      <c r="O48">
        <f>MAX(O49)</f>
        <v/>
      </c>
      <c r="R48">
        <f>R49</f>
        <v/>
      </c>
      <c r="S48">
        <f>(E48/100000+F48/100+(O48/1000)*J48/5+R48/200)*200*I48*H48</f>
        <v/>
      </c>
      <c r="T48">
        <f>((E48*F48/25000)+((O48/1000)*J48*R48/2.5))*I48*H48</f>
        <v/>
      </c>
      <c r="U48">
        <f>(E48*F48*(O48/1000)*J48*R48*I48*H48)/12500000</f>
        <v/>
      </c>
      <c r="V48">
        <f>(S48+T48+U48)/3</f>
        <v/>
      </c>
      <c r="W48" s="5" t="n">
        <v>2800</v>
      </c>
      <c r="X48">
        <f>IFERROR(V48-W48,"")</f>
        <v/>
      </c>
      <c r="Y48">
        <f>IFERROR(ABS(X48)/MAX(W48,1),"")</f>
        <v/>
      </c>
      <c r="Z48">
        <f>IFERROR((W48-(((E48/100000+F48/100+R48/200)*200*I48*H48)+((E48*F48/25000)*I48*H48))/3)/(((J48/5)*200*I48*H48)+((J48*R48/2.5)*I48*H48)+((E48*F48*J48*R48*I48*H48)/12500000))/3*1000,"")</f>
        <v/>
      </c>
    </row>
    <row r="49">
      <c r="B49" s="6" t="inlineStr">
        <is>
          <t xml:space="preserve">  ↳ autogun_tank</t>
        </is>
      </c>
      <c r="C49" s="6" t="inlineStr">
        <is>
          <t>Armament</t>
        </is>
      </c>
      <c r="K49" s="5" t="n">
        <v>2000</v>
      </c>
      <c r="L49" s="5" t="n">
        <v>24</v>
      </c>
      <c r="M49" s="5" t="n">
        <v>4</v>
      </c>
      <c r="N49" s="5" t="n">
        <v>2</v>
      </c>
      <c r="O49" s="5" t="n">
        <v>7480</v>
      </c>
      <c r="P49" s="5" t="n">
        <v>1</v>
      </c>
      <c r="Q49">
        <f>L49+IF(M49&gt;1,N(N49)*(M49-1),0)</f>
        <v/>
      </c>
      <c r="R49">
        <f>IFERROR(K49*MAX(M49,1)/Q49*P49,0)</f>
        <v/>
      </c>
      <c r="AA49" s="6" t="inlineStr">
        <is>
          <t>^D2KMissile, ^HeavyCannon, ^HeavyAAWeapon, ^FlakWeapon, ^MediumMissile, ^Chaingun</t>
        </is>
      </c>
    </row>
    <row r="50">
      <c r="A50" t="inlineStr">
        <is>
          <t>d2k</t>
        </is>
      </c>
      <c r="B50" t="inlineStr">
        <is>
          <t>ordos_heavycombattank</t>
        </is>
      </c>
      <c r="C50" t="inlineStr">
        <is>
          <t>Ordos Heavy Combat Tank</t>
        </is>
      </c>
      <c r="D50" t="inlineStr"/>
      <c r="E50" s="5" t="n">
        <v>115000</v>
      </c>
      <c r="F50" s="5" t="n">
        <v>75</v>
      </c>
      <c r="G50" t="inlineStr">
        <is>
          <t>Heavy</t>
        </is>
      </c>
      <c r="H50" s="5" t="n">
        <v>1</v>
      </c>
      <c r="I50" s="5" t="n">
        <v>1</v>
      </c>
      <c r="J50" s="5" t="n">
        <v>1</v>
      </c>
      <c r="O50">
        <f>MAX(O51,O52)</f>
        <v/>
      </c>
      <c r="R50">
        <f>R51+R52</f>
        <v/>
      </c>
      <c r="S50">
        <f>(E50/100000+F50/100+(O50/1000)*J50/5+R50/200)*200*I50*H50</f>
        <v/>
      </c>
      <c r="T50">
        <f>((E50*F50/25000)+((O50/1000)*J50*R50/2.5))*I50*H50</f>
        <v/>
      </c>
      <c r="U50">
        <f>(E50*F50*(O50/1000)*J50*R50*I50*H50)/12500000</f>
        <v/>
      </c>
      <c r="V50">
        <f>(S50+T50+U50)/3</f>
        <v/>
      </c>
      <c r="W50" s="5" t="n">
        <v>950</v>
      </c>
      <c r="X50">
        <f>IFERROR(V50-W50,"")</f>
        <v/>
      </c>
      <c r="Y50">
        <f>IFERROR(ABS(X50)/MAX(W50,1),"")</f>
        <v/>
      </c>
      <c r="Z50">
        <f>IFERROR((W50-(((E50/100000+F50/100+R50/200)*200*I50*H50)+((E50*F50/25000)*I50*H50))/3)/(((J50/5)*200*I50*H50)+((J50*R50/2.5)*I50*H50)+((E50*F50*J50*R50*I50*H50)/12500000))/3*1000,"")</f>
        <v/>
      </c>
    </row>
    <row r="51">
      <c r="B51" s="6" t="inlineStr">
        <is>
          <t xml:space="preserve">  ↳ HeavyOrdosCombatTankCannon</t>
        </is>
      </c>
      <c r="C51" s="6" t="inlineStr">
        <is>
          <t>Armament</t>
        </is>
      </c>
      <c r="K51" s="5" t="n">
        <v>10000</v>
      </c>
      <c r="L51" s="5" t="n">
        <v>40</v>
      </c>
      <c r="M51" s="5" t="n">
        <v>1</v>
      </c>
      <c r="N51" s="5" t="n"/>
      <c r="O51" s="5" t="n">
        <v>6000</v>
      </c>
      <c r="P51" s="5" t="n">
        <v>1</v>
      </c>
      <c r="Q51">
        <f>L51+IF(M51&gt;1,N(N51)*(M51-1),0)</f>
        <v/>
      </c>
      <c r="R51">
        <f>IFERROR(K51*MAX(M51,1)/Q51*P51,0)</f>
        <v/>
      </c>
      <c r="AA51" s="6" t="inlineStr">
        <is>
          <t>^D2K_Cannon</t>
        </is>
      </c>
    </row>
    <row r="52">
      <c r="B52" s="6" t="inlineStr">
        <is>
          <t xml:space="preserve">  ↳ HeavyOrdosCombatTankRockets</t>
        </is>
      </c>
      <c r="C52" s="6" t="inlineStr">
        <is>
          <t>Armament@Rockets</t>
        </is>
      </c>
      <c r="K52" s="5" t="n">
        <v>2000</v>
      </c>
      <c r="L52" s="5" t="n">
        <v>70</v>
      </c>
      <c r="M52" s="5" t="n">
        <v>2</v>
      </c>
      <c r="N52" s="5" t="n">
        <v>10</v>
      </c>
      <c r="O52" s="5" t="n">
        <v>6000</v>
      </c>
      <c r="P52" s="5" t="n">
        <v>1</v>
      </c>
      <c r="Q52">
        <f>L52+IF(M52&gt;1,N(N52)*(M52-1),0)</f>
        <v/>
      </c>
      <c r="R52">
        <f>IFERROR(K52*MAX(M52,1)/Q52*P52,0)</f>
        <v/>
      </c>
      <c r="AA52" s="6" t="inlineStr">
        <is>
          <t>^Chaingun, ^FlakWeapon, ^LightMissile, ^MediumMissile, ^D2KRocket</t>
        </is>
      </c>
    </row>
    <row r="53">
      <c r="A53" t="inlineStr">
        <is>
          <t>d2k</t>
        </is>
      </c>
      <c r="B53" t="inlineStr">
        <is>
          <t>ordos_laboratorycrawler</t>
        </is>
      </c>
      <c r="C53" t="inlineStr">
        <is>
          <t>Laboratory Crawler</t>
        </is>
      </c>
      <c r="D53" t="inlineStr"/>
      <c r="E53" s="5" t="n">
        <v>137500</v>
      </c>
      <c r="F53" s="5" t="n">
        <v>105</v>
      </c>
      <c r="G53" t="inlineStr">
        <is>
          <t>Medium</t>
        </is>
      </c>
      <c r="H53" s="5" t="n">
        <v>0.75</v>
      </c>
      <c r="I53" s="5" t="n">
        <v>1.25</v>
      </c>
      <c r="J53" s="5" t="n">
        <v>1</v>
      </c>
      <c r="O53">
        <f>MAX(O54,O55,O56)</f>
        <v/>
      </c>
      <c r="R53">
        <f>R54+R55+R56</f>
        <v/>
      </c>
      <c r="S53">
        <f>(E53/100000+F53/100+(O53/1000)*J53/5+R53/200)*200*I53*H53</f>
        <v/>
      </c>
      <c r="T53">
        <f>((E53*F53/25000)+((O53/1000)*J53*R53/2.5))*I53*H53</f>
        <v/>
      </c>
      <c r="U53">
        <f>(E53*F53*(O53/1000)*J53*R53*I53*H53)/12500000</f>
        <v/>
      </c>
      <c r="V53">
        <f>(S53+T53+U53)/3</f>
        <v/>
      </c>
      <c r="W53" s="5" t="n">
        <v>4500</v>
      </c>
      <c r="X53">
        <f>IFERROR(V53-W53,"")</f>
        <v/>
      </c>
      <c r="Y53">
        <f>IFERROR(ABS(X53)/MAX(W53,1),"")</f>
        <v/>
      </c>
      <c r="Z53">
        <f>IFERROR((W53-(((E53/100000+F53/100+R53/200)*200*I53*H53)+((E53*F53/25000)*I53*H53))/3)/(((J53/5)*200*I53*H53)+((J53*R53/2.5)*I53*H53)+((E53*F53*J53*R53*I53*H53)/12500000))/3*1000,"")</f>
        <v/>
      </c>
    </row>
    <row r="54">
      <c r="B54" s="6" t="inlineStr">
        <is>
          <t xml:space="preserve">  ↳ Laboratory_Bioball</t>
        </is>
      </c>
      <c r="C54" s="6" t="inlineStr">
        <is>
          <t>Armament</t>
        </is>
      </c>
      <c r="K54" s="5" t="n">
        <v>10000</v>
      </c>
      <c r="L54" s="5" t="n">
        <v>42</v>
      </c>
      <c r="M54" s="5" t="n">
        <v>1</v>
      </c>
      <c r="N54" s="5" t="n"/>
      <c r="O54" s="5" t="n">
        <v>6500</v>
      </c>
      <c r="P54" s="5" t="n">
        <v>1</v>
      </c>
      <c r="Q54">
        <f>L54+IF(M54&gt;1,N(N54)*(M54-1),0)</f>
        <v/>
      </c>
      <c r="R54">
        <f>IFERROR(K54*MAX(M54,1)/Q54*P54,0)</f>
        <v/>
      </c>
      <c r="AA54" s="6" t="inlineStr">
        <is>
          <t>^Grenade, ^ShrapnelWeapon, ^HeavyCannon, ^MediumFlameWeapon, ^MediumChemicalWeapon</t>
        </is>
      </c>
    </row>
    <row r="55">
      <c r="B55" s="6" t="inlineStr">
        <is>
          <t xml:space="preserve">  ↳ D2K_APC_Rocket_AA</t>
        </is>
      </c>
      <c r="C55" s="6" t="inlineStr">
        <is>
          <t>Armament@aa1</t>
        </is>
      </c>
      <c r="K55" s="5" t="n">
        <v>8000</v>
      </c>
      <c r="L55" s="5" t="n">
        <v>42</v>
      </c>
      <c r="M55" s="5" t="n">
        <v>1</v>
      </c>
      <c r="N55" s="5" t="n"/>
      <c r="O55" s="5" t="n">
        <v>6500</v>
      </c>
      <c r="P55" s="5" t="n">
        <v>1</v>
      </c>
      <c r="Q55">
        <f>L55+IF(M55&gt;1,N(N55)*(M55-1),0)</f>
        <v/>
      </c>
      <c r="R55">
        <f>IFERROR(K55*MAX(M55,1)/Q55*P55,0)</f>
        <v/>
      </c>
      <c r="AA55" s="6" t="inlineStr">
        <is>
          <t>^LightMissile, ^MediumMissile, ^D2KRocket</t>
        </is>
      </c>
    </row>
    <row r="56">
      <c r="B56" s="6" t="inlineStr">
        <is>
          <t xml:space="preserve">  ↳ D2K_APC_Rocket_AA</t>
        </is>
      </c>
      <c r="C56" s="6" t="inlineStr">
        <is>
          <t>Armament@aa2</t>
        </is>
      </c>
      <c r="K56" s="5" t="n">
        <v>8000</v>
      </c>
      <c r="L56" s="5" t="n">
        <v>42</v>
      </c>
      <c r="M56" s="5" t="n">
        <v>1</v>
      </c>
      <c r="N56" s="5" t="n"/>
      <c r="O56" s="5" t="n">
        <v>6500</v>
      </c>
      <c r="P56" s="5" t="n">
        <v>1</v>
      </c>
      <c r="Q56">
        <f>L56+IF(M56&gt;1,N(N56)*(M56-1),0)</f>
        <v/>
      </c>
      <c r="R56">
        <f>IFERROR(K56*MAX(M56,1)/Q56*P56,0)</f>
        <v/>
      </c>
      <c r="AA56" s="6" t="inlineStr">
        <is>
          <t>^LightMissile, ^MediumMissile, ^D2KRocket</t>
        </is>
      </c>
    </row>
    <row r="57">
      <c r="A57" t="inlineStr">
        <is>
          <t>d2k</t>
        </is>
      </c>
      <c r="B57" t="inlineStr">
        <is>
          <t>ordos_lasertank</t>
        </is>
      </c>
      <c r="C57" t="inlineStr">
        <is>
          <t>Laser Tank</t>
        </is>
      </c>
      <c r="D57" t="inlineStr"/>
      <c r="E57" s="5" t="n">
        <v>105000</v>
      </c>
      <c r="F57" s="5" t="n">
        <v>105</v>
      </c>
      <c r="G57" t="inlineStr">
        <is>
          <t>Medium</t>
        </is>
      </c>
      <c r="H57" s="5" t="n">
        <v>1</v>
      </c>
      <c r="I57" s="5" t="n">
        <v>1</v>
      </c>
      <c r="J57" s="5" t="n">
        <v>1</v>
      </c>
      <c r="O57">
        <f>MAX(O58)</f>
        <v/>
      </c>
      <c r="R57">
        <f>R58</f>
        <v/>
      </c>
      <c r="S57">
        <f>(E57/100000+F57/100+(O57/1000)*J57/5+R57/200)*200*I57*H57</f>
        <v/>
      </c>
      <c r="T57">
        <f>((E57*F57/25000)+((O57/1000)*J57*R57/2.5))*I57*H57</f>
        <v/>
      </c>
      <c r="U57">
        <f>(E57*F57*(O57/1000)*J57*R57*I57*H57)/12500000</f>
        <v/>
      </c>
      <c r="V57">
        <f>(S57+T57+U57)/3</f>
        <v/>
      </c>
      <c r="W57" s="5" t="n">
        <v>2400</v>
      </c>
      <c r="X57">
        <f>IFERROR(V57-W57,"")</f>
        <v/>
      </c>
      <c r="Y57">
        <f>IFERROR(ABS(X57)/MAX(W57,1),"")</f>
        <v/>
      </c>
      <c r="Z57">
        <f>IFERROR((W57-(((E57/100000+F57/100+R57/200)*200*I57*H57)+((E57*F57/25000)*I57*H57))/3)/(((J57/5)*200*I57*H57)+((J57*R57/2.5)*I57*H57)+((E57*F57*J57*R57*I57*H57)/12500000))/3*1000,"")</f>
        <v/>
      </c>
    </row>
    <row r="58">
      <c r="B58" s="6" t="inlineStr">
        <is>
          <t xml:space="preserve">  ↳ ordos_lasertank</t>
        </is>
      </c>
      <c r="C58" s="6" t="inlineStr">
        <is>
          <t>Armament</t>
        </is>
      </c>
      <c r="K58" s="5" t="n">
        <v>10000</v>
      </c>
      <c r="L58" s="5" t="n">
        <v>55</v>
      </c>
      <c r="M58" s="5" t="n">
        <v>1</v>
      </c>
      <c r="N58" s="5" t="n"/>
      <c r="O58" s="5" t="n">
        <v>7275</v>
      </c>
      <c r="P58" s="5" t="n">
        <v>1</v>
      </c>
      <c r="Q58">
        <f>L58+IF(M58&gt;1,N(N58)*(M58-1),0)</f>
        <v/>
      </c>
      <c r="R58">
        <f>IFERROR(K58*MAX(M58,1)/Q58*P58,0)</f>
        <v/>
      </c>
      <c r="AA58" s="6" t="inlineStr">
        <is>
          <t>^FlakWeapon, ^MediumMissile, ^RailgunWeapon, ^LaserWeapon</t>
        </is>
      </c>
    </row>
    <row r="59">
      <c r="A59" t="inlineStr">
        <is>
          <t>d2k</t>
        </is>
      </c>
      <c r="B59" t="inlineStr">
        <is>
          <t>ordos_mobileconstructionvehicle</t>
        </is>
      </c>
      <c r="C59" t="inlineStr">
        <is>
          <t>Ordos Mobile Construction Vehicle</t>
        </is>
      </c>
      <c r="D59" t="inlineStr"/>
      <c r="E59" s="5" t="n">
        <v>300000</v>
      </c>
      <c r="F59" s="5" t="n">
        <v>75</v>
      </c>
      <c r="G59" t="inlineStr">
        <is>
          <t>Medium</t>
        </is>
      </c>
      <c r="H59" s="5" t="n">
        <v>1</v>
      </c>
      <c r="I59" s="5" t="n">
        <v>1</v>
      </c>
      <c r="J59" s="5" t="n">
        <v>1</v>
      </c>
      <c r="W59" s="5" t="n">
        <v>5000</v>
      </c>
    </row>
    <row r="60">
      <c r="A60" t="inlineStr">
        <is>
          <t>d2k</t>
        </is>
      </c>
      <c r="B60" t="inlineStr">
        <is>
          <t>ordos_pythontank</t>
        </is>
      </c>
      <c r="C60" t="inlineStr">
        <is>
          <t>Python Tank</t>
        </is>
      </c>
      <c r="D60" t="inlineStr"/>
      <c r="E60" s="5" t="n">
        <v>70000</v>
      </c>
      <c r="F60" s="5" t="n">
        <v>40</v>
      </c>
      <c r="G60" t="inlineStr">
        <is>
          <t>Heavy</t>
        </is>
      </c>
      <c r="H60" s="5" t="n">
        <v>1</v>
      </c>
      <c r="I60" s="5" t="n">
        <v>1</v>
      </c>
      <c r="J60" s="5" t="n">
        <v>1</v>
      </c>
      <c r="O60">
        <f>MAX(O61,O62)</f>
        <v/>
      </c>
      <c r="R60">
        <f>R61+R62</f>
        <v/>
      </c>
      <c r="S60">
        <f>(E60/100000+F60/100+(O60/1000)*J60/5+R60/200)*200*I60*H60</f>
        <v/>
      </c>
      <c r="T60">
        <f>((E60*F60/25000)+((O60/1000)*J60*R60/2.5))*I60*H60</f>
        <v/>
      </c>
      <c r="U60">
        <f>(E60*F60*(O60/1000)*J60*R60*I60*H60)/12500000</f>
        <v/>
      </c>
      <c r="V60">
        <f>(S60+T60+U60)/3</f>
        <v/>
      </c>
      <c r="W60" s="5" t="n">
        <v>2500</v>
      </c>
      <c r="X60">
        <f>IFERROR(V60-W60,"")</f>
        <v/>
      </c>
      <c r="Y60">
        <f>IFERROR(ABS(X60)/MAX(W60,1),"")</f>
        <v/>
      </c>
      <c r="Z60">
        <f>IFERROR((W60-(((E60/100000+F60/100+R60/200)*200*I60*H60)+((E60*F60/25000)*I60*H60))/3)/(((J60/5)*200*I60*H60)+((J60*R60/2.5)*I60*H60)+((E60*F60*J60*R60*I60*H60)/12500000))/3*1000,"")</f>
        <v/>
      </c>
    </row>
    <row r="61">
      <c r="B61" s="6" t="inlineStr">
        <is>
          <t xml:space="preserve">  ↳ 120mm_python</t>
        </is>
      </c>
      <c r="C61" s="6" t="inlineStr">
        <is>
          <t>Armament@PRIMARY</t>
        </is>
      </c>
      <c r="K61" s="5" t="n">
        <v>30000</v>
      </c>
      <c r="L61" s="5" t="n">
        <v>123</v>
      </c>
      <c r="M61" s="5" t="n">
        <v>2</v>
      </c>
      <c r="N61" s="5" t="n">
        <v>0</v>
      </c>
      <c r="O61" s="5" t="n">
        <v>9380</v>
      </c>
      <c r="P61" s="5" t="n">
        <v>1</v>
      </c>
      <c r="Q61">
        <f>L61+IF(M61&gt;1,N(N61)*(M61-1),0)</f>
        <v/>
      </c>
      <c r="R61">
        <f>IFERROR(K61*MAX(M61,1)/Q61*P61,0)</f>
        <v/>
      </c>
      <c r="AA61" s="6" t="inlineStr">
        <is>
          <t>^Grenade, ^ShrapnelWeapon, ^TankDestroyerCannon, ^D2K_Cannon</t>
        </is>
      </c>
    </row>
    <row r="62">
      <c r="B62" s="6" t="inlineStr">
        <is>
          <t xml:space="preserve">  ↳ 120mm_python_deploy</t>
        </is>
      </c>
      <c r="C62" s="6" t="inlineStr">
        <is>
          <t>Armament@deployed</t>
        </is>
      </c>
      <c r="K62" s="5" t="n">
        <v>30000</v>
      </c>
      <c r="L62" s="5" t="n">
        <v>123</v>
      </c>
      <c r="M62" s="5" t="n">
        <v>2</v>
      </c>
      <c r="N62" s="5" t="n">
        <v>0</v>
      </c>
      <c r="O62" s="5" t="n">
        <v>9380</v>
      </c>
      <c r="P62" s="5" t="n">
        <v>1</v>
      </c>
      <c r="Q62">
        <f>L62+IF(M62&gt;1,N(N62)*(M62-1),0)</f>
        <v/>
      </c>
      <c r="R62">
        <f>IFERROR(K62*MAX(M62,1)/Q62*P62,0)</f>
        <v/>
      </c>
      <c r="AA62" s="6" t="inlineStr">
        <is>
          <t>^Grenade, ^ShrapnelWeapon, ^TankDestroyerCannon, ^D2K_Cannon</t>
        </is>
      </c>
    </row>
    <row r="63">
      <c r="A63" t="inlineStr">
        <is>
          <t>d2k</t>
        </is>
      </c>
      <c r="B63" t="inlineStr">
        <is>
          <t>ordos_raider</t>
        </is>
      </c>
      <c r="C63" t="inlineStr">
        <is>
          <t>Ordos Raider</t>
        </is>
      </c>
      <c r="D63" t="inlineStr"/>
      <c r="E63" s="5" t="n">
        <v>60000</v>
      </c>
      <c r="F63" s="5" t="n">
        <v>180</v>
      </c>
      <c r="G63" t="inlineStr">
        <is>
          <t>Scout</t>
        </is>
      </c>
      <c r="H63" s="5" t="n">
        <v>1</v>
      </c>
      <c r="I63" s="5" t="n">
        <v>1.25</v>
      </c>
      <c r="J63" s="5" t="n">
        <v>1</v>
      </c>
      <c r="O63">
        <f>MAX(O64,O65)</f>
        <v/>
      </c>
      <c r="R63">
        <f>R64+R65</f>
        <v/>
      </c>
      <c r="S63">
        <f>(E63/100000+F63/100+(O63/1000)*J63/5+R63/200)*200*I63*H63</f>
        <v/>
      </c>
      <c r="T63">
        <f>((E63*F63/25000)+((O63/1000)*J63*R63/2.5))*I63*H63</f>
        <v/>
      </c>
      <c r="U63">
        <f>(E63*F63*(O63/1000)*J63*R63*I63*H63)/12500000</f>
        <v/>
      </c>
      <c r="V63">
        <f>(S63+T63+U63)/3</f>
        <v/>
      </c>
      <c r="W63" s="5" t="n">
        <v>1200</v>
      </c>
      <c r="X63">
        <f>IFERROR(V63-W63,"")</f>
        <v/>
      </c>
      <c r="Y63">
        <f>IFERROR(ABS(X63)/MAX(W63,1),"")</f>
        <v/>
      </c>
      <c r="Z63">
        <f>IFERROR((W63-(((E63/100000+F63/100+R63/200)*200*I63*H63)+((E63*F63/25000)*I63*H63))/3)/(((J63/5)*200*I63*H63)+((J63*R63/2.5)*I63*H63)+((E63*F63*J63*R63*I63*H63)/12500000))/3*1000,"")</f>
        <v/>
      </c>
    </row>
    <row r="64">
      <c r="B64" s="6" t="inlineStr">
        <is>
          <t xml:space="preserve">  ↳ HMGo</t>
        </is>
      </c>
      <c r="C64" s="6" t="inlineStr">
        <is>
          <t>Armament@damage</t>
        </is>
      </c>
      <c r="K64" s="5" t="n">
        <v>4000</v>
      </c>
      <c r="L64" s="5" t="n">
        <v>8</v>
      </c>
      <c r="M64" s="5" t="n">
        <v>9</v>
      </c>
      <c r="N64" s="5" t="n">
        <v>2</v>
      </c>
      <c r="O64" s="5" t="n">
        <v>6000</v>
      </c>
      <c r="P64" s="5" t="n">
        <v>1</v>
      </c>
      <c r="Q64">
        <f>L64+IF(M64&gt;1,N(N64)*(M64-1),0)</f>
        <v/>
      </c>
      <c r="R64">
        <f>IFERROR(K64*MAX(M64,1)/Q64*P64,0)</f>
        <v/>
      </c>
      <c r="AA64" s="6" t="inlineStr">
        <is>
          <t>^SmallArms</t>
        </is>
      </c>
    </row>
    <row r="65">
      <c r="B65" s="6" t="inlineStr">
        <is>
          <t xml:space="preserve">  ↳ HMGo_upgrade</t>
        </is>
      </c>
      <c r="C65" s="6" t="inlineStr">
        <is>
          <t>Armament@damageLaser</t>
        </is>
      </c>
      <c r="K65" s="5" t="n">
        <v>2000</v>
      </c>
      <c r="L65" s="5" t="n">
        <v>8</v>
      </c>
      <c r="M65" s="5" t="n">
        <v>9</v>
      </c>
      <c r="N65" s="5" t="n">
        <v>2</v>
      </c>
      <c r="O65" s="5" t="n">
        <v>6000</v>
      </c>
      <c r="P65" s="5" t="n">
        <v>1</v>
      </c>
      <c r="Q65">
        <f>L65+IF(M65&gt;1,N(N65)*(M65-1),0)</f>
        <v/>
      </c>
      <c r="R65">
        <f>IFERROR(K65*MAX(M65,1)/Q65*P65,0)</f>
        <v/>
      </c>
      <c r="AA65" s="6" t="inlineStr">
        <is>
          <t>^LaserWeapon, ^Chaingun, ^SmallArms</t>
        </is>
      </c>
    </row>
    <row r="66">
      <c r="A66" t="inlineStr">
        <is>
          <t>d2k</t>
        </is>
      </c>
      <c r="B66" t="inlineStr">
        <is>
          <t>ordos_spiceharvester</t>
        </is>
      </c>
      <c r="C66" t="inlineStr">
        <is>
          <t>Ordos Spice Harvester</t>
        </is>
      </c>
      <c r="D66" t="inlineStr"/>
      <c r="E66" s="5" t="n">
        <v>200000</v>
      </c>
      <c r="F66" s="5" t="n">
        <v>45</v>
      </c>
      <c r="G66" t="inlineStr">
        <is>
          <t>Heavy</t>
        </is>
      </c>
      <c r="H66" s="5" t="n">
        <v>1</v>
      </c>
      <c r="I66" s="5" t="n">
        <v>1</v>
      </c>
      <c r="J66" s="5" t="n">
        <v>1</v>
      </c>
      <c r="W66" s="5" t="n">
        <v>500</v>
      </c>
    </row>
    <row r="67">
      <c r="A67" t="inlineStr">
        <is>
          <t>d2k</t>
        </is>
      </c>
      <c r="B67" t="inlineStr">
        <is>
          <t>ordos_stealthraider</t>
        </is>
      </c>
      <c r="C67" t="inlineStr">
        <is>
          <t>Stealth Raider</t>
        </is>
      </c>
      <c r="D67" t="inlineStr"/>
      <c r="E67" s="5" t="n">
        <v>60000</v>
      </c>
      <c r="F67" s="5" t="n">
        <v>180</v>
      </c>
      <c r="G67" t="inlineStr">
        <is>
          <t>Scout</t>
        </is>
      </c>
      <c r="H67" s="5" t="n">
        <v>1</v>
      </c>
      <c r="I67" s="5" t="n">
        <v>1.25</v>
      </c>
      <c r="J67" s="5" t="n">
        <v>1.25</v>
      </c>
      <c r="O67">
        <f>MAX(O68,O69)</f>
        <v/>
      </c>
      <c r="R67">
        <f>R68+R69</f>
        <v/>
      </c>
      <c r="S67">
        <f>(E67/100000+F67/100+(O67/1000)*J67/5+R67/200)*200*I67*H67</f>
        <v/>
      </c>
      <c r="T67">
        <f>((E67*F67/25000)+((O67/1000)*J67*R67/2.5))*I67*H67</f>
        <v/>
      </c>
      <c r="U67">
        <f>(E67*F67*(O67/1000)*J67*R67*I67*H67)/12500000</f>
        <v/>
      </c>
      <c r="V67">
        <f>(S67+T67+U67)/3</f>
        <v/>
      </c>
      <c r="W67" s="5" t="n">
        <v>1300</v>
      </c>
      <c r="X67">
        <f>IFERROR(V67-W67,"")</f>
        <v/>
      </c>
      <c r="Y67">
        <f>IFERROR(ABS(X67)/MAX(W67,1),"")</f>
        <v/>
      </c>
      <c r="Z67">
        <f>IFERROR((W67-(((E67/100000+F67/100+R67/200)*200*I67*H67)+((E67*F67/25000)*I67*H67))/3)/(((J67/5)*200*I67*H67)+((J67*R67/2.5)*I67*H67)+((E67*F67*J67*R67*I67*H67)/12500000))/3*1000,"")</f>
        <v/>
      </c>
    </row>
    <row r="68">
      <c r="B68" s="6" t="inlineStr">
        <is>
          <t xml:space="preserve">  ↳ HMGstealth</t>
        </is>
      </c>
      <c r="C68" s="6" t="inlineStr">
        <is>
          <t>Armament@damage</t>
        </is>
      </c>
      <c r="K68" s="5" t="n">
        <v>2000</v>
      </c>
      <c r="L68" s="5" t="n">
        <v>33</v>
      </c>
      <c r="M68" s="5" t="n">
        <v>4</v>
      </c>
      <c r="N68" s="5" t="n">
        <v>2</v>
      </c>
      <c r="O68" s="5" t="n">
        <v>4857</v>
      </c>
      <c r="P68" s="5" t="n">
        <v>1</v>
      </c>
      <c r="Q68">
        <f>L68+IF(M68&gt;1,N(N68)*(M68-1),0)</f>
        <v/>
      </c>
      <c r="R68">
        <f>IFERROR(K68*MAX(M68,1)/Q68*P68,0)</f>
        <v/>
      </c>
      <c r="AA68" s="6" t="inlineStr">
        <is>
          <t>^SmallArms, ^Chaingun</t>
        </is>
      </c>
    </row>
    <row r="69">
      <c r="B69" s="6" t="inlineStr">
        <is>
          <t xml:space="preserve">  ↳ HMGstealth_upgrade</t>
        </is>
      </c>
      <c r="C69" s="6" t="inlineStr">
        <is>
          <t>Armament@damageLaser</t>
        </is>
      </c>
      <c r="K69" s="5" t="n">
        <v>2000</v>
      </c>
      <c r="L69" s="5" t="n">
        <v>33</v>
      </c>
      <c r="M69" s="5" t="n">
        <v>4</v>
      </c>
      <c r="N69" s="5" t="n">
        <v>2</v>
      </c>
      <c r="O69" s="5" t="n">
        <v>4857</v>
      </c>
      <c r="P69" s="5" t="n">
        <v>1</v>
      </c>
      <c r="Q69">
        <f>L69+IF(M69&gt;1,N(N69)*(M69-1),0)</f>
        <v/>
      </c>
      <c r="R69">
        <f>IFERROR(K69*MAX(M69,1)/Q69*P69,0)</f>
        <v/>
      </c>
      <c r="AA69" s="6" t="inlineStr">
        <is>
          <t>^LaserWeapon, ^SmallArms, ^Chaingun</t>
        </is>
      </c>
    </row>
    <row r="70">
      <c r="A70" t="inlineStr">
        <is>
          <t>d2k</t>
        </is>
      </c>
      <c r="B70" t="inlineStr">
        <is>
          <t>ordos_tankdestroyer</t>
        </is>
      </c>
      <c r="C70" t="inlineStr">
        <is>
          <t>Tank Destroyer</t>
        </is>
      </c>
      <c r="D70" t="inlineStr"/>
      <c r="E70" s="5" t="n">
        <v>80000</v>
      </c>
      <c r="F70" s="5" t="n">
        <v>90</v>
      </c>
      <c r="G70" t="inlineStr">
        <is>
          <t>Medium</t>
        </is>
      </c>
      <c r="H70" s="5" t="n">
        <v>1</v>
      </c>
      <c r="I70" s="5" t="n">
        <v>1</v>
      </c>
      <c r="J70" s="5" t="n">
        <v>1</v>
      </c>
      <c r="O70">
        <f>MAX(O71)</f>
        <v/>
      </c>
      <c r="R70">
        <f>R71</f>
        <v/>
      </c>
      <c r="S70">
        <f>(E70/100000+F70/100+(O70/1000)*J70/5+R70/200)*200*I70*H70</f>
        <v/>
      </c>
      <c r="T70">
        <f>((E70*F70/25000)+((O70/1000)*J70*R70/2.5))*I70*H70</f>
        <v/>
      </c>
      <c r="U70">
        <f>(E70*F70*(O70/1000)*J70*R70*I70*H70)/12500000</f>
        <v/>
      </c>
      <c r="V70">
        <f>(S70+T70+U70)/3</f>
        <v/>
      </c>
      <c r="W70" s="5" t="n">
        <v>2200</v>
      </c>
      <c r="X70">
        <f>IFERROR(V70-W70,"")</f>
        <v/>
      </c>
      <c r="Y70">
        <f>IFERROR(ABS(X70)/MAX(W70,1),"")</f>
        <v/>
      </c>
      <c r="Z70">
        <f>IFERROR((W70-(((E70/100000+F70/100+R70/200)*200*I70*H70)+((E70*F70/25000)*I70*H70))/3)/(((J70/5)*200*I70*H70)+((J70*R70/2.5)*I70*H70)+((E70*F70*J70*R70*I70*H70)/12500000))/3*1000,"")</f>
        <v/>
      </c>
    </row>
    <row r="71">
      <c r="B71" s="6" t="inlineStr">
        <is>
          <t xml:space="preserve">  ↳ 120mm_td</t>
        </is>
      </c>
      <c r="C71" s="6" t="inlineStr">
        <is>
          <t>Armament</t>
        </is>
      </c>
      <c r="K71" s="5" t="n">
        <v>14000</v>
      </c>
      <c r="L71" s="5" t="n">
        <v>72</v>
      </c>
      <c r="M71" s="5" t="n">
        <v>1</v>
      </c>
      <c r="N71" s="5" t="n"/>
      <c r="O71" s="5" t="n">
        <v>8500</v>
      </c>
      <c r="P71" s="5" t="n">
        <v>1</v>
      </c>
      <c r="Q71">
        <f>L71+IF(M71&gt;1,N(N71)*(M71-1),0)</f>
        <v/>
      </c>
      <c r="R71">
        <f>IFERROR(K71*MAX(M71,1)/Q71*P71,0)</f>
        <v/>
      </c>
      <c r="AA71" s="6" t="inlineStr">
        <is>
          <t>^MediumChemicalWeapon, ^LightChemicalWeapon, ^D2K_Cannon, ^TankDestroyerCannon</t>
        </is>
      </c>
    </row>
    <row r="72">
      <c r="A72" s="3" t="inlineStr">
        <is>
          <t>AIRCRAFT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</row>
    <row r="73">
      <c r="A73" t="inlineStr">
        <is>
          <t>d2k</t>
        </is>
      </c>
      <c r="B73" t="inlineStr">
        <is>
          <t>carryall_reinforce.ordos</t>
        </is>
      </c>
      <c r="C73" t="inlineStr">
        <is>
          <t>Advanced Carryall</t>
        </is>
      </c>
      <c r="D73" t="inlineStr"/>
      <c r="E73" s="5" t="n">
        <v>500000</v>
      </c>
      <c r="F73" s="5" t="n">
        <v>156</v>
      </c>
      <c r="G73" t="inlineStr">
        <is>
          <t>Bomber</t>
        </is>
      </c>
      <c r="H73" s="5" t="n">
        <v>1</v>
      </c>
      <c r="I73" s="5" t="n">
        <v>1</v>
      </c>
      <c r="J73" s="5" t="n">
        <v>1</v>
      </c>
      <c r="O73">
        <f>MAX(O74,O75)</f>
        <v/>
      </c>
      <c r="R73">
        <f>R74+R75</f>
        <v/>
      </c>
      <c r="S73">
        <f>(E73/100000+F73/100+(O73/1000)*J73/5+R73/200)*200*I73*H73</f>
        <v/>
      </c>
      <c r="T73">
        <f>((E73*F73/25000)+((O73/1000)*J73*R73/2.5))*I73*H73</f>
        <v/>
      </c>
      <c r="U73">
        <f>(E73*F73*(O73/1000)*J73*R73*I73*H73)/12500000</f>
        <v/>
      </c>
      <c r="V73">
        <f>(S73+T73+U73)/3</f>
        <v/>
      </c>
      <c r="W73" s="5" t="n">
        <v>5000</v>
      </c>
      <c r="X73">
        <f>IFERROR(V73-W73,"")</f>
        <v/>
      </c>
      <c r="Y73">
        <f>IFERROR(ABS(X73)/MAX(W73,1),"")</f>
        <v/>
      </c>
      <c r="Z73">
        <f>IFERROR((W73-(((E73/100000+F73/100+R73/200)*200*I73*H73)+((E73*F73/25000)*I73*H73))/3)/(((J73/5)*200*I73*H73)+((J73*R73/2.5)*I73*H73)+((E73*F73*J73*R73*I73*H73)/12500000))/3*1000,"")</f>
        <v/>
      </c>
    </row>
    <row r="74">
      <c r="B74" s="6" t="inlineStr">
        <is>
          <t xml:space="preserve">  ↳ d2kCarryallChainGun</t>
        </is>
      </c>
      <c r="C74" s="6" t="inlineStr">
        <is>
          <t>Armament@PRIMARY</t>
        </is>
      </c>
      <c r="K74" s="5" t="n">
        <v>4000</v>
      </c>
      <c r="L74" s="5" t="n">
        <v>20</v>
      </c>
      <c r="M74" s="5" t="n">
        <v>4</v>
      </c>
      <c r="N74" s="5" t="n">
        <v>1</v>
      </c>
      <c r="O74" s="5" t="n">
        <v>4000</v>
      </c>
      <c r="P74" s="5" t="n">
        <v>1</v>
      </c>
      <c r="Q74">
        <f>L74+IF(M74&gt;1,N(N74)*(M74-1),0)</f>
        <v/>
      </c>
      <c r="R74">
        <f>IFERROR(K74*MAX(M74,1)/Q74*P74,0)</f>
        <v/>
      </c>
      <c r="AA74" s="6" t="inlineStr">
        <is>
          <t>^Chaingun</t>
        </is>
      </c>
    </row>
    <row r="75">
      <c r="B75" s="6" t="inlineStr">
        <is>
          <t xml:space="preserve">  ↳ d2kCarryallChainGun_upgrade</t>
        </is>
      </c>
      <c r="C75" s="6" t="inlineStr">
        <is>
          <t>Armament@PRIMARYLaser</t>
        </is>
      </c>
      <c r="K75" s="5" t="n">
        <v>4000</v>
      </c>
      <c r="L75" s="5" t="n">
        <v>20</v>
      </c>
      <c r="M75" s="5" t="n">
        <v>4</v>
      </c>
      <c r="N75" s="5" t="n">
        <v>1</v>
      </c>
      <c r="O75" s="5" t="n">
        <v>4000</v>
      </c>
      <c r="P75" s="5" t="n">
        <v>1</v>
      </c>
      <c r="Q75">
        <f>L75+IF(M75&gt;1,N(N75)*(M75-1),0)</f>
        <v/>
      </c>
      <c r="R75">
        <f>IFERROR(K75*MAX(M75,1)/Q75*P75,0)</f>
        <v/>
      </c>
      <c r="AA75" s="6" t="inlineStr">
        <is>
          <t>^LaserWeapon, ^Chaingun</t>
        </is>
      </c>
    </row>
    <row r="76">
      <c r="A76" t="inlineStr">
        <is>
          <t>d2k</t>
        </is>
      </c>
      <c r="B76" t="inlineStr">
        <is>
          <t>ordos_advancedcarryall</t>
        </is>
      </c>
      <c r="C76" t="inlineStr">
        <is>
          <t>Advanced Carryall</t>
        </is>
      </c>
      <c r="D76" t="inlineStr"/>
      <c r="E76" s="5" t="n">
        <v>200000</v>
      </c>
      <c r="F76" s="5" t="n">
        <v>156</v>
      </c>
      <c r="G76" t="inlineStr">
        <is>
          <t>Bomber</t>
        </is>
      </c>
      <c r="H76" s="5" t="n">
        <v>1</v>
      </c>
      <c r="I76" s="5" t="n">
        <v>1</v>
      </c>
      <c r="J76" s="5" t="n">
        <v>1</v>
      </c>
      <c r="O76">
        <f>MAX(O77,O78)</f>
        <v/>
      </c>
      <c r="R76">
        <f>R77+R78</f>
        <v/>
      </c>
      <c r="S76">
        <f>(E76/100000+F76/100+(O76/1000)*J76/5+R76/200)*200*I76*H76</f>
        <v/>
      </c>
      <c r="T76">
        <f>((E76*F76/25000)+((O76/1000)*J76*R76/2.5))*I76*H76</f>
        <v/>
      </c>
      <c r="U76">
        <f>(E76*F76*(O76/1000)*J76*R76*I76*H76)/12500000</f>
        <v/>
      </c>
      <c r="V76">
        <f>(S76+T76+U76)/3</f>
        <v/>
      </c>
      <c r="W76" s="5" t="n">
        <v>2000</v>
      </c>
      <c r="X76">
        <f>IFERROR(V76-W76,"")</f>
        <v/>
      </c>
      <c r="Y76">
        <f>IFERROR(ABS(X76)/MAX(W76,1),"")</f>
        <v/>
      </c>
      <c r="Z76">
        <f>IFERROR((W76-(((E76/100000+F76/100+R76/200)*200*I76*H76)+((E76*F76/25000)*I76*H76))/3)/(((J76/5)*200*I76*H76)+((J76*R76/2.5)*I76*H76)+((E76*F76*J76*R76*I76*H76)/12500000))/3*1000,"")</f>
        <v/>
      </c>
    </row>
    <row r="77">
      <c r="B77" s="6" t="inlineStr">
        <is>
          <t xml:space="preserve">  ↳ d2kCarryallChainGun</t>
        </is>
      </c>
      <c r="C77" s="6" t="inlineStr">
        <is>
          <t>Armament@PRIMARY</t>
        </is>
      </c>
      <c r="K77" s="5" t="n">
        <v>4000</v>
      </c>
      <c r="L77" s="5" t="n">
        <v>20</v>
      </c>
      <c r="M77" s="5" t="n">
        <v>4</v>
      </c>
      <c r="N77" s="5" t="n">
        <v>1</v>
      </c>
      <c r="O77" s="5" t="n">
        <v>4000</v>
      </c>
      <c r="P77" s="5" t="n">
        <v>1</v>
      </c>
      <c r="Q77">
        <f>L77+IF(M77&gt;1,N(N77)*(M77-1),0)</f>
        <v/>
      </c>
      <c r="R77">
        <f>IFERROR(K77*MAX(M77,1)/Q77*P77,0)</f>
        <v/>
      </c>
      <c r="AA77" s="6" t="inlineStr">
        <is>
          <t>^Chaingun</t>
        </is>
      </c>
    </row>
    <row r="78">
      <c r="B78" s="6" t="inlineStr">
        <is>
          <t xml:space="preserve">  ↳ d2kCarryallChainGun_upgrade</t>
        </is>
      </c>
      <c r="C78" s="6" t="inlineStr">
        <is>
          <t>Armament@PRIMARYLaser</t>
        </is>
      </c>
      <c r="K78" s="5" t="n">
        <v>4000</v>
      </c>
      <c r="L78" s="5" t="n">
        <v>20</v>
      </c>
      <c r="M78" s="5" t="n">
        <v>4</v>
      </c>
      <c r="N78" s="5" t="n">
        <v>1</v>
      </c>
      <c r="O78" s="5" t="n">
        <v>4000</v>
      </c>
      <c r="P78" s="5" t="n">
        <v>1</v>
      </c>
      <c r="Q78">
        <f>L78+IF(M78&gt;1,N(N78)*(M78-1),0)</f>
        <v/>
      </c>
      <c r="R78">
        <f>IFERROR(K78*MAX(M78,1)/Q78*P78,0)</f>
        <v/>
      </c>
      <c r="AA78" s="6" t="inlineStr">
        <is>
          <t>^LaserWeapon, ^Chaingun</t>
        </is>
      </c>
    </row>
    <row r="79">
      <c r="A79" t="inlineStr">
        <is>
          <t>d2k</t>
        </is>
      </c>
      <c r="B79" t="inlineStr">
        <is>
          <t>ordos_airmine</t>
        </is>
      </c>
      <c r="C79" t="inlineStr">
        <is>
          <t>Air Mine</t>
        </is>
      </c>
      <c r="D79" t="inlineStr"/>
      <c r="E79" s="5" t="n">
        <v>25000</v>
      </c>
      <c r="F79" s="5" t="n">
        <v>35</v>
      </c>
      <c r="G79" t="inlineStr">
        <is>
          <t>Light</t>
        </is>
      </c>
      <c r="H79" s="5" t="n">
        <v>1</v>
      </c>
      <c r="I79" s="5" t="n">
        <v>1</v>
      </c>
      <c r="J79" s="5" t="n">
        <v>1</v>
      </c>
      <c r="O79">
        <f>MAX(O80)</f>
        <v/>
      </c>
      <c r="R79">
        <f>R80</f>
        <v/>
      </c>
      <c r="S79">
        <f>(E79/100000+F79/100+(O79/1000)*J79/5+R79/200)*200*I79*H79</f>
        <v/>
      </c>
      <c r="T79">
        <f>((E79*F79/25000)+((O79/1000)*J79*R79/2.5))*I79*H79</f>
        <v/>
      </c>
      <c r="U79">
        <f>(E79*F79*(O79/1000)*J79*R79*I79*H79)/12500000</f>
        <v/>
      </c>
      <c r="V79">
        <f>(S79+T79+U79)/3</f>
        <v/>
      </c>
      <c r="W79" s="5" t="n">
        <v>500</v>
      </c>
      <c r="X79">
        <f>IFERROR(V79-W79,"")</f>
        <v/>
      </c>
      <c r="Y79">
        <f>IFERROR(ABS(X79)/MAX(W79,1),"")</f>
        <v/>
      </c>
      <c r="Z79">
        <f>IFERROR((W79-(((E79/100000+F79/100+R79/200)*200*I79*H79)+((E79*F79/25000)*I79*H79))/3)/(((J79/5)*200*I79*H79)+((J79*R79/2.5)*I79*H79)+((E79*F79*J79*R79*I79*H79)/12500000))/3*1000,"")</f>
        <v/>
      </c>
    </row>
    <row r="80">
      <c r="B80" s="6" t="inlineStr">
        <is>
          <t xml:space="preserve">  ↳ ordos_airmine</t>
        </is>
      </c>
      <c r="C80" s="6" t="inlineStr">
        <is>
          <t>Armament@PRIMARY</t>
        </is>
      </c>
      <c r="K80" s="5" t="n">
        <v>10000</v>
      </c>
      <c r="L80" s="5" t="n">
        <v>132</v>
      </c>
      <c r="M80" s="5" t="n">
        <v>15</v>
      </c>
      <c r="N80" s="5" t="n">
        <v>0</v>
      </c>
      <c r="O80" s="5" t="n">
        <v>2048</v>
      </c>
      <c r="P80" s="5" t="n">
        <v>1</v>
      </c>
      <c r="Q80">
        <f>L80+IF(M80&gt;1,N(N80)*(M80-1),0)</f>
        <v/>
      </c>
      <c r="R80">
        <f>IFERROR(K80*MAX(M80,1)/Q80*P80,0)</f>
        <v/>
      </c>
      <c r="AA80" s="6" t="inlineStr">
        <is>
          <t>^TankDestroyerCannon, ^LightChemicalWeapon, ^FlakWeapon, ^MediumMissile, ^HeavyBomb, ^D2KMissile</t>
        </is>
      </c>
    </row>
    <row r="81">
      <c r="A81" t="inlineStr">
        <is>
          <t>d2k</t>
        </is>
      </c>
      <c r="B81" t="inlineStr">
        <is>
          <t>ordos_banshee</t>
        </is>
      </c>
      <c r="C81" t="inlineStr">
        <is>
          <t>Banshee</t>
        </is>
      </c>
      <c r="D81" t="inlineStr"/>
      <c r="E81" s="5" t="n">
        <v>37500</v>
      </c>
      <c r="F81" s="5" t="n">
        <v>165</v>
      </c>
      <c r="G81" t="inlineStr">
        <is>
          <t>Helicopter</t>
        </is>
      </c>
      <c r="H81" s="5" t="n">
        <v>0.75</v>
      </c>
      <c r="I81" s="5" t="n">
        <v>1</v>
      </c>
      <c r="J81" s="5" t="n">
        <v>1</v>
      </c>
      <c r="O81">
        <f>MAX(O82,O83,O84)</f>
        <v/>
      </c>
      <c r="R81">
        <f>R82+R83+R84</f>
        <v/>
      </c>
      <c r="S81">
        <f>(E81/100000+F81/100+(O81/1000)*J81/5+R81/200)*200*I81*H81</f>
        <v/>
      </c>
      <c r="T81">
        <f>((E81*F81/25000)+((O81/1000)*J81*R81/2.5))*I81*H81</f>
        <v/>
      </c>
      <c r="U81">
        <f>(E81*F81*(O81/1000)*J81*R81*I81*H81)/12500000</f>
        <v/>
      </c>
      <c r="V81">
        <f>(S81+T81+U81)/3</f>
        <v/>
      </c>
      <c r="W81" s="5" t="n">
        <v>2250</v>
      </c>
      <c r="X81">
        <f>IFERROR(V81-W81,"")</f>
        <v/>
      </c>
      <c r="Y81">
        <f>IFERROR(ABS(X81)/MAX(W81,1),"")</f>
        <v/>
      </c>
      <c r="Z81">
        <f>IFERROR((W81-(((E81/100000+F81/100+R81/200)*200*I81*H81)+((E81*F81/25000)*I81*H81))/3)/(((J81/5)*200*I81*H81)+((J81*R81/2.5)*I81*H81)+((E81*F81*J81*R81*I81*H81)/12500000))/3*1000,"")</f>
        <v/>
      </c>
    </row>
    <row r="82">
      <c r="B82" s="6" t="inlineStr">
        <is>
          <t xml:space="preserve">  ↳ Laboratory_Bioball</t>
        </is>
      </c>
      <c r="C82" s="6" t="inlineStr">
        <is>
          <t>Armament</t>
        </is>
      </c>
      <c r="K82" s="5" t="n">
        <v>10000</v>
      </c>
      <c r="L82" s="5" t="n">
        <v>42</v>
      </c>
      <c r="M82" s="5" t="n">
        <v>1</v>
      </c>
      <c r="N82" s="5" t="n"/>
      <c r="O82" s="5" t="n">
        <v>6500</v>
      </c>
      <c r="P82" s="5" t="n">
        <v>1</v>
      </c>
      <c r="Q82">
        <f>L82+IF(M82&gt;1,N(N82)*(M82-1),0)</f>
        <v/>
      </c>
      <c r="R82">
        <f>IFERROR(K82*MAX(M82,1)/Q82*P82,0)</f>
        <v/>
      </c>
      <c r="AA82" s="6" t="inlineStr">
        <is>
          <t>^Grenade, ^ShrapnelWeapon, ^HeavyCannon, ^MediumFlameWeapon, ^MediumChemicalWeapon</t>
        </is>
      </c>
    </row>
    <row r="83">
      <c r="B83" s="6" t="inlineStr">
        <is>
          <t xml:space="preserve">  ↳ D2K_APC_Rocket_AA</t>
        </is>
      </c>
      <c r="C83" s="6" t="inlineStr">
        <is>
          <t>Armament@aa1</t>
        </is>
      </c>
      <c r="K83" s="5" t="n">
        <v>8000</v>
      </c>
      <c r="L83" s="5" t="n">
        <v>42</v>
      </c>
      <c r="M83" s="5" t="n">
        <v>1</v>
      </c>
      <c r="N83" s="5" t="n"/>
      <c r="O83" s="5" t="n">
        <v>6500</v>
      </c>
      <c r="P83" s="5" t="n">
        <v>1</v>
      </c>
      <c r="Q83">
        <f>L83+IF(M83&gt;1,N(N83)*(M83-1),0)</f>
        <v/>
      </c>
      <c r="R83">
        <f>IFERROR(K83*MAX(M83,1)/Q83*P83,0)</f>
        <v/>
      </c>
      <c r="AA83" s="6" t="inlineStr">
        <is>
          <t>^LightMissile, ^MediumMissile, ^D2KRocket</t>
        </is>
      </c>
    </row>
    <row r="84">
      <c r="B84" s="6" t="inlineStr">
        <is>
          <t xml:space="preserve">  ↳ D2K_APC_Rocket_AA</t>
        </is>
      </c>
      <c r="C84" s="6" t="inlineStr">
        <is>
          <t>Armament@aa2</t>
        </is>
      </c>
      <c r="K84" s="5" t="n">
        <v>8000</v>
      </c>
      <c r="L84" s="5" t="n">
        <v>42</v>
      </c>
      <c r="M84" s="5" t="n">
        <v>1</v>
      </c>
      <c r="N84" s="5" t="n"/>
      <c r="O84" s="5" t="n">
        <v>6500</v>
      </c>
      <c r="P84" s="5" t="n">
        <v>1</v>
      </c>
      <c r="Q84">
        <f>L84+IF(M84&gt;1,N(N84)*(M84-1),0)</f>
        <v/>
      </c>
      <c r="R84">
        <f>IFERROR(K84*MAX(M84,1)/Q84*P84,0)</f>
        <v/>
      </c>
      <c r="AA84" s="6" t="inlineStr">
        <is>
          <t>^LightMissile, ^MediumMissile, ^D2KRocket</t>
        </is>
      </c>
    </row>
    <row r="85">
      <c r="A85" t="inlineStr">
        <is>
          <t>d2k</t>
        </is>
      </c>
      <c r="B85" t="inlineStr">
        <is>
          <t>ordos_eyeinthesky</t>
        </is>
      </c>
      <c r="C85" t="inlineStr">
        <is>
          <t>Eye In The Sky</t>
        </is>
      </c>
      <c r="D85" t="inlineStr"/>
      <c r="E85" s="5" t="n">
        <v>150000</v>
      </c>
      <c r="F85" s="5" t="n">
        <v>180</v>
      </c>
      <c r="G85" t="inlineStr">
        <is>
          <t>Bomber</t>
        </is>
      </c>
      <c r="H85" s="5" t="n">
        <v>0.75</v>
      </c>
      <c r="I85" s="5" t="n">
        <v>1</v>
      </c>
      <c r="J85" s="5" t="n">
        <v>1</v>
      </c>
      <c r="O85">
        <f>MAX(O86)</f>
        <v/>
      </c>
      <c r="R85">
        <f>R86</f>
        <v/>
      </c>
      <c r="S85">
        <f>(E85/100000+F85/100+(O85/1000)*J85/5+R85/200)*200*I85*H85</f>
        <v/>
      </c>
      <c r="T85">
        <f>((E85*F85/25000)+((O85/1000)*J85*R85/2.5))*I85*H85</f>
        <v/>
      </c>
      <c r="U85">
        <f>(E85*F85*(O85/1000)*J85*R85*I85*H85)/12500000</f>
        <v/>
      </c>
      <c r="V85">
        <f>(S85+T85+U85)/3</f>
        <v/>
      </c>
      <c r="W85" s="5" t="n">
        <v>2500</v>
      </c>
      <c r="X85">
        <f>IFERROR(V85-W85,"")</f>
        <v/>
      </c>
      <c r="Y85">
        <f>IFERROR(ABS(X85)/MAX(W85,1),"")</f>
        <v/>
      </c>
      <c r="Z85">
        <f>IFERROR((W85-(((E85/100000+F85/100+R85/200)*200*I85*H85)+((E85*F85/25000)*I85*H85))/3)/(((J85/5)*200*I85*H85)+((J85*R85/2.5)*I85*H85)+((E85*F85*J85*R85*I85*H85)/12500000))/3*1000,"")</f>
        <v/>
      </c>
    </row>
    <row r="86">
      <c r="B86" s="6" t="inlineStr">
        <is>
          <t xml:space="preserve">  ↳ eye_bomberguy</t>
        </is>
      </c>
      <c r="C86" s="6" t="inlineStr">
        <is>
          <t>Armament@PRIMARY</t>
        </is>
      </c>
      <c r="K86" s="5" t="n">
        <v>20000</v>
      </c>
      <c r="L86" s="5" t="n">
        <v>125</v>
      </c>
      <c r="M86" s="5" t="n">
        <v>1</v>
      </c>
      <c r="N86" s="5" t="n"/>
      <c r="O86" s="5" t="n">
        <v>3905</v>
      </c>
      <c r="P86" s="5" t="n">
        <v>1</v>
      </c>
      <c r="Q86">
        <f>L86+IF(M86&gt;1,N(N86)*(M86-1),0)</f>
        <v/>
      </c>
      <c r="R86">
        <f>IFERROR(K86*MAX(M86,1)/Q86*P86,0)</f>
        <v/>
      </c>
      <c r="AA86" s="6" t="inlineStr">
        <is>
          <t>^Grenade, ^MediumChemicalWeapon, ^MediumFlameWeapon, ^ShrapnelWeapon, ^HeavyBomb</t>
        </is>
      </c>
    </row>
    <row r="87">
      <c r="A87" t="inlineStr">
        <is>
          <t>d2k</t>
        </is>
      </c>
      <c r="B87" t="inlineStr">
        <is>
          <t>ordos_swarmerdrone</t>
        </is>
      </c>
      <c r="C87" t="inlineStr">
        <is>
          <t>Swarmer Drone</t>
        </is>
      </c>
      <c r="D87" t="inlineStr"/>
      <c r="E87" s="5" t="n">
        <v>20000</v>
      </c>
      <c r="F87" s="5" t="n">
        <v>260</v>
      </c>
      <c r="G87" t="inlineStr">
        <is>
          <t>Fighter</t>
        </is>
      </c>
      <c r="H87" s="5" t="n">
        <v>1</v>
      </c>
      <c r="I87" s="5" t="n">
        <v>1</v>
      </c>
      <c r="J87" s="5" t="n">
        <v>1</v>
      </c>
      <c r="O87">
        <f>MAX(O88,O89)</f>
        <v/>
      </c>
      <c r="R87">
        <f>R88+R89</f>
        <v/>
      </c>
      <c r="S87">
        <f>(E87/100000+F87/100+(O87/1000)*J87/5+R87/200)*200*I87*H87</f>
        <v/>
      </c>
      <c r="T87">
        <f>((E87*F87/25000)+((O87/1000)*J87*R87/2.5))*I87*H87</f>
        <v/>
      </c>
      <c r="U87">
        <f>(E87*F87*(O87/1000)*J87*R87*I87*H87)/12500000</f>
        <v/>
      </c>
      <c r="V87">
        <f>(S87+T87+U87)/3</f>
        <v/>
      </c>
      <c r="W87" s="5" t="n">
        <v>800</v>
      </c>
      <c r="X87">
        <f>IFERROR(V87-W87,"")</f>
        <v/>
      </c>
      <c r="Y87">
        <f>IFERROR(ABS(X87)/MAX(W87,1),"")</f>
        <v/>
      </c>
      <c r="Z87">
        <f>IFERROR((W87-(((E87/100000+F87/100+R87/200)*200*I87*H87)+((E87*F87/25000)*I87*H87))/3)/(((J87/5)*200*I87*H87)+((J87*R87/2.5)*I87*H87)+((E87*F87*J87*R87*I87*H87)/12500000))/3*1000,"")</f>
        <v/>
      </c>
    </row>
    <row r="88">
      <c r="B88" s="6" t="inlineStr">
        <is>
          <t xml:space="preserve">  ↳ d2kChainGun</t>
        </is>
      </c>
      <c r="C88" s="6" t="inlineStr">
        <is>
          <t>Armament@PRIMARY</t>
        </is>
      </c>
      <c r="K88" s="5" t="n">
        <v>4000</v>
      </c>
      <c r="L88" s="5" t="n">
        <v>60</v>
      </c>
      <c r="M88" s="5" t="n">
        <v>5</v>
      </c>
      <c r="N88" s="5" t="n">
        <v>2</v>
      </c>
      <c r="O88" s="5" t="n">
        <v>6184</v>
      </c>
      <c r="P88" s="5" t="n">
        <v>1</v>
      </c>
      <c r="Q88">
        <f>L88+IF(M88&gt;1,N(N88)*(M88-1),0)</f>
        <v/>
      </c>
      <c r="R88">
        <f>IFERROR(K88*MAX(M88,1)/Q88*P88,0)</f>
        <v/>
      </c>
      <c r="AA88" s="6" t="inlineStr">
        <is>
          <t>^Chaingun</t>
        </is>
      </c>
    </row>
    <row r="89">
      <c r="B89" s="6" t="inlineStr">
        <is>
          <t xml:space="preserve">  ↳ d2kChainGun_upgrade</t>
        </is>
      </c>
      <c r="C89" s="6" t="inlineStr">
        <is>
          <t>Armament@PRIMARYLaser</t>
        </is>
      </c>
      <c r="K89" s="5" t="n">
        <v>4000</v>
      </c>
      <c r="L89" s="5" t="n">
        <v>60</v>
      </c>
      <c r="M89" s="5" t="n">
        <v>5</v>
      </c>
      <c r="N89" s="5" t="n">
        <v>2</v>
      </c>
      <c r="O89" s="5" t="n">
        <v>6184</v>
      </c>
      <c r="P89" s="5" t="n">
        <v>1</v>
      </c>
      <c r="Q89">
        <f>L89+IF(M89&gt;1,N(N89)*(M89-1),0)</f>
        <v/>
      </c>
      <c r="R89">
        <f>IFERROR(K89*MAX(M89,1)/Q89*P89,0)</f>
        <v/>
      </c>
      <c r="AA89" s="6" t="inlineStr">
        <is>
          <t>^LaserWeapon, ^Chaingun</t>
        </is>
      </c>
    </row>
    <row r="90">
      <c r="A90" t="inlineStr">
        <is>
          <t>d2k</t>
        </is>
      </c>
      <c r="B90" t="inlineStr">
        <is>
          <t>ordos_wraith</t>
        </is>
      </c>
      <c r="C90" t="inlineStr">
        <is>
          <t>Wraith</t>
        </is>
      </c>
      <c r="D90" t="inlineStr"/>
      <c r="E90" s="5" t="n">
        <v>375000</v>
      </c>
      <c r="F90" s="5" t="n">
        <v>45</v>
      </c>
      <c r="G90" t="inlineStr">
        <is>
          <t>Spaceship</t>
        </is>
      </c>
      <c r="H90" s="5" t="n">
        <v>1</v>
      </c>
      <c r="I90" s="5" t="n">
        <v>1</v>
      </c>
      <c r="J90" s="5" t="n">
        <v>1</v>
      </c>
      <c r="O90">
        <f>MAX(O91)</f>
        <v/>
      </c>
      <c r="R90">
        <f>R91</f>
        <v/>
      </c>
      <c r="S90">
        <f>(E90/100000+F90/100+(O90/1000)*J90/5+R90/200)*200*I90*H90</f>
        <v/>
      </c>
      <c r="T90">
        <f>((E90*F90/25000)+((O90/1000)*J90*R90/2.5))*I90*H90</f>
        <v/>
      </c>
      <c r="U90">
        <f>(E90*F90*(O90/1000)*J90*R90*I90*H90)/12500000</f>
        <v/>
      </c>
      <c r="V90">
        <f>(S90+T90+U90)/3</f>
        <v/>
      </c>
      <c r="W90" s="5" t="n">
        <v>7000</v>
      </c>
      <c r="X90">
        <f>IFERROR(V90-W90,"")</f>
        <v/>
      </c>
      <c r="Y90">
        <f>IFERROR(ABS(X90)/MAX(W90,1),"")</f>
        <v/>
      </c>
      <c r="Z90">
        <f>IFERROR((W90-(((E90/100000+F90/100+R90/200)*200*I90*H90)+((E90*F90/25000)*I90*H90))/3)/(((J90/5)*200*I90*H90)+((J90*R90/2.5)*I90*H90)+((E90*F90*J90*R90*I90*H90)/12500000))/3*1000,"")</f>
        <v/>
      </c>
    </row>
    <row r="91">
      <c r="B91" s="6" t="inlineStr">
        <is>
          <t xml:space="preserve">  ↳ Wraith_ToxinMissiles</t>
        </is>
      </c>
      <c r="C91" s="6" t="inlineStr">
        <is>
          <t>Armament@PRIMARY</t>
        </is>
      </c>
      <c r="K91" s="5" t="n">
        <v>10000</v>
      </c>
      <c r="L91" s="5" t="n">
        <v>125</v>
      </c>
      <c r="M91" s="5" t="n">
        <v>4</v>
      </c>
      <c r="N91" s="5" t="n">
        <v>25</v>
      </c>
      <c r="O91" s="5" t="n">
        <v>8370</v>
      </c>
      <c r="P91" s="5" t="n">
        <v>1</v>
      </c>
      <c r="Q91">
        <f>L91+IF(M91&gt;1,N(N91)*(M91-1),0)</f>
        <v/>
      </c>
      <c r="R91">
        <f>IFERROR(K91*MAX(M91,1)/Q91*P91,0)</f>
        <v/>
      </c>
      <c r="AA91" s="6" t="inlineStr">
        <is>
          <t>^ShrapnelWeapon, ^HeavyFlameWeapon, ^MediumChemicalWeapon, ^HeavyCannon, ^MediumMissile, ^D2KMissile</t>
        </is>
      </c>
    </row>
    <row r="92">
      <c r="A92" s="3" t="inlineStr">
        <is>
          <t>BUILDINGS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</row>
    <row r="93">
      <c r="A93" t="inlineStr">
        <is>
          <t>d2k</t>
        </is>
      </c>
      <c r="B93" t="inlineStr">
        <is>
          <t>ordos_artilleryplatform</t>
        </is>
      </c>
      <c r="C93" t="inlineStr">
        <is>
          <t>Artillery Platform</t>
        </is>
      </c>
      <c r="D93" t="inlineStr"/>
      <c r="E93" s="5" t="n">
        <v>125000</v>
      </c>
      <c r="F93" s="5" t="n"/>
      <c r="G93" t="inlineStr">
        <is>
          <t>Steel</t>
        </is>
      </c>
      <c r="H93" s="5" t="n">
        <v>1</v>
      </c>
      <c r="I93" s="5" t="n">
        <v>0.325</v>
      </c>
      <c r="J93" s="5" t="n">
        <v>1</v>
      </c>
      <c r="W93" s="5" t="n">
        <v>1200</v>
      </c>
    </row>
    <row r="94">
      <c r="B94" s="6" t="inlineStr">
        <is>
          <t xml:space="preserve">  ↳ D2K_155mm_turret</t>
        </is>
      </c>
      <c r="C94" s="6" t="inlineStr">
        <is>
          <t>Armament</t>
        </is>
      </c>
      <c r="K94" s="5" t="n">
        <v>12000</v>
      </c>
      <c r="L94" s="5" t="n">
        <v>74</v>
      </c>
      <c r="M94" s="5" t="n">
        <v>1</v>
      </c>
      <c r="N94" s="5" t="n"/>
      <c r="O94" s="5" t="n">
        <v>10000</v>
      </c>
      <c r="P94" s="5" t="n">
        <v>1</v>
      </c>
      <c r="Q94">
        <f>L94+IF(M94&gt;1,N(N94)*(M94-1),0)</f>
        <v/>
      </c>
      <c r="R94">
        <f>IFERROR(K94*MAX(M94,1)/Q94*P94,0)</f>
        <v/>
      </c>
      <c r="AA94" s="6" t="inlineStr">
        <is>
          <t>^Grenade, ^ShrapnelWeapon, ^HeavyBomb, ^D2K_Cannon</t>
        </is>
      </c>
    </row>
    <row r="95">
      <c r="A95" t="inlineStr">
        <is>
          <t>d2k</t>
        </is>
      </c>
      <c r="B95" t="inlineStr">
        <is>
          <t>ordos_autogunturret</t>
        </is>
      </c>
      <c r="C95" t="inlineStr">
        <is>
          <t>Autogun Turret</t>
        </is>
      </c>
      <c r="D95" t="inlineStr"/>
      <c r="E95" s="5" t="n">
        <v>75000</v>
      </c>
      <c r="F95" s="5" t="n"/>
      <c r="G95" t="inlineStr">
        <is>
          <t>Steel</t>
        </is>
      </c>
      <c r="H95" s="5" t="n">
        <v>1</v>
      </c>
      <c r="I95" s="5" t="n">
        <v>0.325</v>
      </c>
      <c r="J95" s="5" t="n">
        <v>1.25</v>
      </c>
      <c r="W95" s="5" t="n">
        <v>1100</v>
      </c>
    </row>
    <row r="96">
      <c r="B96" s="6" t="inlineStr">
        <is>
          <t xml:space="preserve">  ↳ ordos_autogunturret</t>
        </is>
      </c>
      <c r="C96" s="6" t="inlineStr">
        <is>
          <t>Armament</t>
        </is>
      </c>
      <c r="K96" s="5" t="n">
        <v>2000</v>
      </c>
      <c r="L96" s="5" t="n">
        <v>22</v>
      </c>
      <c r="M96" s="5" t="n">
        <v>4</v>
      </c>
      <c r="N96" s="5" t="n">
        <v>2</v>
      </c>
      <c r="O96" s="5" t="n">
        <v>7700</v>
      </c>
      <c r="P96" s="5" t="n">
        <v>1</v>
      </c>
      <c r="Q96">
        <f>L96+IF(M96&gt;1,N(N96)*(M96-1),0)</f>
        <v/>
      </c>
      <c r="R96">
        <f>IFERROR(K96*MAX(M96,1)/Q96*P96,0)</f>
        <v/>
      </c>
      <c r="AA96" s="6" t="inlineStr">
        <is>
          <t>^HeavyCannon, ^SmallArms, ^Chaingun</t>
        </is>
      </c>
    </row>
    <row r="97">
      <c r="A97" t="inlineStr">
        <is>
          <t>d2k</t>
        </is>
      </c>
      <c r="B97" t="inlineStr">
        <is>
          <t>ordos_barracks</t>
        </is>
      </c>
      <c r="C97" t="inlineStr">
        <is>
          <t>Ordos Barracks</t>
        </is>
      </c>
      <c r="D97" t="inlineStr"/>
      <c r="E97" s="5" t="n">
        <v>200000</v>
      </c>
      <c r="F97" s="5" t="n"/>
      <c r="G97" t="inlineStr">
        <is>
          <t>Wood</t>
        </is>
      </c>
      <c r="H97" s="5" t="n">
        <v>1</v>
      </c>
      <c r="I97" s="5" t="n">
        <v>1</v>
      </c>
      <c r="J97" s="5" t="n">
        <v>1</v>
      </c>
      <c r="W97" s="5" t="n">
        <v>1000</v>
      </c>
    </row>
    <row r="98">
      <c r="A98" t="inlineStr">
        <is>
          <t>d2k</t>
        </is>
      </c>
      <c r="B98" t="inlineStr">
        <is>
          <t>ordos_constructionyard</t>
        </is>
      </c>
      <c r="C98" t="inlineStr">
        <is>
          <t>Ordos Construction Yard</t>
        </is>
      </c>
      <c r="D98" t="inlineStr"/>
      <c r="E98" s="5" t="n">
        <v>1000000</v>
      </c>
      <c r="F98" s="5" t="n"/>
      <c r="G98" t="inlineStr">
        <is>
          <t>Concrete</t>
        </is>
      </c>
      <c r="H98" s="5" t="n">
        <v>1</v>
      </c>
      <c r="I98" s="5" t="n">
        <v>1</v>
      </c>
      <c r="J98" s="5" t="n">
        <v>1</v>
      </c>
      <c r="W98" s="5" t="n">
        <v>5000</v>
      </c>
    </row>
    <row r="99">
      <c r="A99" t="inlineStr">
        <is>
          <t>d2k</t>
        </is>
      </c>
      <c r="B99" t="inlineStr">
        <is>
          <t>ordos_heavyfactory</t>
        </is>
      </c>
      <c r="C99" t="inlineStr">
        <is>
          <t>Ordos Heavy Factory</t>
        </is>
      </c>
      <c r="D99" t="inlineStr"/>
      <c r="E99" s="5" t="n">
        <v>400000</v>
      </c>
      <c r="F99" s="5" t="n"/>
      <c r="G99" t="inlineStr">
        <is>
          <t>Concrete</t>
        </is>
      </c>
      <c r="H99" s="5" t="n">
        <v>1</v>
      </c>
      <c r="I99" s="5" t="n">
        <v>1</v>
      </c>
      <c r="J99" s="5" t="n">
        <v>1</v>
      </c>
      <c r="W99" s="5" t="n">
        <v>2000</v>
      </c>
    </row>
    <row r="100">
      <c r="A100" t="inlineStr">
        <is>
          <t>d2k</t>
        </is>
      </c>
      <c r="B100" t="inlineStr">
        <is>
          <t>ordos_hightechfactory</t>
        </is>
      </c>
      <c r="C100" t="inlineStr">
        <is>
          <t>High Tech Factory</t>
        </is>
      </c>
      <c r="D100" t="inlineStr"/>
      <c r="E100" s="5" t="n">
        <v>300000</v>
      </c>
      <c r="F100" s="5" t="n"/>
      <c r="G100" t="inlineStr">
        <is>
          <t>Concrete</t>
        </is>
      </c>
      <c r="H100" s="5" t="n">
        <v>1</v>
      </c>
      <c r="I100" s="5" t="n">
        <v>1</v>
      </c>
      <c r="J100" s="5" t="n">
        <v>1</v>
      </c>
      <c r="W100" s="5" t="n">
        <v>1500</v>
      </c>
    </row>
    <row r="101">
      <c r="A101" t="inlineStr">
        <is>
          <t>d2k</t>
        </is>
      </c>
      <c r="B101" t="inlineStr">
        <is>
          <t>ordos_ixresearchcenter</t>
        </is>
      </c>
      <c r="C101" t="inlineStr">
        <is>
          <t>Ix Research Center</t>
        </is>
      </c>
      <c r="D101" t="inlineStr"/>
      <c r="E101" s="5" t="n">
        <v>500000</v>
      </c>
      <c r="F101" s="5" t="n"/>
      <c r="G101" t="inlineStr">
        <is>
          <t>Concrete</t>
        </is>
      </c>
      <c r="H101" s="5" t="n">
        <v>1</v>
      </c>
      <c r="I101" s="5" t="n">
        <v>1</v>
      </c>
      <c r="J101" s="5" t="n">
        <v>1</v>
      </c>
      <c r="W101" s="5" t="n">
        <v>5000</v>
      </c>
    </row>
    <row r="102">
      <c r="A102" t="inlineStr">
        <is>
          <t>d2k</t>
        </is>
      </c>
      <c r="B102" t="inlineStr">
        <is>
          <t>ordos_lightfactory</t>
        </is>
      </c>
      <c r="C102" t="inlineStr">
        <is>
          <t>Ordos Light Factory</t>
        </is>
      </c>
      <c r="D102" t="inlineStr"/>
      <c r="E102" s="5" t="n">
        <v>200000</v>
      </c>
      <c r="F102" s="5" t="n"/>
      <c r="G102" t="inlineStr">
        <is>
          <t>Concrete</t>
        </is>
      </c>
      <c r="H102" s="5" t="n">
        <v>1</v>
      </c>
      <c r="I102" s="5" t="n">
        <v>1</v>
      </c>
      <c r="J102" s="5" t="n">
        <v>1</v>
      </c>
      <c r="W102" s="5" t="n">
        <v>1000</v>
      </c>
    </row>
    <row r="103">
      <c r="A103" t="inlineStr">
        <is>
          <t>d2k</t>
        </is>
      </c>
      <c r="B103" t="inlineStr">
        <is>
          <t>ordos_outpost</t>
        </is>
      </c>
      <c r="C103" t="inlineStr">
        <is>
          <t>Ordos Outpost</t>
        </is>
      </c>
      <c r="D103" t="inlineStr"/>
      <c r="E103" s="5" t="n">
        <v>250000</v>
      </c>
      <c r="F103" s="5" t="n"/>
      <c r="G103" t="inlineStr">
        <is>
          <t>Wood</t>
        </is>
      </c>
      <c r="H103" s="5" t="n">
        <v>1</v>
      </c>
      <c r="I103" s="5" t="n">
        <v>1</v>
      </c>
      <c r="J103" s="5" t="n">
        <v>1</v>
      </c>
      <c r="W103" s="5" t="n">
        <v>2500</v>
      </c>
    </row>
    <row r="104">
      <c r="A104" t="inlineStr">
        <is>
          <t>d2k</t>
        </is>
      </c>
      <c r="B104" t="inlineStr">
        <is>
          <t>ordos_palace</t>
        </is>
      </c>
      <c r="C104" t="inlineStr">
        <is>
          <t>Palace</t>
        </is>
      </c>
      <c r="D104" t="inlineStr"/>
      <c r="E104" s="5" t="n">
        <v>1000000</v>
      </c>
      <c r="F104" s="5" t="n"/>
      <c r="G104" t="inlineStr">
        <is>
          <t>Concrete</t>
        </is>
      </c>
      <c r="H104" s="5" t="n">
        <v>1</v>
      </c>
      <c r="I104" s="5" t="n">
        <v>1</v>
      </c>
      <c r="J104" s="5" t="n">
        <v>1</v>
      </c>
      <c r="W104" s="5" t="n">
        <v>10000</v>
      </c>
    </row>
    <row r="105">
      <c r="A105" t="inlineStr">
        <is>
          <t>d2k</t>
        </is>
      </c>
      <c r="B105" t="inlineStr">
        <is>
          <t>ordos_refineryordos</t>
        </is>
      </c>
      <c r="C105" t="inlineStr">
        <is>
          <t>Refinery</t>
        </is>
      </c>
      <c r="D105" t="inlineStr"/>
      <c r="E105" s="5" t="n">
        <v>40000</v>
      </c>
      <c r="F105" s="5" t="n"/>
      <c r="G105" t="inlineStr">
        <is>
          <t>Wood</t>
        </is>
      </c>
      <c r="H105" s="5" t="n">
        <v>1</v>
      </c>
      <c r="I105" s="5" t="n">
        <v>1</v>
      </c>
      <c r="J105" s="5" t="n">
        <v>1</v>
      </c>
      <c r="W105" s="5" t="n"/>
    </row>
    <row r="106">
      <c r="A106" t="inlineStr">
        <is>
          <t>d2k</t>
        </is>
      </c>
      <c r="B106" t="inlineStr">
        <is>
          <t>ordos_repairpad</t>
        </is>
      </c>
      <c r="C106" t="inlineStr">
        <is>
          <t>Ordos Repair Pad</t>
        </is>
      </c>
      <c r="D106" t="inlineStr"/>
      <c r="E106" s="5" t="n">
        <v>250000</v>
      </c>
      <c r="F106" s="5" t="n"/>
      <c r="G106" t="inlineStr">
        <is>
          <t>Concrete</t>
        </is>
      </c>
      <c r="H106" s="5" t="n">
        <v>1</v>
      </c>
      <c r="I106" s="5" t="n">
        <v>1</v>
      </c>
      <c r="J106" s="5" t="n">
        <v>1</v>
      </c>
      <c r="W106" s="5" t="n">
        <v>1000</v>
      </c>
    </row>
    <row r="107">
      <c r="A107" t="inlineStr">
        <is>
          <t>d2k</t>
        </is>
      </c>
      <c r="B107" t="inlineStr">
        <is>
          <t>ordos_starport</t>
        </is>
      </c>
      <c r="C107" t="inlineStr">
        <is>
          <t>Starport</t>
        </is>
      </c>
      <c r="D107" t="inlineStr"/>
      <c r="E107" s="5" t="n">
        <v>500000</v>
      </c>
      <c r="F107" s="5" t="n"/>
      <c r="G107" t="inlineStr">
        <is>
          <t>Concrete</t>
        </is>
      </c>
      <c r="H107" s="5" t="n">
        <v>1</v>
      </c>
      <c r="I107" s="5" t="n">
        <v>1</v>
      </c>
      <c r="J107" s="5" t="n">
        <v>1</v>
      </c>
      <c r="W107" s="5" t="n">
        <v>5000</v>
      </c>
    </row>
    <row r="108">
      <c r="A108" t="inlineStr">
        <is>
          <t>d2k</t>
        </is>
      </c>
      <c r="B108" t="inlineStr">
        <is>
          <t>ordos_storagesilo</t>
        </is>
      </c>
      <c r="C108" t="inlineStr">
        <is>
          <t>Storage Silo</t>
        </is>
      </c>
      <c r="D108" t="inlineStr"/>
      <c r="E108" s="5" t="n">
        <v>50000</v>
      </c>
      <c r="F108" s="5" t="n"/>
      <c r="G108" t="inlineStr">
        <is>
          <t>Wood</t>
        </is>
      </c>
      <c r="H108" s="5" t="n">
        <v>1</v>
      </c>
      <c r="I108" s="5" t="n">
        <v>1</v>
      </c>
      <c r="J108" s="5" t="n">
        <v>1</v>
      </c>
      <c r="W108" s="5" t="n">
        <v>150</v>
      </c>
    </row>
    <row r="109">
      <c r="A109" t="inlineStr">
        <is>
          <t>d2k</t>
        </is>
      </c>
      <c r="B109" t="inlineStr">
        <is>
          <t>ordos_windtrap</t>
        </is>
      </c>
      <c r="C109" t="inlineStr">
        <is>
          <t>Wind Trap</t>
        </is>
      </c>
      <c r="D109" t="inlineStr"/>
      <c r="E109" s="5" t="n">
        <v>200000</v>
      </c>
      <c r="F109" s="5" t="n"/>
      <c r="G109" t="inlineStr">
        <is>
          <t>Concrete</t>
        </is>
      </c>
      <c r="H109" s="5" t="n">
        <v>1</v>
      </c>
      <c r="I109" s="5" t="n">
        <v>1</v>
      </c>
      <c r="J109" s="5" t="n">
        <v>1</v>
      </c>
      <c r="W109" s="5" t="n">
        <v>500</v>
      </c>
    </row>
    <row r="110">
      <c r="A110" s="3" t="inlineStr">
        <is>
          <t>UPGRADES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>
      <c r="A111" t="inlineStr">
        <is>
          <t>d2k</t>
        </is>
      </c>
      <c r="B111" t="inlineStr">
        <is>
          <t>ordos_upgrade_antiairtrooper</t>
        </is>
      </c>
      <c r="C111" t="inlineStr">
        <is>
          <t>Anti Air Trooper Upgrade</t>
        </is>
      </c>
      <c r="D111" t="inlineStr"/>
      <c r="E111" s="5" t="n"/>
      <c r="F111" s="5" t="n"/>
      <c r="H111" s="5" t="n">
        <v>1</v>
      </c>
      <c r="I111" s="5" t="n">
        <v>1</v>
      </c>
      <c r="J111" s="5" t="n">
        <v>1</v>
      </c>
      <c r="W111" s="5" t="n">
        <v>2500</v>
      </c>
    </row>
    <row r="112">
      <c r="A112" t="inlineStr">
        <is>
          <t>d2k</t>
        </is>
      </c>
      <c r="B112" t="inlineStr">
        <is>
          <t>ordos_upgrade_biologicalwarfare</t>
        </is>
      </c>
      <c r="C112" t="inlineStr">
        <is>
          <t>Biological Warfare</t>
        </is>
      </c>
      <c r="D112" t="inlineStr"/>
      <c r="E112" s="5" t="n"/>
      <c r="F112" s="5" t="n"/>
      <c r="H112" s="5" t="n">
        <v>1</v>
      </c>
      <c r="I112" s="5" t="n">
        <v>1</v>
      </c>
      <c r="J112" s="5" t="n">
        <v>1</v>
      </c>
      <c r="W112" s="5" t="n">
        <v>7500</v>
      </c>
    </row>
    <row r="113">
      <c r="A113" t="inlineStr">
        <is>
          <t>d2k</t>
        </is>
      </c>
      <c r="B113" t="inlineStr">
        <is>
          <t>ordos_upgrade_contraband</t>
        </is>
      </c>
      <c r="C113" t="inlineStr">
        <is>
          <t>Contraband</t>
        </is>
      </c>
      <c r="D113" t="inlineStr"/>
      <c r="E113" s="5" t="n"/>
      <c r="F113" s="5" t="n"/>
      <c r="H113" s="5" t="n">
        <v>1</v>
      </c>
      <c r="I113" s="5" t="n">
        <v>1</v>
      </c>
      <c r="J113" s="5" t="n">
        <v>1</v>
      </c>
      <c r="W113" s="5" t="n">
        <v>7500</v>
      </c>
    </row>
    <row r="114">
      <c r="A114" t="inlineStr">
        <is>
          <t>d2k</t>
        </is>
      </c>
      <c r="B114" t="inlineStr">
        <is>
          <t>ordos_upgrade_heavyautoguntank</t>
        </is>
      </c>
      <c r="C114" t="inlineStr">
        <is>
          <t>Heavy Autogun Tank Upgrade</t>
        </is>
      </c>
      <c r="D114" t="inlineStr"/>
      <c r="E114" s="5" t="n"/>
      <c r="F114" s="5" t="n"/>
      <c r="H114" s="5" t="n">
        <v>1</v>
      </c>
      <c r="I114" s="5" t="n">
        <v>1</v>
      </c>
      <c r="J114" s="5" t="n">
        <v>1</v>
      </c>
      <c r="W114" s="5" t="n">
        <v>2500</v>
      </c>
    </row>
    <row r="115">
      <c r="A115" t="inlineStr">
        <is>
          <t>d2k</t>
        </is>
      </c>
      <c r="B115" t="inlineStr">
        <is>
          <t>ordos_upgrade_heavycombattank</t>
        </is>
      </c>
      <c r="C115" t="inlineStr">
        <is>
          <t>Heavy Combat Tank Upgrade</t>
        </is>
      </c>
      <c r="D115" t="inlineStr"/>
      <c r="E115" s="5" t="n"/>
      <c r="F115" s="5" t="n"/>
      <c r="H115" s="5" t="n">
        <v>1</v>
      </c>
      <c r="I115" s="5" t="n">
        <v>1</v>
      </c>
      <c r="J115" s="5" t="n">
        <v>1</v>
      </c>
      <c r="W115" s="5" t="n">
        <v>2500</v>
      </c>
    </row>
    <row r="116">
      <c r="A116" t="inlineStr">
        <is>
          <t>d2k</t>
        </is>
      </c>
      <c r="B116" t="inlineStr">
        <is>
          <t>ordos_upgrade_heavycombattankrockets</t>
        </is>
      </c>
      <c r="C116" t="inlineStr">
        <is>
          <t>Heavy Combat Tank Rockets Upgrade</t>
        </is>
      </c>
      <c r="D116" t="inlineStr"/>
      <c r="E116" s="5" t="n"/>
      <c r="F116" s="5" t="n"/>
      <c r="H116" s="5" t="n">
        <v>1</v>
      </c>
      <c r="I116" s="5" t="n">
        <v>1</v>
      </c>
      <c r="J116" s="5" t="n">
        <v>1</v>
      </c>
      <c r="W116" s="5" t="n">
        <v>2500</v>
      </c>
    </row>
    <row r="117">
      <c r="A117" t="inlineStr">
        <is>
          <t>d2k</t>
        </is>
      </c>
      <c r="B117" t="inlineStr">
        <is>
          <t>ordos_upgrade_hoverdrive</t>
        </is>
      </c>
      <c r="C117" t="inlineStr">
        <is>
          <t>Hover Drive</t>
        </is>
      </c>
      <c r="D117" t="inlineStr"/>
      <c r="E117" s="5" t="n"/>
      <c r="F117" s="5" t="n"/>
      <c r="H117" s="5" t="n">
        <v>1</v>
      </c>
      <c r="I117" s="5" t="n">
        <v>1</v>
      </c>
      <c r="J117" s="5" t="n">
        <v>1</v>
      </c>
      <c r="W117" s="5" t="n">
        <v>7500</v>
      </c>
    </row>
    <row r="118">
      <c r="A118" t="inlineStr">
        <is>
          <t>d2k</t>
        </is>
      </c>
      <c r="B118" t="inlineStr">
        <is>
          <t>ordos_upgrade_lasercartridges</t>
        </is>
      </c>
      <c r="C118" t="inlineStr">
        <is>
          <t>Laser Cartridges</t>
        </is>
      </c>
      <c r="D118" t="inlineStr"/>
      <c r="E118" s="5" t="n"/>
      <c r="F118" s="5" t="n"/>
      <c r="H118" s="5" t="n">
        <v>1</v>
      </c>
      <c r="I118" s="5" t="n">
        <v>1</v>
      </c>
      <c r="J118" s="5" t="n">
        <v>1</v>
      </c>
      <c r="W118" s="5" t="n">
        <v>5000</v>
      </c>
    </row>
    <row r="119">
      <c r="A119" t="inlineStr">
        <is>
          <t>d2k</t>
        </is>
      </c>
      <c r="B119" t="inlineStr">
        <is>
          <t>ordos_upgrade_lightfactory</t>
        </is>
      </c>
      <c r="C119" t="inlineStr">
        <is>
          <t>Light Factory Upgrade</t>
        </is>
      </c>
      <c r="D119" t="inlineStr"/>
      <c r="E119" s="5" t="n"/>
      <c r="F119" s="5" t="n"/>
      <c r="H119" s="5" t="n">
        <v>1</v>
      </c>
      <c r="I119" s="5" t="n">
        <v>1</v>
      </c>
      <c r="J119" s="5" t="n">
        <v>1</v>
      </c>
      <c r="W119" s="5" t="n">
        <v>1250</v>
      </c>
    </row>
    <row r="120">
      <c r="A120" t="inlineStr">
        <is>
          <t>d2k</t>
        </is>
      </c>
      <c r="B120" t="inlineStr">
        <is>
          <t>ordos_upgrade_rapidfirearmorpiercingbelts</t>
        </is>
      </c>
      <c r="C120" t="inlineStr">
        <is>
          <t>Rapid Fire Armor-Piercing Belts</t>
        </is>
      </c>
      <c r="D120" t="inlineStr"/>
      <c r="E120" s="5" t="n"/>
      <c r="F120" s="5" t="n"/>
      <c r="H120" s="5" t="n">
        <v>1</v>
      </c>
      <c r="I120" s="5" t="n">
        <v>1</v>
      </c>
      <c r="J120" s="5" t="n">
        <v>1</v>
      </c>
      <c r="W120" s="5" t="n">
        <v>7500</v>
      </c>
    </row>
    <row r="121">
      <c r="A121" t="inlineStr">
        <is>
          <t>d2k</t>
        </is>
      </c>
      <c r="B121" t="inlineStr">
        <is>
          <t>ordos_upgrade_shields</t>
        </is>
      </c>
      <c r="C121" t="inlineStr">
        <is>
          <t>Ordos Shields</t>
        </is>
      </c>
      <c r="D121" t="inlineStr"/>
      <c r="E121" s="5" t="n"/>
      <c r="F121" s="5" t="n"/>
      <c r="H121" s="5" t="n">
        <v>1</v>
      </c>
      <c r="I121" s="5" t="n">
        <v>1</v>
      </c>
      <c r="J121" s="5" t="n">
        <v>1</v>
      </c>
      <c r="W121" s="5" t="n">
        <v>7500</v>
      </c>
    </row>
    <row r="122">
      <c r="A122" s="3" t="inlineStr">
        <is>
          <t>PROMOTIONS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>
      <c r="A123" t="inlineStr">
        <is>
          <t>d2k</t>
        </is>
      </c>
      <c r="B123" t="inlineStr">
        <is>
          <t>ordos_promotion_unlockbanshees</t>
        </is>
      </c>
      <c r="C123" t="inlineStr">
        <is>
          <t>Unlock Banshees</t>
        </is>
      </c>
      <c r="D123" t="inlineStr"/>
      <c r="E123" s="5" t="n"/>
      <c r="F123" s="5" t="n"/>
      <c r="H123" s="5" t="n">
        <v>1</v>
      </c>
      <c r="I123" s="5" t="n">
        <v>1</v>
      </c>
      <c r="J123" s="5" t="n">
        <v>1</v>
      </c>
      <c r="W123" s="5" t="n"/>
    </row>
    <row r="124">
      <c r="A124" t="inlineStr">
        <is>
          <t>d2k</t>
        </is>
      </c>
      <c r="B124" t="inlineStr">
        <is>
          <t>ordos_promotion_unlockchemicaltrooper</t>
        </is>
      </c>
      <c r="C124" t="inlineStr">
        <is>
          <t>Unlock Chemical Trooper</t>
        </is>
      </c>
      <c r="D124" t="inlineStr"/>
      <c r="E124" s="5" t="n"/>
      <c r="F124" s="5" t="n"/>
      <c r="H124" s="5" t="n">
        <v>1</v>
      </c>
      <c r="I124" s="5" t="n">
        <v>1</v>
      </c>
      <c r="J124" s="5" t="n">
        <v>1</v>
      </c>
      <c r="W124" s="5" t="n"/>
    </row>
    <row r="125">
      <c r="A125" t="inlineStr">
        <is>
          <t>d2k</t>
        </is>
      </c>
      <c r="B125" t="inlineStr">
        <is>
          <t>ordos_promotion_unlockcontaminator</t>
        </is>
      </c>
      <c r="C125" t="inlineStr">
        <is>
          <t>Unlock Contaminator</t>
        </is>
      </c>
      <c r="D125" t="inlineStr"/>
      <c r="E125" s="5" t="n"/>
      <c r="F125" s="5" t="n"/>
      <c r="H125" s="5" t="n">
        <v>1</v>
      </c>
      <c r="I125" s="5" t="n">
        <v>1</v>
      </c>
      <c r="J125" s="5" t="n">
        <v>1</v>
      </c>
      <c r="W125" s="5" t="n"/>
    </row>
    <row r="126">
      <c r="A126" t="inlineStr">
        <is>
          <t>d2k</t>
        </is>
      </c>
      <c r="B126" t="inlineStr">
        <is>
          <t>ordos_promotion_unlockdeviatortank</t>
        </is>
      </c>
      <c r="C126" t="inlineStr">
        <is>
          <t>Unlock Deviator Tank</t>
        </is>
      </c>
      <c r="D126" t="inlineStr"/>
      <c r="E126" s="5" t="n"/>
      <c r="F126" s="5" t="n"/>
      <c r="H126" s="5" t="n">
        <v>1</v>
      </c>
      <c r="I126" s="5" t="n">
        <v>1</v>
      </c>
      <c r="J126" s="5" t="n">
        <v>1</v>
      </c>
      <c r="W126" s="5" t="n"/>
    </row>
    <row r="127">
      <c r="A127" t="inlineStr">
        <is>
          <t>d2k</t>
        </is>
      </c>
      <c r="B127" t="inlineStr">
        <is>
          <t>ordos_promotion_unlockdustdrone</t>
        </is>
      </c>
      <c r="C127" t="inlineStr">
        <is>
          <t>Unlock Dust Drone</t>
        </is>
      </c>
      <c r="D127" t="inlineStr"/>
      <c r="E127" s="5" t="n"/>
      <c r="F127" s="5" t="n"/>
      <c r="H127" s="5" t="n">
        <v>1</v>
      </c>
      <c r="I127" s="5" t="n">
        <v>1</v>
      </c>
      <c r="J127" s="5" t="n">
        <v>1</v>
      </c>
      <c r="W127" s="5" t="n"/>
    </row>
    <row r="128">
      <c r="A128" t="inlineStr">
        <is>
          <t>d2k</t>
        </is>
      </c>
      <c r="B128" t="inlineStr">
        <is>
          <t>ordos_promotion_unlocklaboratorycrawler</t>
        </is>
      </c>
      <c r="C128" t="inlineStr">
        <is>
          <t>Unlock Laboratory Crawler</t>
        </is>
      </c>
      <c r="D128" t="inlineStr"/>
      <c r="E128" s="5" t="n"/>
      <c r="F128" s="5" t="n"/>
      <c r="H128" s="5" t="n">
        <v>1</v>
      </c>
      <c r="I128" s="5" t="n">
        <v>1</v>
      </c>
      <c r="J128" s="5" t="n">
        <v>1</v>
      </c>
      <c r="W128" s="5" t="n"/>
    </row>
    <row r="129">
      <c r="A129" t="inlineStr">
        <is>
          <t>d2k</t>
        </is>
      </c>
      <c r="B129" t="inlineStr">
        <is>
          <t>ordos_promotion_unlocklasertank</t>
        </is>
      </c>
      <c r="C129" t="inlineStr">
        <is>
          <t>Unlock Laser Tank</t>
        </is>
      </c>
      <c r="D129" t="inlineStr"/>
      <c r="E129" s="5" t="n"/>
      <c r="F129" s="5" t="n"/>
      <c r="H129" s="5" t="n">
        <v>1</v>
      </c>
      <c r="I129" s="5" t="n">
        <v>1</v>
      </c>
      <c r="J129" s="5" t="n">
        <v>1</v>
      </c>
      <c r="W129" s="5" t="n"/>
    </row>
    <row r="130">
      <c r="A130" t="inlineStr">
        <is>
          <t>d2k</t>
        </is>
      </c>
      <c r="B130" t="inlineStr">
        <is>
          <t>ordos_promotion_unlockleecher</t>
        </is>
      </c>
      <c r="C130" t="inlineStr">
        <is>
          <t>Unlock Leecher</t>
        </is>
      </c>
      <c r="D130" t="inlineStr"/>
      <c r="E130" s="5" t="n"/>
      <c r="F130" s="5" t="n"/>
      <c r="H130" s="5" t="n">
        <v>1</v>
      </c>
      <c r="I130" s="5" t="n">
        <v>1</v>
      </c>
      <c r="J130" s="5" t="n">
        <v>1</v>
      </c>
      <c r="W130" s="5" t="n"/>
    </row>
    <row r="131">
      <c r="A131" t="inlineStr">
        <is>
          <t>d2k</t>
        </is>
      </c>
      <c r="B131" t="inlineStr">
        <is>
          <t>ordos_promotion_unlockmortartroopers</t>
        </is>
      </c>
      <c r="C131" t="inlineStr">
        <is>
          <t>Unlock Mortar Troopers</t>
        </is>
      </c>
      <c r="D131" t="inlineStr"/>
      <c r="E131" s="5" t="n"/>
      <c r="F131" s="5" t="n"/>
      <c r="H131" s="5" t="n">
        <v>1</v>
      </c>
      <c r="I131" s="5" t="n">
        <v>1</v>
      </c>
      <c r="J131" s="5" t="n">
        <v>1</v>
      </c>
      <c r="W131" s="5" t="n"/>
    </row>
    <row r="132">
      <c r="A132" t="inlineStr">
        <is>
          <t>d2k</t>
        </is>
      </c>
      <c r="B132" t="inlineStr">
        <is>
          <t>ordos_promotion_unlockpython</t>
        </is>
      </c>
      <c r="C132" t="inlineStr">
        <is>
          <t>Unlock Python</t>
        </is>
      </c>
      <c r="D132" t="inlineStr"/>
      <c r="E132" s="5" t="n"/>
      <c r="F132" s="5" t="n"/>
      <c r="H132" s="5" t="n">
        <v>1</v>
      </c>
      <c r="I132" s="5" t="n">
        <v>1</v>
      </c>
      <c r="J132" s="5" t="n">
        <v>1</v>
      </c>
      <c r="W132" s="5" t="n"/>
    </row>
    <row r="133">
      <c r="A133" t="inlineStr">
        <is>
          <t>d2k</t>
        </is>
      </c>
      <c r="B133" t="inlineStr">
        <is>
          <t>ordos_promotion_unlockstealthraider</t>
        </is>
      </c>
      <c r="C133" t="inlineStr">
        <is>
          <t>Unlock Stealth Raider</t>
        </is>
      </c>
      <c r="D133" t="inlineStr"/>
      <c r="E133" s="5" t="n"/>
      <c r="F133" s="5" t="n"/>
      <c r="H133" s="5" t="n">
        <v>1</v>
      </c>
      <c r="I133" s="5" t="n">
        <v>1</v>
      </c>
      <c r="J133" s="5" t="n">
        <v>1</v>
      </c>
      <c r="W133" s="5" t="n"/>
    </row>
    <row r="134">
      <c r="A134" t="inlineStr">
        <is>
          <t>d2k</t>
        </is>
      </c>
      <c r="B134" t="inlineStr">
        <is>
          <t>ordos_promotion_unlockwraith</t>
        </is>
      </c>
      <c r="C134" t="inlineStr">
        <is>
          <t>Unlock Wraith</t>
        </is>
      </c>
      <c r="D134" t="inlineStr"/>
      <c r="E134" s="5" t="n"/>
      <c r="F134" s="5" t="n"/>
      <c r="H134" s="5" t="n">
        <v>1</v>
      </c>
      <c r="I134" s="5" t="n">
        <v>1</v>
      </c>
      <c r="J134" s="5" t="n">
        <v>1</v>
      </c>
      <c r="W134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135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9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redalert2</t>
        </is>
      </c>
      <c r="B3" t="inlineStr">
        <is>
          <t>ra2_allies_attackdog</t>
        </is>
      </c>
      <c r="C3" t="inlineStr">
        <is>
          <t>Attack Dog</t>
        </is>
      </c>
      <c r="D3" t="inlineStr"/>
      <c r="E3" s="5" t="n">
        <v>5000</v>
      </c>
      <c r="F3" s="5" t="n">
        <v>100</v>
      </c>
      <c r="G3" t="inlineStr">
        <is>
          <t>None</t>
        </is>
      </c>
      <c r="H3" s="5" t="n">
        <v>1</v>
      </c>
      <c r="I3" s="5" t="n">
        <v>1</v>
      </c>
      <c r="J3" s="5" t="n">
        <v>1</v>
      </c>
      <c r="O3">
        <f>MAX(O4)</f>
        <v/>
      </c>
      <c r="R3">
        <f>R4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200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DogJaw</t>
        </is>
      </c>
      <c r="C4" s="6" t="inlineStr">
        <is>
          <t>Armament</t>
        </is>
      </c>
      <c r="K4" s="5" t="n">
        <v>100000</v>
      </c>
      <c r="L4" s="5" t="n">
        <v>10</v>
      </c>
      <c r="M4" s="5" t="n">
        <v>1</v>
      </c>
      <c r="N4" s="5" t="n"/>
      <c r="O4" s="5" t="n">
        <v>2000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/>
    </row>
    <row r="5">
      <c r="A5" t="inlineStr">
        <is>
          <t>redalert2</t>
        </is>
      </c>
      <c r="B5" t="inlineStr">
        <is>
          <t>ra2_allies_chronolegionnaire</t>
        </is>
      </c>
      <c r="C5" t="inlineStr">
        <is>
          <t>Chrono Legionnaire</t>
        </is>
      </c>
      <c r="D5" t="inlineStr"/>
      <c r="E5" s="5" t="n">
        <v>35000</v>
      </c>
      <c r="F5" s="5" t="n">
        <v>35</v>
      </c>
      <c r="G5" t="inlineStr">
        <is>
          <t>Plate</t>
        </is>
      </c>
      <c r="H5" s="5" t="n">
        <v>1</v>
      </c>
      <c r="I5" s="5" t="n">
        <v>1</v>
      </c>
      <c r="J5" s="5" t="n">
        <v>1</v>
      </c>
      <c r="O5">
        <f>MAX(O6,O7,O8)</f>
        <v/>
      </c>
      <c r="R5">
        <f>R6+R7+R8</f>
        <v/>
      </c>
      <c r="S5">
        <f>(E5/100000+F5/100+(O5/1000)*J5/5+R5/200)*200*I5*H5</f>
        <v/>
      </c>
      <c r="T5">
        <f>((E5*F5/25000)+((O5/1000)*J5*R5/2.5))*I5*H5</f>
        <v/>
      </c>
      <c r="U5">
        <f>(E5*F5*(O5/1000)*J5*R5*I5*H5)/12500000</f>
        <v/>
      </c>
      <c r="V5">
        <f>(S5+T5+U5)/3</f>
        <v/>
      </c>
      <c r="W5" s="5" t="n">
        <v>1500</v>
      </c>
      <c r="X5">
        <f>IFERROR(V5-W5,"")</f>
        <v/>
      </c>
      <c r="Y5">
        <f>IFERROR(ABS(X5)/MAX(W5,1),"")</f>
        <v/>
      </c>
      <c r="Z5">
        <f>IFERROR((W5-(((E5/100000+F5/100+R5/200)*200*I5*H5)+((E5*F5/25000)*I5*H5))/3)/(((J5/5)*200*I5*H5)+((J5*R5/2.5)*I5*H5)+((E5*F5*J5*R5*I5*H5)/12500000))/3*1000,"")</f>
        <v/>
      </c>
    </row>
    <row r="6">
      <c r="B6" s="6" t="inlineStr">
        <is>
          <t xml:space="preserve">  ↳ RA2ChronoTele</t>
        </is>
      </c>
      <c r="C6" s="6" t="inlineStr">
        <is>
          <t>Armament@sound</t>
        </is>
      </c>
      <c r="K6" s="5" t="n"/>
      <c r="L6" s="5" t="n">
        <v>180</v>
      </c>
      <c r="M6" s="5" t="n">
        <v>1</v>
      </c>
      <c r="N6" s="5" t="n"/>
      <c r="O6" s="5" t="n">
        <v>5000</v>
      </c>
      <c r="P6" s="5" t="n">
        <v>1</v>
      </c>
      <c r="Q6">
        <f>L6+IF(M6&gt;1,N(N6)*(M6-1),0)</f>
        <v/>
      </c>
      <c r="R6">
        <f>IFERROR(K6*MAX(M6,1)/Q6*P6,0)</f>
        <v/>
      </c>
      <c r="AA6" s="6" t="inlineStr"/>
    </row>
    <row r="7">
      <c r="B7" s="6" t="inlineStr">
        <is>
          <t xml:space="preserve">  ↳ ChronoBeam</t>
        </is>
      </c>
      <c r="C7" s="6" t="inlineStr">
        <is>
          <t>Armament@PRIMARY</t>
        </is>
      </c>
      <c r="K7" s="5" t="n"/>
      <c r="L7" s="5" t="n">
        <v>1</v>
      </c>
      <c r="M7" s="5" t="n">
        <v>1</v>
      </c>
      <c r="N7" s="5" t="n"/>
      <c r="O7" s="5" t="n">
        <v>5000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/>
    </row>
    <row r="8">
      <c r="B8" s="6" t="inlineStr">
        <is>
          <t xml:space="preserve">  ↳ ChronoBeam_elite</t>
        </is>
      </c>
      <c r="C8" s="6" t="inlineStr">
        <is>
          <t>Armament@ELITE</t>
        </is>
      </c>
      <c r="K8" s="5" t="n"/>
      <c r="L8" s="5" t="n">
        <v>1</v>
      </c>
      <c r="M8" s="5" t="n">
        <v>1</v>
      </c>
      <c r="N8" s="5" t="n"/>
      <c r="O8" s="5" t="n">
        <v>5000</v>
      </c>
      <c r="P8" s="5" t="n">
        <v>1</v>
      </c>
      <c r="Q8">
        <f>L8+IF(M8&gt;1,N(N8)*(M8-1),0)</f>
        <v/>
      </c>
      <c r="R8">
        <f>IFERROR(K8*MAX(M8,1)/Q8*P8,0)</f>
        <v/>
      </c>
      <c r="AA8" s="6" t="inlineStr">
        <is>
          <t>ChronoBeam</t>
        </is>
      </c>
    </row>
    <row r="9">
      <c r="B9" s="6" t="inlineStr">
        <is>
          <t xml:space="preserve">  ↳ ChronoBeam</t>
        </is>
      </c>
      <c r="C9" s="6" t="inlineStr">
        <is>
          <t>Armament@GARRISONED</t>
        </is>
      </c>
      <c r="K9" s="5" t="n"/>
      <c r="L9" s="5" t="n">
        <v>1</v>
      </c>
      <c r="M9" s="5" t="n">
        <v>1</v>
      </c>
      <c r="N9" s="5" t="n"/>
      <c r="O9" s="5" t="n">
        <v>5000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/>
    </row>
    <row r="10">
      <c r="B10" s="6" t="inlineStr">
        <is>
          <t xml:space="preserve">  ↳ ChronoBeam_elite</t>
        </is>
      </c>
      <c r="C10" s="6" t="inlineStr">
        <is>
          <t>Armament@GARRISONEDELITE</t>
        </is>
      </c>
      <c r="K10" s="5" t="n"/>
      <c r="L10" s="5" t="n">
        <v>1</v>
      </c>
      <c r="M10" s="5" t="n">
        <v>1</v>
      </c>
      <c r="N10" s="5" t="n"/>
      <c r="O10" s="5" t="n">
        <v>5000</v>
      </c>
      <c r="P10" s="5" t="n">
        <v>1</v>
      </c>
      <c r="Q10">
        <f>L10+IF(M10&gt;1,N(N10)*(M10-1),0)</f>
        <v/>
      </c>
      <c r="R10">
        <f>IFERROR(K10*MAX(M10,1)/Q10*P10,0)</f>
        <v/>
      </c>
      <c r="AA10" s="6" t="inlineStr">
        <is>
          <t>ChronoBeam</t>
        </is>
      </c>
    </row>
    <row r="11">
      <c r="A11" t="inlineStr">
        <is>
          <t>redalert2</t>
        </is>
      </c>
      <c r="B11" t="inlineStr">
        <is>
          <t>ra2_allies_engineer</t>
        </is>
      </c>
      <c r="C11" t="inlineStr">
        <is>
          <t>Engineer</t>
        </is>
      </c>
      <c r="D11" t="inlineStr"/>
      <c r="E11" s="5" t="n">
        <v>5000</v>
      </c>
      <c r="F11" s="5" t="n">
        <v>50</v>
      </c>
      <c r="G11" t="inlineStr">
        <is>
          <t>None</t>
        </is>
      </c>
      <c r="H11" s="5" t="n">
        <v>1</v>
      </c>
      <c r="I11" s="5" t="n">
        <v>1</v>
      </c>
      <c r="J11" s="5" t="n">
        <v>1</v>
      </c>
      <c r="O11">
        <f>MAX(O12,O13)</f>
        <v/>
      </c>
      <c r="R11">
        <f>R12+R13</f>
        <v/>
      </c>
      <c r="S11">
        <f>(E11/100000+F11/100+(O11/1000)*J11/5+R11/200)*200*I11*H11</f>
        <v/>
      </c>
      <c r="T11">
        <f>((E11*F11/25000)+((O11/1000)*J11*R11/2.5))*I11*H11</f>
        <v/>
      </c>
      <c r="U11">
        <f>(E11*F11*(O11/1000)*J11*R11*I11*H11)/12500000</f>
        <v/>
      </c>
      <c r="V11">
        <f>(S11+T11+U11)/3</f>
        <v/>
      </c>
      <c r="W11" s="5" t="n">
        <v>500</v>
      </c>
      <c r="X11">
        <f>IFERROR(V11-W11,"")</f>
        <v/>
      </c>
      <c r="Y11">
        <f>IFERROR(ABS(X11)/MAX(W11,1),"")</f>
        <v/>
      </c>
      <c r="Z11">
        <f>IFERROR((W11-(((E11/100000+F11/100+R11/200)*200*I11*H11)+((E11*F11/25000)*I11*H11))/3)/(((J11/5)*200*I11*H11)+((J11*R11/2.5)*I11*H11)+((E11*F11*J11*R11*I11*H11)/12500000))/3*1000,"")</f>
        <v/>
      </c>
    </row>
    <row r="12">
      <c r="B12" s="6" t="inlineStr">
        <is>
          <t xml:space="preserve">  ↳ DefuseKit</t>
        </is>
      </c>
      <c r="C12" s="6" t="inlineStr">
        <is>
          <t>Armament@defuse</t>
        </is>
      </c>
      <c r="K12" s="5" t="n"/>
      <c r="L12" s="5" t="n">
        <v>20</v>
      </c>
      <c r="M12" s="5" t="n">
        <v>1</v>
      </c>
      <c r="N12" s="5" t="n"/>
      <c r="O12" s="5" t="n">
        <v>1536</v>
      </c>
      <c r="P12" s="5" t="n">
        <v>1</v>
      </c>
      <c r="Q12">
        <f>L12+IF(M12&gt;1,N(N12)*(M12-1),0)</f>
        <v/>
      </c>
      <c r="R12">
        <f>IFERROR(K12*MAX(M12,1)/Q12*P12,0)</f>
        <v/>
      </c>
      <c r="AA12" s="6" t="inlineStr">
        <is>
          <t>^RemovesIvanBombs, ^RemovesTerrorDrone</t>
        </is>
      </c>
    </row>
    <row r="13">
      <c r="B13" s="6" t="inlineStr">
        <is>
          <t xml:space="preserve">  ↳ LeechDisinfect</t>
        </is>
      </c>
      <c r="C13" s="6" t="inlineStr">
        <is>
          <t>Armament@leechdisinfect</t>
        </is>
      </c>
      <c r="K13" s="5" t="n"/>
      <c r="L13" s="5" t="n">
        <v>100</v>
      </c>
      <c r="M13" s="5" t="n">
        <v>1</v>
      </c>
      <c r="N13" s="5" t="n"/>
      <c r="O13" s="5" t="n">
        <v>1536</v>
      </c>
      <c r="P13" s="5" t="n">
        <v>1</v>
      </c>
      <c r="Q13">
        <f>L13+IF(M13&gt;1,N(N13)*(M13-1),0)</f>
        <v/>
      </c>
      <c r="R13">
        <f>IFERROR(K13*MAX(M13,1)/Q13*P13,0)</f>
        <v/>
      </c>
      <c r="AA13" s="6" t="inlineStr"/>
    </row>
    <row r="14">
      <c r="A14" t="inlineStr">
        <is>
          <t>redalert2</t>
        </is>
      </c>
      <c r="B14" t="inlineStr">
        <is>
          <t>ra2_allies_gi</t>
        </is>
      </c>
      <c r="C14" t="inlineStr">
        <is>
          <t>G.I.</t>
        </is>
      </c>
      <c r="D14" t="inlineStr"/>
      <c r="E14" s="5" t="n">
        <v>50000</v>
      </c>
      <c r="F14" s="5" t="n">
        <v>50</v>
      </c>
      <c r="G14" t="inlineStr">
        <is>
          <t>None</t>
        </is>
      </c>
      <c r="H14" s="5" t="n">
        <v>1</v>
      </c>
      <c r="I14" s="5" t="n">
        <v>0.5</v>
      </c>
      <c r="J14" s="5" t="n">
        <v>1.25</v>
      </c>
      <c r="O14">
        <f>MAX(O15,O16,O17)</f>
        <v/>
      </c>
      <c r="R14">
        <f>R15+R16+R17</f>
        <v/>
      </c>
      <c r="S14">
        <f>(E14/100000+F14/100+(O14/1000)*J14/5+R14/200)*200*I14*H14</f>
        <v/>
      </c>
      <c r="T14">
        <f>((E14*F14/25000)+((O14/1000)*J14*R14/2.5))*I14*H14</f>
        <v/>
      </c>
      <c r="U14">
        <f>(E14*F14*(O14/1000)*J14*R14*I14*H14)/12500000</f>
        <v/>
      </c>
      <c r="V14">
        <f>(S14+T14+U14)/3</f>
        <v/>
      </c>
      <c r="W14" s="5" t="n">
        <v>200</v>
      </c>
      <c r="X14">
        <f>IFERROR(V14-W14,"")</f>
        <v/>
      </c>
      <c r="Y14">
        <f>IFERROR(ABS(X14)/MAX(W14,1),"")</f>
        <v/>
      </c>
      <c r="Z14">
        <f>IFERROR((W14-(((E14/100000+F14/100+R14/200)*200*I14*H14)+((E14*F14/25000)*I14*H14))/3)/(((J14/5)*200*I14*H14)+((J14*R14/2.5)*I14*H14)+((E14*F14*J14*R14*I14*H14)/12500000))/3*1000,"")</f>
        <v/>
      </c>
    </row>
    <row r="15">
      <c r="B15" s="6" t="inlineStr">
        <is>
          <t xml:space="preserve">  ↳ ra2_allies_gi_mg</t>
        </is>
      </c>
      <c r="C15" s="6" t="inlineStr">
        <is>
          <t>Armament@PRIMARY</t>
        </is>
      </c>
      <c r="K15" s="5" t="n">
        <v>2000</v>
      </c>
      <c r="L15" s="5" t="n">
        <v>15</v>
      </c>
      <c r="M15" s="5" t="n">
        <v>3</v>
      </c>
      <c r="N15" s="5" t="n">
        <v>2</v>
      </c>
      <c r="O15" s="5" t="n">
        <v>4500</v>
      </c>
      <c r="P15" s="5" t="n">
        <v>1</v>
      </c>
      <c r="Q15">
        <f>L15+IF(M15&gt;1,N(N15)*(M15-1),0)</f>
        <v/>
      </c>
      <c r="R15">
        <f>IFERROR(K15*MAX(M15,1)/Q15*P15,0)</f>
        <v/>
      </c>
      <c r="AA15" s="6" t="inlineStr">
        <is>
          <t>^RA2SmallArms</t>
        </is>
      </c>
    </row>
    <row r="16">
      <c r="B16" s="6" t="inlineStr">
        <is>
          <t xml:space="preserve">  ↳ ra2_allies_gi_para</t>
        </is>
      </c>
      <c r="C16" s="6" t="inlineStr">
        <is>
          <t>Armament@PRIMARY2</t>
        </is>
      </c>
      <c r="K16" s="5" t="n">
        <v>2000</v>
      </c>
      <c r="L16" s="5" t="n">
        <v>19</v>
      </c>
      <c r="M16" s="5" t="n">
        <v>3</v>
      </c>
      <c r="N16" s="5" t="n">
        <v>3</v>
      </c>
      <c r="O16" s="5" t="n">
        <v>5500</v>
      </c>
      <c r="P16" s="5" t="n">
        <v>1</v>
      </c>
      <c r="Q16">
        <f>L16+IF(M16&gt;1,N(N16)*(M16-1),0)</f>
        <v/>
      </c>
      <c r="R16">
        <f>IFERROR(K16*MAX(M16,1)/Q16*P16,0)</f>
        <v/>
      </c>
      <c r="AA16" s="6" t="inlineStr">
        <is>
          <t>^RA2Chaingun</t>
        </is>
      </c>
    </row>
    <row r="17">
      <c r="B17" s="6" t="inlineStr">
        <is>
          <t xml:space="preserve">  ↳ ra2_allies_gi_para</t>
        </is>
      </c>
      <c r="C17" s="6" t="inlineStr">
        <is>
          <t>Armament@DEPLOYED</t>
        </is>
      </c>
      <c r="K17" s="5" t="n">
        <v>2000</v>
      </c>
      <c r="L17" s="5" t="n">
        <v>19</v>
      </c>
      <c r="M17" s="5" t="n">
        <v>3</v>
      </c>
      <c r="N17" s="5" t="n">
        <v>3</v>
      </c>
      <c r="O17" s="5" t="n">
        <v>5500</v>
      </c>
      <c r="P17" s="5" t="n">
        <v>1</v>
      </c>
      <c r="Q17">
        <f>L17+IF(M17&gt;1,N(N17)*(M17-1),0)</f>
        <v/>
      </c>
      <c r="R17">
        <f>IFERROR(K17*MAX(M17,1)/Q17*P17,0)</f>
        <v/>
      </c>
      <c r="AA17" s="6" t="inlineStr">
        <is>
          <t>^RA2Chaingun</t>
        </is>
      </c>
    </row>
    <row r="18">
      <c r="B18" s="6" t="inlineStr">
        <is>
          <t xml:space="preserve">  ↳ RA2vulcan2</t>
        </is>
      </c>
      <c r="C18" s="6" t="inlineStr">
        <is>
          <t>Armament@GARRISONED</t>
        </is>
      </c>
      <c r="K18" s="5" t="n">
        <v>2000</v>
      </c>
      <c r="L18" s="5" t="n">
        <v>25</v>
      </c>
      <c r="M18" s="5" t="n">
        <v>3</v>
      </c>
      <c r="N18" s="5" t="n">
        <v>2</v>
      </c>
      <c r="O18" s="5" t="n">
        <v>5724</v>
      </c>
      <c r="P18" s="5" t="n">
        <v>1</v>
      </c>
      <c r="Q18">
        <f>L18+IF(M18&gt;1,N(N18)*(M18-1),0)</f>
        <v/>
      </c>
      <c r="R18">
        <f>IFERROR(K18*MAX(M18,1)/Q18*P18,0)</f>
        <v/>
      </c>
      <c r="AA18" s="6" t="inlineStr">
        <is>
          <t>^RA2SmallArms, ^RA2Chaingun</t>
        </is>
      </c>
    </row>
    <row r="19">
      <c r="A19" t="inlineStr">
        <is>
          <t>redalert2</t>
        </is>
      </c>
      <c r="B19" t="inlineStr">
        <is>
          <t>ra2_allies_guardiangi</t>
        </is>
      </c>
      <c r="C19" t="inlineStr">
        <is>
          <t>Guardian G.I.</t>
        </is>
      </c>
      <c r="D19" t="inlineStr"/>
      <c r="E19" s="5" t="n">
        <v>45000</v>
      </c>
      <c r="F19" s="5" t="n">
        <v>45</v>
      </c>
      <c r="G19" t="inlineStr">
        <is>
          <t>Flak</t>
        </is>
      </c>
      <c r="H19" s="5" t="n">
        <v>1</v>
      </c>
      <c r="I19" s="5" t="n">
        <v>0.5</v>
      </c>
      <c r="J19" s="5" t="n">
        <v>1.25</v>
      </c>
      <c r="O19">
        <f>MAX(O20,O21,O22,O23,O24,O25,O27)</f>
        <v/>
      </c>
      <c r="R19">
        <f>R20+R21+R22+R23+R24+R25+R27</f>
        <v/>
      </c>
      <c r="S19">
        <f>(E19/100000+F19/100+(O19/1000)*J19/5+R19/200)*200*I19*H19</f>
        <v/>
      </c>
      <c r="T19">
        <f>((E19*F19/25000)+((O19/1000)*J19*R19/2.5))*I19*H19</f>
        <v/>
      </c>
      <c r="U19">
        <f>(E19*F19*(O19/1000)*J19*R19*I19*H19)/12500000</f>
        <v/>
      </c>
      <c r="V19">
        <f>(S19+T19+U19)/3</f>
        <v/>
      </c>
      <c r="W19" s="5" t="n">
        <v>400</v>
      </c>
      <c r="X19">
        <f>IFERROR(V19-W19,"")</f>
        <v/>
      </c>
      <c r="Y19">
        <f>IFERROR(ABS(X19)/MAX(W19,1),"")</f>
        <v/>
      </c>
      <c r="Z19">
        <f>IFERROR((W19-(((E19/100000+F19/100+R19/200)*200*I19*H19)+((E19*F19/25000)*I19*H19))/3)/(((J19/5)*200*I19*H19)+((J19*R19/2.5)*I19*H19)+((E19*F19*J19*R19*I19*H19)/12500000))/3*1000,"")</f>
        <v/>
      </c>
    </row>
    <row r="20">
      <c r="B20" s="6" t="inlineStr">
        <is>
          <t xml:space="preserve">  ↳ GuardianGIMG</t>
        </is>
      </c>
      <c r="C20" s="6" t="inlineStr">
        <is>
          <t>Armament@PRIMARY</t>
        </is>
      </c>
      <c r="K20" s="5" t="n">
        <v>2000</v>
      </c>
      <c r="L20" s="5" t="n">
        <v>20</v>
      </c>
      <c r="M20" s="5" t="n">
        <v>3</v>
      </c>
      <c r="N20" s="5" t="n">
        <v>2</v>
      </c>
      <c r="O20" s="5" t="n">
        <v>4762</v>
      </c>
      <c r="P20" s="5" t="n">
        <v>1</v>
      </c>
      <c r="Q20">
        <f>L20+IF(M20&gt;1,N(N20)*(M20-1),0)</f>
        <v/>
      </c>
      <c r="R20">
        <f>IFERROR(K20*MAX(M20,1)/Q20*P20,0)</f>
        <v/>
      </c>
      <c r="AA20" s="6" t="inlineStr">
        <is>
          <t>^RA2SmallArms, ^RA2Chaingun</t>
        </is>
      </c>
    </row>
    <row r="21">
      <c r="B21" s="6" t="inlineStr">
        <is>
          <t xml:space="preserve">  ↳ GuardianGIMG2</t>
        </is>
      </c>
      <c r="C21" s="6" t="inlineStr">
        <is>
          <t>Armament@PRIMARY2</t>
        </is>
      </c>
      <c r="K21" s="5" t="n">
        <v>4000</v>
      </c>
      <c r="L21" s="5" t="n"/>
      <c r="M21" s="5" t="n">
        <v>1</v>
      </c>
      <c r="N21" s="5" t="n"/>
      <c r="O21" s="5" t="n"/>
      <c r="P21" s="5" t="n">
        <v>1</v>
      </c>
      <c r="Q21">
        <f>L21+IF(M21&gt;1,N(N21)*(M21-1),0)</f>
        <v/>
      </c>
      <c r="R21">
        <f>IFERROR(K21*MAX(M21,1)/Q21*P21,0)</f>
        <v/>
      </c>
      <c r="AA21" s="6" t="inlineStr">
        <is>
          <t>RA2para</t>
        </is>
      </c>
    </row>
    <row r="22">
      <c r="B22" s="6" t="inlineStr">
        <is>
          <t xml:space="preserve">  ↳ GuardianGIMGE</t>
        </is>
      </c>
      <c r="C22" s="6" t="inlineStr">
        <is>
          <t>Armament@ELITE</t>
        </is>
      </c>
      <c r="K22" s="5" t="n">
        <v>2000</v>
      </c>
      <c r="L22" s="5" t="n">
        <v>20</v>
      </c>
      <c r="M22" s="5" t="n">
        <v>6</v>
      </c>
      <c r="N22" s="5" t="n">
        <v>2</v>
      </c>
      <c r="O22" s="5" t="n">
        <v>5762</v>
      </c>
      <c r="P22" s="5" t="n">
        <v>1</v>
      </c>
      <c r="Q22">
        <f>L22+IF(M22&gt;1,N(N22)*(M22-1),0)</f>
        <v/>
      </c>
      <c r="R22">
        <f>IFERROR(K22*MAX(M22,1)/Q22*P22,0)</f>
        <v/>
      </c>
      <c r="AA22" s="6" t="inlineStr">
        <is>
          <t>^RA2SmallArms, ^RA2Chaingun</t>
        </is>
      </c>
    </row>
    <row r="23">
      <c r="B23" s="6" t="inlineStr">
        <is>
          <t xml:space="preserve">  ↳ GuardianGIMG2E</t>
        </is>
      </c>
      <c r="C23" s="6" t="inlineStr">
        <is>
          <t>Armament@ELITE2</t>
        </is>
      </c>
      <c r="K23" s="5" t="n">
        <v>4000</v>
      </c>
      <c r="L23" s="5" t="n"/>
      <c r="M23" s="5" t="n">
        <v>6</v>
      </c>
      <c r="N23" s="5" t="n"/>
      <c r="O23" s="5" t="n">
        <v>5750</v>
      </c>
      <c r="P23" s="5" t="n">
        <v>1</v>
      </c>
      <c r="Q23">
        <f>L23+IF(M23&gt;1,N(N23)*(M23-1),0)</f>
        <v/>
      </c>
      <c r="R23">
        <f>IFERROR(K23*MAX(M23,1)/Q23*P23,0)</f>
        <v/>
      </c>
      <c r="AA23" s="6" t="inlineStr">
        <is>
          <t>GuardianGIMG2</t>
        </is>
      </c>
    </row>
    <row r="24">
      <c r="B24" s="6" t="inlineStr">
        <is>
          <t xml:space="preserve">  ↳ aadeploytargeting.8c0</t>
        </is>
      </c>
      <c r="C24" s="6" t="inlineStr">
        <is>
          <t>Armament@BOTAA</t>
        </is>
      </c>
      <c r="K24" s="5" t="n"/>
      <c r="L24" s="5" t="n">
        <v>50</v>
      </c>
      <c r="M24" s="5" t="n">
        <v>1</v>
      </c>
      <c r="N24" s="5" t="n"/>
      <c r="O24" s="5" t="n">
        <v>8000</v>
      </c>
      <c r="P24" s="5" t="n">
        <v>1</v>
      </c>
      <c r="Q24">
        <f>L24+IF(M24&gt;1,N(N24)*(M24-1),0)</f>
        <v/>
      </c>
      <c r="R24">
        <f>IFERROR(K24*MAX(M24,1)/Q24*P24,0)</f>
        <v/>
      </c>
      <c r="AA24" s="6" t="inlineStr">
        <is>
          <t>^aadeploytargeting</t>
        </is>
      </c>
    </row>
    <row r="25">
      <c r="B25" s="6" t="inlineStr">
        <is>
          <t xml:space="preserve">  ↳ RA2GIRocketsG</t>
        </is>
      </c>
      <c r="C25" s="6" t="inlineStr">
        <is>
          <t>Armament@DEPLOYED</t>
        </is>
      </c>
      <c r="K25" s="5" t="n">
        <v>24000</v>
      </c>
      <c r="L25" s="5" t="n">
        <v>45</v>
      </c>
      <c r="M25" s="5" t="n">
        <v>1</v>
      </c>
      <c r="N25" s="5" t="n"/>
      <c r="O25" s="5" t="n">
        <v>6567</v>
      </c>
      <c r="P25" s="5" t="n">
        <v>1</v>
      </c>
      <c r="Q25">
        <f>L25+IF(M25&gt;1,N(N25)*(M25-1),0)</f>
        <v/>
      </c>
      <c r="R25">
        <f>IFERROR(K25*MAX(M25,1)/Q25*P25,0)</f>
        <v/>
      </c>
      <c r="AA25" s="6" t="inlineStr">
        <is>
          <t>^RA2LightMissile</t>
        </is>
      </c>
    </row>
    <row r="26">
      <c r="B26" s="6" t="inlineStr">
        <is>
          <t xml:space="preserve">  ↳ RA2GIRocketsG</t>
        </is>
      </c>
      <c r="C26" s="6" t="inlineStr">
        <is>
          <t>Armament@GARRISONED</t>
        </is>
      </c>
      <c r="K26" s="5" t="n">
        <v>24000</v>
      </c>
      <c r="L26" s="5" t="n">
        <v>45</v>
      </c>
      <c r="M26" s="5" t="n">
        <v>1</v>
      </c>
      <c r="N26" s="5" t="n"/>
      <c r="O26" s="5" t="n">
        <v>6567</v>
      </c>
      <c r="P26" s="5" t="n">
        <v>1</v>
      </c>
      <c r="Q26">
        <f>L26+IF(M26&gt;1,N(N26)*(M26-1),0)</f>
        <v/>
      </c>
      <c r="R26">
        <f>IFERROR(K26*MAX(M26,1)/Q26*P26,0)</f>
        <v/>
      </c>
      <c r="AA26" s="6" t="inlineStr">
        <is>
          <t>^RA2LightMissile</t>
        </is>
      </c>
    </row>
    <row r="27">
      <c r="B27" s="6" t="inlineStr">
        <is>
          <t xml:space="preserve">  ↳ RA2GIRocketsG_elite</t>
        </is>
      </c>
      <c r="C27" s="6" t="inlineStr">
        <is>
          <t>Armament@DEPLOYEDELITE</t>
        </is>
      </c>
      <c r="K27" s="5" t="n">
        <v>48000</v>
      </c>
      <c r="L27" s="5" t="n">
        <v>45</v>
      </c>
      <c r="M27" s="5" t="n">
        <v>1</v>
      </c>
      <c r="N27" s="5" t="n"/>
      <c r="O27" s="5" t="n">
        <v>7567</v>
      </c>
      <c r="P27" s="5" t="n">
        <v>1</v>
      </c>
      <c r="Q27">
        <f>L27+IF(M27&gt;1,N(N27)*(M27-1),0)</f>
        <v/>
      </c>
      <c r="R27">
        <f>IFERROR(K27*MAX(M27,1)/Q27*P27,0)</f>
        <v/>
      </c>
      <c r="AA27" s="6" t="inlineStr">
        <is>
          <t>^RA2LightMissile</t>
        </is>
      </c>
    </row>
    <row r="28">
      <c r="B28" s="6" t="inlineStr">
        <is>
          <t xml:space="preserve">  ↳ RA2GIRocketsG_elite</t>
        </is>
      </c>
      <c r="C28" s="6" t="inlineStr">
        <is>
          <t>Armament@GARRISONEDELITE</t>
        </is>
      </c>
      <c r="K28" s="5" t="n">
        <v>48000</v>
      </c>
      <c r="L28" s="5" t="n">
        <v>45</v>
      </c>
      <c r="M28" s="5" t="n">
        <v>1</v>
      </c>
      <c r="N28" s="5" t="n"/>
      <c r="O28" s="5" t="n">
        <v>7567</v>
      </c>
      <c r="P28" s="5" t="n">
        <v>1</v>
      </c>
      <c r="Q28">
        <f>L28+IF(M28&gt;1,N(N28)*(M28-1),0)</f>
        <v/>
      </c>
      <c r="R28">
        <f>IFERROR(K28*MAX(M28,1)/Q28*P28,0)</f>
        <v/>
      </c>
      <c r="AA28" s="6" t="inlineStr">
        <is>
          <t>^RA2LightMissile</t>
        </is>
      </c>
    </row>
    <row r="29">
      <c r="A29" t="inlineStr">
        <is>
          <t>redalert2</t>
        </is>
      </c>
      <c r="B29" t="inlineStr">
        <is>
          <t>ra2_allies_ra2spy</t>
        </is>
      </c>
      <c r="C29" t="inlineStr">
        <is>
          <t>Spy</t>
        </is>
      </c>
      <c r="D29" t="inlineStr"/>
      <c r="E29" s="5" t="n">
        <v>5000</v>
      </c>
      <c r="F29" s="5" t="n">
        <v>60</v>
      </c>
      <c r="G29" t="inlineStr">
        <is>
          <t>None</t>
        </is>
      </c>
      <c r="H29" s="5" t="n">
        <v>1</v>
      </c>
      <c r="I29" s="5" t="n">
        <v>1</v>
      </c>
      <c r="J29" s="5" t="n">
        <v>1</v>
      </c>
      <c r="W29" s="5" t="n">
        <v>500</v>
      </c>
    </row>
    <row r="30">
      <c r="A30" t="inlineStr">
        <is>
          <t>redalert2</t>
        </is>
      </c>
      <c r="B30" t="inlineStr">
        <is>
          <t>ra2_allies_rocketeer</t>
        </is>
      </c>
      <c r="C30" t="inlineStr">
        <is>
          <t>Rocketeer</t>
        </is>
      </c>
      <c r="D30" t="inlineStr"/>
      <c r="E30" s="5" t="n">
        <v>18000</v>
      </c>
      <c r="F30" s="5" t="n">
        <v>180</v>
      </c>
      <c r="G30" t="inlineStr">
        <is>
          <t>Scout</t>
        </is>
      </c>
      <c r="H30" s="5" t="n">
        <v>1</v>
      </c>
      <c r="I30" s="5" t="n">
        <v>1</v>
      </c>
      <c r="J30" s="5" t="n">
        <v>1</v>
      </c>
      <c r="O30">
        <f>MAX(O31)</f>
        <v/>
      </c>
      <c r="R30">
        <f>R31</f>
        <v/>
      </c>
      <c r="S30">
        <f>(E30/100000+F30/100+(O30/1000)*J30/5+R30/200)*200*I30*H30</f>
        <v/>
      </c>
      <c r="T30">
        <f>((E30*F30/25000)+((O30/1000)*J30*R30/2.5))*I30*H30</f>
        <v/>
      </c>
      <c r="U30">
        <f>(E30*F30*(O30/1000)*J30*R30*I30*H30)/12500000</f>
        <v/>
      </c>
      <c r="V30">
        <f>(S30+T30+U30)/3</f>
        <v/>
      </c>
      <c r="W30" s="5" t="n">
        <v>600</v>
      </c>
      <c r="X30">
        <f>IFERROR(V30-W30,"")</f>
        <v/>
      </c>
      <c r="Y30">
        <f>IFERROR(ABS(X30)/MAX(W30,1),"")</f>
        <v/>
      </c>
      <c r="Z30">
        <f>IFERROR((W30-(((E30/100000+F30/100+R30/200)*200*I30*H30)+((E30*F30/25000)*I30*H30))/3)/(((J30/5)*200*I30*H30)+((J30*R30/2.5)*I30*H30)+((E30*F30*J30*R30*I30*H30)/12500000))/3*1000,"")</f>
        <v/>
      </c>
    </row>
    <row r="31">
      <c r="B31" s="6" t="inlineStr">
        <is>
          <t xml:space="preserve">  ↳ ra2roktgun</t>
        </is>
      </c>
      <c r="C31" s="6" t="inlineStr">
        <is>
          <t>Armament@PRIMARY</t>
        </is>
      </c>
      <c r="K31" s="5" t="n">
        <v>2000</v>
      </c>
      <c r="L31" s="5" t="n">
        <v>14</v>
      </c>
      <c r="M31" s="5" t="n">
        <v>1</v>
      </c>
      <c r="N31" s="5" t="n"/>
      <c r="O31" s="5" t="n">
        <v>5000</v>
      </c>
      <c r="P31" s="5" t="n">
        <v>1</v>
      </c>
      <c r="Q31">
        <f>L31+IF(M31&gt;1,N(N31)*(M31-1),0)</f>
        <v/>
      </c>
      <c r="R31">
        <f>IFERROR(K31*MAX(M31,1)/Q31*P31,0)</f>
        <v/>
      </c>
      <c r="AA31" s="6" t="inlineStr">
        <is>
          <t>^LightMissile, ^SmallArms, ^FlakWeapon, ^RA2Chaingun</t>
        </is>
      </c>
    </row>
    <row r="32">
      <c r="A32" t="inlineStr">
        <is>
          <t>redalert2</t>
        </is>
      </c>
      <c r="B32" t="inlineStr">
        <is>
          <t>ra2_allies_seal</t>
        </is>
      </c>
      <c r="C32" t="inlineStr">
        <is>
          <t>SEAL</t>
        </is>
      </c>
      <c r="D32" t="inlineStr"/>
      <c r="E32" s="5" t="n">
        <v>30000</v>
      </c>
      <c r="F32" s="5" t="n">
        <v>60</v>
      </c>
      <c r="G32" t="inlineStr">
        <is>
          <t>Plate</t>
        </is>
      </c>
      <c r="H32" s="5" t="n">
        <v>1</v>
      </c>
      <c r="I32" s="5" t="n">
        <v>0.75</v>
      </c>
      <c r="J32" s="5" t="n">
        <v>1.25</v>
      </c>
      <c r="O32">
        <f>MAX(O33,O34,O37)</f>
        <v/>
      </c>
      <c r="R32">
        <f>R33+R34+R37</f>
        <v/>
      </c>
      <c r="S32">
        <f>(E32/100000+F32/100+(O32/1000)*J32/5+R32/200)*200*I32*H32</f>
        <v/>
      </c>
      <c r="T32">
        <f>((E32*F32/25000)+((O32/1000)*J32*R32/2.5))*I32*H32</f>
        <v/>
      </c>
      <c r="U32">
        <f>(E32*F32*(O32/1000)*J32*R32*I32*H32)/12500000</f>
        <v/>
      </c>
      <c r="V32">
        <f>(S32+T32+U32)/3</f>
        <v/>
      </c>
      <c r="W32" s="5" t="n">
        <v>900</v>
      </c>
      <c r="X32">
        <f>IFERROR(V32-W32,"")</f>
        <v/>
      </c>
      <c r="Y32">
        <f>IFERROR(ABS(X32)/MAX(W32,1),"")</f>
        <v/>
      </c>
      <c r="Z32">
        <f>IFERROR((W32-(((E32/100000+F32/100+R32/200)*200*I32*H32)+((E32*F32/25000)*I32*H32))/3)/(((J32/5)*200*I32*H32)+((J32*R32/2.5)*I32*H32)+((E32*F32*J32*R32*I32*H32)/12500000))/3*1000,"")</f>
        <v/>
      </c>
    </row>
    <row r="33">
      <c r="B33" s="6" t="inlineStr">
        <is>
          <t xml:space="preserve">  ↳ RA2MP5</t>
        </is>
      </c>
      <c r="C33" s="6" t="inlineStr">
        <is>
          <t>Armament@PRIMARY</t>
        </is>
      </c>
      <c r="K33" s="5" t="n">
        <v>2000</v>
      </c>
      <c r="L33" s="5" t="n">
        <v>10</v>
      </c>
      <c r="M33" s="5" t="n">
        <v>4</v>
      </c>
      <c r="N33" s="5" t="n">
        <v>3</v>
      </c>
      <c r="O33" s="5" t="n">
        <v>5000</v>
      </c>
      <c r="P33" s="5" t="n">
        <v>1</v>
      </c>
      <c r="Q33">
        <f>L33+IF(M33&gt;1,N(N33)*(M33-1),0)</f>
        <v/>
      </c>
      <c r="R33">
        <f>IFERROR(K33*MAX(M33,1)/Q33*P33,0)</f>
        <v/>
      </c>
      <c r="AA33" s="6" t="inlineStr">
        <is>
          <t>^SniperWeapon</t>
        </is>
      </c>
    </row>
    <row r="34">
      <c r="B34" s="6" t="inlineStr">
        <is>
          <t xml:space="preserve">  ↳ RA2MP5E</t>
        </is>
      </c>
      <c r="C34" s="6" t="inlineStr">
        <is>
          <t>Armament@ELITE</t>
        </is>
      </c>
      <c r="K34" s="5" t="n">
        <v>2000</v>
      </c>
      <c r="L34" s="5" t="n">
        <v>10</v>
      </c>
      <c r="M34" s="5" t="n">
        <v>8</v>
      </c>
      <c r="N34" s="5" t="n">
        <v>3</v>
      </c>
      <c r="O34" s="5" t="n">
        <v>6000</v>
      </c>
      <c r="P34" s="5" t="n">
        <v>1</v>
      </c>
      <c r="Q34">
        <f>L34+IF(M34&gt;1,N(N34)*(M34-1),0)</f>
        <v/>
      </c>
      <c r="R34">
        <f>IFERROR(K34*MAX(M34,1)/Q34*P34,0)</f>
        <v/>
      </c>
      <c r="AA34" s="6" t="inlineStr">
        <is>
          <t>^SniperWeapon</t>
        </is>
      </c>
    </row>
    <row r="35">
      <c r="B35" s="6" t="inlineStr">
        <is>
          <t xml:space="preserve">  ↳ RA2MP5</t>
        </is>
      </c>
      <c r="C35" s="6" t="inlineStr">
        <is>
          <t>Armament@GARRISONED</t>
        </is>
      </c>
      <c r="K35" s="5" t="n">
        <v>2000</v>
      </c>
      <c r="L35" s="5" t="n">
        <v>10</v>
      </c>
      <c r="M35" s="5" t="n">
        <v>4</v>
      </c>
      <c r="N35" s="5" t="n">
        <v>3</v>
      </c>
      <c r="O35" s="5" t="n">
        <v>5000</v>
      </c>
      <c r="P35" s="5" t="n">
        <v>1</v>
      </c>
      <c r="Q35">
        <f>L35+IF(M35&gt;1,N(N35)*(M35-1),0)</f>
        <v/>
      </c>
      <c r="R35">
        <f>IFERROR(K35*MAX(M35,1)/Q35*P35,0)</f>
        <v/>
      </c>
      <c r="AA35" s="6" t="inlineStr">
        <is>
          <t>^SniperWeapon</t>
        </is>
      </c>
    </row>
    <row r="36">
      <c r="B36" s="6" t="inlineStr">
        <is>
          <t xml:space="preserve">  ↳ RA2MP5E</t>
        </is>
      </c>
      <c r="C36" s="6" t="inlineStr">
        <is>
          <t>Armament@GARRISONEDELITE</t>
        </is>
      </c>
      <c r="K36" s="5" t="n">
        <v>2000</v>
      </c>
      <c r="L36" s="5" t="n">
        <v>10</v>
      </c>
      <c r="M36" s="5" t="n">
        <v>8</v>
      </c>
      <c r="N36" s="5" t="n">
        <v>3</v>
      </c>
      <c r="O36" s="5" t="n">
        <v>6000</v>
      </c>
      <c r="P36" s="5" t="n">
        <v>1</v>
      </c>
      <c r="Q36">
        <f>L36+IF(M36&gt;1,N(N36)*(M36-1),0)</f>
        <v/>
      </c>
      <c r="R36">
        <f>IFERROR(K36*MAX(M36,1)/Q36*P36,0)</f>
        <v/>
      </c>
      <c r="AA36" s="6" t="inlineStr">
        <is>
          <t>^SniperWeapon</t>
        </is>
      </c>
    </row>
    <row r="37">
      <c r="B37" s="6" t="inlineStr">
        <is>
          <t xml:space="preserve">  ↳ SEALAttach</t>
        </is>
      </c>
      <c r="C37" s="6" t="inlineStr">
        <is>
          <t>Armament@shipc4</t>
        </is>
      </c>
      <c r="K37" s="5" t="n"/>
      <c r="L37" s="5" t="n">
        <v>20</v>
      </c>
      <c r="M37" s="5" t="n">
        <v>1</v>
      </c>
      <c r="N37" s="5" t="n"/>
      <c r="O37" s="5" t="n">
        <v>2000</v>
      </c>
      <c r="P37" s="5" t="n">
        <v>1</v>
      </c>
      <c r="Q37">
        <f>L37+IF(M37&gt;1,N(N37)*(M37-1),0)</f>
        <v/>
      </c>
      <c r="R37">
        <f>IFERROR(K37*MAX(M37,1)/Q37*P37,0)</f>
        <v/>
      </c>
      <c r="AA37" s="6" t="inlineStr">
        <is>
          <t>TanyaAttach</t>
        </is>
      </c>
    </row>
    <row r="38">
      <c r="A38" t="inlineStr">
        <is>
          <t>redalert2</t>
        </is>
      </c>
      <c r="B38" t="inlineStr">
        <is>
          <t>ra2_allies_sniper</t>
        </is>
      </c>
      <c r="C38" t="inlineStr">
        <is>
          <t>Sniper</t>
        </is>
      </c>
      <c r="D38" t="inlineStr"/>
      <c r="E38" s="5" t="n">
        <v>22000</v>
      </c>
      <c r="F38" s="5" t="n">
        <v>56</v>
      </c>
      <c r="G38" t="inlineStr">
        <is>
          <t>Flak</t>
        </is>
      </c>
      <c r="H38" s="5" t="n">
        <v>1</v>
      </c>
      <c r="I38" s="5" t="n">
        <v>1</v>
      </c>
      <c r="J38" s="5" t="n">
        <v>1</v>
      </c>
      <c r="O38">
        <f>MAX(O39,O40)</f>
        <v/>
      </c>
      <c r="R38">
        <f>R39+R40</f>
        <v/>
      </c>
      <c r="S38">
        <f>(E38/100000+F38/100+(O38/1000)*J38/5+R38/200)*200*I38*H38</f>
        <v/>
      </c>
      <c r="T38">
        <f>((E38*F38/25000)+((O38/1000)*J38*R38/2.5))*I38*H38</f>
        <v/>
      </c>
      <c r="U38">
        <f>(E38*F38*(O38/1000)*J38*R38*I38*H38)/12500000</f>
        <v/>
      </c>
      <c r="V38">
        <f>(S38+T38+U38)/3</f>
        <v/>
      </c>
      <c r="W38" s="5" t="n">
        <v>800</v>
      </c>
      <c r="X38">
        <f>IFERROR(V38-W38,"")</f>
        <v/>
      </c>
      <c r="Y38">
        <f>IFERROR(ABS(X38)/MAX(W38,1),"")</f>
        <v/>
      </c>
      <c r="Z38">
        <f>IFERROR((W38-(((E38/100000+F38/100+R38/200)*200*I38*H38)+((E38*F38/25000)*I38*H38))/3)/(((J38/5)*200*I38*H38)+((J38*R38/2.5)*I38*H38)+((E38*F38*J38*R38*I38*H38)/12500000))/3*1000,"")</f>
        <v/>
      </c>
    </row>
    <row r="39">
      <c r="B39" s="6" t="inlineStr">
        <is>
          <t xml:space="preserve">  ↳ RA2AWP</t>
        </is>
      </c>
      <c r="C39" s="6" t="inlineStr">
        <is>
          <t>Armament@PRIMARY</t>
        </is>
      </c>
      <c r="K39" s="5" t="n">
        <v>44000</v>
      </c>
      <c r="L39" s="5" t="n">
        <v>54</v>
      </c>
      <c r="M39" s="5" t="n">
        <v>1</v>
      </c>
      <c r="N39" s="5" t="n"/>
      <c r="O39" s="5" t="n">
        <v>10000</v>
      </c>
      <c r="P39" s="5" t="n">
        <v>1</v>
      </c>
      <c r="Q39">
        <f>L39+IF(M39&gt;1,N(N39)*(M39-1),0)</f>
        <v/>
      </c>
      <c r="R39">
        <f>IFERROR(K39*MAX(M39,1)/Q39*P39,0)</f>
        <v/>
      </c>
      <c r="AA39" s="6" t="inlineStr">
        <is>
          <t>^SniperWeapon</t>
        </is>
      </c>
    </row>
    <row r="40">
      <c r="B40" s="6" t="inlineStr">
        <is>
          <t xml:space="preserve">  ↳ RA2AWPE</t>
        </is>
      </c>
      <c r="C40" s="6" t="inlineStr">
        <is>
          <t>Armament@ELITE</t>
        </is>
      </c>
      <c r="K40" s="5" t="n">
        <v>88000</v>
      </c>
      <c r="L40" s="5" t="n">
        <v>54</v>
      </c>
      <c r="M40" s="5" t="n">
        <v>1</v>
      </c>
      <c r="N40" s="5" t="n"/>
      <c r="O40" s="5" t="n">
        <v>12345</v>
      </c>
      <c r="P40" s="5" t="n">
        <v>1</v>
      </c>
      <c r="Q40">
        <f>L40+IF(M40&gt;1,N(N40)*(M40-1),0)</f>
        <v/>
      </c>
      <c r="R40">
        <f>IFERROR(K40*MAX(M40,1)/Q40*P40,0)</f>
        <v/>
      </c>
      <c r="AA40" s="6" t="inlineStr">
        <is>
          <t>^SniperWeapon</t>
        </is>
      </c>
    </row>
    <row r="41">
      <c r="B41" s="6" t="inlineStr">
        <is>
          <t xml:space="preserve">  ↳ RA2AWP</t>
        </is>
      </c>
      <c r="C41" s="6" t="inlineStr">
        <is>
          <t>Armament@GARRISONED</t>
        </is>
      </c>
      <c r="K41" s="5" t="n">
        <v>44000</v>
      </c>
      <c r="L41" s="5" t="n">
        <v>54</v>
      </c>
      <c r="M41" s="5" t="n">
        <v>1</v>
      </c>
      <c r="N41" s="5" t="n"/>
      <c r="O41" s="5" t="n">
        <v>10000</v>
      </c>
      <c r="P41" s="5" t="n">
        <v>1</v>
      </c>
      <c r="Q41">
        <f>L41+IF(M41&gt;1,N(N41)*(M41-1),0)</f>
        <v/>
      </c>
      <c r="R41">
        <f>IFERROR(K41*MAX(M41,1)/Q41*P41,0)</f>
        <v/>
      </c>
      <c r="AA41" s="6" t="inlineStr">
        <is>
          <t>^SniperWeapon</t>
        </is>
      </c>
    </row>
    <row r="42">
      <c r="B42" s="6" t="inlineStr">
        <is>
          <t xml:space="preserve">  ↳ RA2AWPE</t>
        </is>
      </c>
      <c r="C42" s="6" t="inlineStr">
        <is>
          <t>Armament@GARRISONEDELITE</t>
        </is>
      </c>
      <c r="K42" s="5" t="n">
        <v>88000</v>
      </c>
      <c r="L42" s="5" t="n">
        <v>54</v>
      </c>
      <c r="M42" s="5" t="n">
        <v>1</v>
      </c>
      <c r="N42" s="5" t="n"/>
      <c r="O42" s="5" t="n">
        <v>12345</v>
      </c>
      <c r="P42" s="5" t="n">
        <v>1</v>
      </c>
      <c r="Q42">
        <f>L42+IF(M42&gt;1,N(N42)*(M42-1),0)</f>
        <v/>
      </c>
      <c r="R42">
        <f>IFERROR(K42*MAX(M42,1)/Q42*P42,0)</f>
        <v/>
      </c>
      <c r="AA42" s="6" t="inlineStr">
        <is>
          <t>^SniperWeapon</t>
        </is>
      </c>
    </row>
    <row r="43">
      <c r="A43" t="inlineStr">
        <is>
          <t>redalert2</t>
        </is>
      </c>
      <c r="B43" t="inlineStr">
        <is>
          <t>ra2_allies_tanyaii</t>
        </is>
      </c>
      <c r="C43" t="inlineStr">
        <is>
          <t>Tanya II</t>
        </is>
      </c>
      <c r="D43" t="inlineStr"/>
      <c r="E43" s="5" t="n">
        <v>50000</v>
      </c>
      <c r="F43" s="5" t="n">
        <v>75</v>
      </c>
      <c r="G43" t="inlineStr">
        <is>
          <t>Heroic</t>
        </is>
      </c>
      <c r="H43" s="5" t="n">
        <v>1</v>
      </c>
      <c r="I43" s="5" t="n">
        <v>1</v>
      </c>
      <c r="J43" s="5" t="n">
        <v>1</v>
      </c>
      <c r="O43">
        <f>MAX(O44,O45,O46,O47)</f>
        <v/>
      </c>
      <c r="R43">
        <f>R44+R45+R46+R47</f>
        <v/>
      </c>
      <c r="S43">
        <f>(E43/100000+F43/100+(O43/1000)*J43/5+R43/200)*200*I43*H43</f>
        <v/>
      </c>
      <c r="T43">
        <f>((E43*F43/25000)+((O43/1000)*J43*R43/2.5))*I43*H43</f>
        <v/>
      </c>
      <c r="U43">
        <f>(E43*F43*(O43/1000)*J43*R43*I43*H43)/12500000</f>
        <v/>
      </c>
      <c r="V43">
        <f>(S43+T43+U43)/3</f>
        <v/>
      </c>
      <c r="W43" s="5" t="n">
        <v>3000</v>
      </c>
      <c r="X43">
        <f>IFERROR(V43-W43,"")</f>
        <v/>
      </c>
      <c r="Y43">
        <f>IFERROR(ABS(X43)/MAX(W43,1),"")</f>
        <v/>
      </c>
      <c r="Z43">
        <f>IFERROR((W43-(((E43/100000+F43/100+R43/200)*200*I43*H43)+((E43*F43/25000)*I43*H43))/3)/(((J43/5)*200*I43*H43)+((J43*R43/2.5)*I43*H43)+((E43*F43*J43*R43*I43*H43)/12500000))/3*1000,"")</f>
        <v/>
      </c>
    </row>
    <row r="44">
      <c r="B44" s="6" t="inlineStr">
        <is>
          <t xml:space="preserve">  ↳ RA2DoublePistols</t>
        </is>
      </c>
      <c r="C44" s="6" t="inlineStr">
        <is>
          <t>Armament@PRIMARY</t>
        </is>
      </c>
      <c r="K44" s="5" t="n">
        <v>14000</v>
      </c>
      <c r="L44" s="5" t="n">
        <v>12</v>
      </c>
      <c r="M44" s="5" t="n">
        <v>2</v>
      </c>
      <c r="N44" s="5" t="n">
        <v>3</v>
      </c>
      <c r="O44" s="5" t="n">
        <v>8000</v>
      </c>
      <c r="P44" s="5" t="n">
        <v>1</v>
      </c>
      <c r="Q44">
        <f>L44+IF(M44&gt;1,N(N44)*(M44-1),0)</f>
        <v/>
      </c>
      <c r="R44">
        <f>IFERROR(K44*MAX(M44,1)/Q44*P44,0)</f>
        <v/>
      </c>
      <c r="AA44" s="6" t="inlineStr">
        <is>
          <t>^SniperWeapon</t>
        </is>
      </c>
    </row>
    <row r="45">
      <c r="B45" s="6" t="inlineStr">
        <is>
          <t xml:space="preserve">  ↳ RA2DoublePistolsE</t>
        </is>
      </c>
      <c r="C45" s="6" t="inlineStr">
        <is>
          <t>Armament@ELITE</t>
        </is>
      </c>
      <c r="K45" s="5" t="n">
        <v>14000</v>
      </c>
      <c r="L45" s="5" t="n">
        <v>12</v>
      </c>
      <c r="M45" s="5" t="n">
        <v>4</v>
      </c>
      <c r="N45" s="5" t="n">
        <v>3</v>
      </c>
      <c r="O45" s="5" t="n">
        <v>9000</v>
      </c>
      <c r="P45" s="5" t="n">
        <v>1</v>
      </c>
      <c r="Q45">
        <f>L45+IF(M45&gt;1,N(N45)*(M45-1),0)</f>
        <v/>
      </c>
      <c r="R45">
        <f>IFERROR(K45*MAX(M45,1)/Q45*P45,0)</f>
        <v/>
      </c>
      <c r="AA45" s="6" t="inlineStr">
        <is>
          <t>^SniperWeapon</t>
        </is>
      </c>
    </row>
    <row r="46">
      <c r="B46" s="6" t="inlineStr">
        <is>
          <t xml:space="preserve">  ↳ TanyaAttach</t>
        </is>
      </c>
      <c r="C46" s="6" t="inlineStr">
        <is>
          <t>Armament@c4</t>
        </is>
      </c>
      <c r="K46" s="5" t="n"/>
      <c r="L46" s="5" t="n">
        <v>20</v>
      </c>
      <c r="M46" s="5" t="n">
        <v>1</v>
      </c>
      <c r="N46" s="5" t="n"/>
      <c r="O46" s="5" t="n">
        <v>2000</v>
      </c>
      <c r="P46" s="5" t="n">
        <v>1</v>
      </c>
      <c r="Q46">
        <f>L46+IF(M46&gt;1,N(N46)*(M46-1),0)</f>
        <v/>
      </c>
      <c r="R46">
        <f>IFERROR(K46*MAX(M46,1)/Q46*P46,0)</f>
        <v/>
      </c>
      <c r="AA46" s="6" t="inlineStr">
        <is>
          <t>IvanAttach</t>
        </is>
      </c>
    </row>
    <row r="47">
      <c r="B47" s="6" t="inlineStr">
        <is>
          <t xml:space="preserve">  ↳ GenericC4</t>
        </is>
      </c>
      <c r="C47" s="6" t="inlineStr">
        <is>
          <t>Armament@c4building</t>
        </is>
      </c>
      <c r="K47" s="5" t="n"/>
      <c r="L47" s="5" t="n">
        <v>20</v>
      </c>
      <c r="M47" s="5" t="n">
        <v>1</v>
      </c>
      <c r="N47" s="5" t="n"/>
      <c r="O47" s="5" t="n">
        <v>2000</v>
      </c>
      <c r="P47" s="5" t="n">
        <v>1</v>
      </c>
      <c r="Q47">
        <f>L47+IF(M47&gt;1,N(N47)*(M47-1),0)</f>
        <v/>
      </c>
      <c r="R47">
        <f>IFERROR(K47*MAX(M47,1)/Q47*P47,0)</f>
        <v/>
      </c>
      <c r="AA47" s="6" t="inlineStr"/>
    </row>
    <row r="48">
      <c r="B48" s="6" t="inlineStr">
        <is>
          <t xml:space="preserve">  ↳ RA2DoublePistols</t>
        </is>
      </c>
      <c r="C48" s="6" t="inlineStr">
        <is>
          <t>Armament@GARRISONED</t>
        </is>
      </c>
      <c r="K48" s="5" t="n">
        <v>14000</v>
      </c>
      <c r="L48" s="5" t="n">
        <v>12</v>
      </c>
      <c r="M48" s="5" t="n">
        <v>2</v>
      </c>
      <c r="N48" s="5" t="n">
        <v>3</v>
      </c>
      <c r="O48" s="5" t="n">
        <v>8000</v>
      </c>
      <c r="P48" s="5" t="n">
        <v>1</v>
      </c>
      <c r="Q48">
        <f>L48+IF(M48&gt;1,N(N48)*(M48-1),0)</f>
        <v/>
      </c>
      <c r="R48">
        <f>IFERROR(K48*MAX(M48,1)/Q48*P48,0)</f>
        <v/>
      </c>
      <c r="AA48" s="6" t="inlineStr">
        <is>
          <t>^SniperWeapon</t>
        </is>
      </c>
    </row>
    <row r="49">
      <c r="B49" s="6" t="inlineStr">
        <is>
          <t xml:space="preserve">  ↳ RA2DoublePistolsE</t>
        </is>
      </c>
      <c r="C49" s="6" t="inlineStr">
        <is>
          <t>Armament@GARRISONEDELITE</t>
        </is>
      </c>
      <c r="K49" s="5" t="n">
        <v>14000</v>
      </c>
      <c r="L49" s="5" t="n">
        <v>12</v>
      </c>
      <c r="M49" s="5" t="n">
        <v>4</v>
      </c>
      <c r="N49" s="5" t="n">
        <v>3</v>
      </c>
      <c r="O49" s="5" t="n">
        <v>9000</v>
      </c>
      <c r="P49" s="5" t="n">
        <v>1</v>
      </c>
      <c r="Q49">
        <f>L49+IF(M49&gt;1,N(N49)*(M49-1),0)</f>
        <v/>
      </c>
      <c r="R49">
        <f>IFERROR(K49*MAX(M49,1)/Q49*P49,0)</f>
        <v/>
      </c>
      <c r="AA49" s="6" t="inlineStr">
        <is>
          <t>^SniperWeapon</t>
        </is>
      </c>
    </row>
    <row r="50">
      <c r="A50" s="3" t="inlineStr">
        <is>
          <t>VEHICLES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>
      <c r="A51" t="inlineStr">
        <is>
          <t>redalert2</t>
        </is>
      </c>
      <c r="B51" t="inlineStr">
        <is>
          <t>ra2_allies_alliedmobileconstructionvehicle</t>
        </is>
      </c>
      <c r="C51" t="inlineStr">
        <is>
          <t>Allied Mobile Construction Vehicle</t>
        </is>
      </c>
      <c r="D51" t="inlineStr"/>
      <c r="E51" s="5" t="n">
        <v>300000</v>
      </c>
      <c r="F51" s="5" t="n">
        <v>75</v>
      </c>
      <c r="G51" t="inlineStr">
        <is>
          <t>Medium</t>
        </is>
      </c>
      <c r="H51" s="5" t="n">
        <v>1</v>
      </c>
      <c r="I51" s="5" t="n">
        <v>1</v>
      </c>
      <c r="J51" s="5" t="n">
        <v>1</v>
      </c>
      <c r="W51" s="5" t="n">
        <v>5000</v>
      </c>
    </row>
    <row r="52">
      <c r="A52" t="inlineStr">
        <is>
          <t>redalert2</t>
        </is>
      </c>
      <c r="B52" t="inlineStr">
        <is>
          <t>ra2_allies_battlefortress</t>
        </is>
      </c>
      <c r="C52" t="inlineStr">
        <is>
          <t>Battle Fortress</t>
        </is>
      </c>
      <c r="D52" t="inlineStr"/>
      <c r="E52" s="5" t="n">
        <v>320000</v>
      </c>
      <c r="F52" s="5" t="n">
        <v>60</v>
      </c>
      <c r="G52" t="inlineStr">
        <is>
          <t>Heavy</t>
        </is>
      </c>
      <c r="H52" s="5" t="n">
        <v>1</v>
      </c>
      <c r="I52" s="5" t="n">
        <v>1</v>
      </c>
      <c r="J52" s="5" t="n">
        <v>1</v>
      </c>
      <c r="O52">
        <f>MAX(O53)</f>
        <v/>
      </c>
      <c r="R52">
        <f>R53</f>
        <v/>
      </c>
      <c r="S52">
        <f>(E52/100000+F52/100+(O52/1000)*J52/5+R52/200)*200*I52*H52</f>
        <v/>
      </c>
      <c r="T52">
        <f>((E52*F52/25000)+((O52/1000)*J52*R52/2.5))*I52*H52</f>
        <v/>
      </c>
      <c r="U52">
        <f>(E52*F52*(O52/1000)*J52*R52*I52*H52)/12500000</f>
        <v/>
      </c>
      <c r="V52">
        <f>(S52+T52+U52)/3</f>
        <v/>
      </c>
      <c r="W52" s="5" t="n">
        <v>4000</v>
      </c>
      <c r="X52">
        <f>IFERROR(V52-W52,"")</f>
        <v/>
      </c>
      <c r="Y52">
        <f>IFERROR(ABS(X52)/MAX(W52,1),"")</f>
        <v/>
      </c>
      <c r="Z52">
        <f>IFERROR((W52-(((E52/100000+F52/100+R52/200)*200*I52*H52)+((E52*F52/25000)*I52*H52))/3)/(((J52/5)*200*I52*H52)+((J52*R52/2.5)*I52*H52)+((E52*F52*J52*R52*I52*H52)/12500000))/3*1000,"")</f>
        <v/>
      </c>
    </row>
    <row r="53">
      <c r="B53" s="6" t="inlineStr">
        <is>
          <t xml:space="preserve">  ↳ RA220mmrapid</t>
        </is>
      </c>
      <c r="C53" s="6" t="inlineStr">
        <is>
          <t>Armament</t>
        </is>
      </c>
      <c r="K53" s="5" t="n">
        <v>4000</v>
      </c>
      <c r="L53" s="5" t="n">
        <v>15</v>
      </c>
      <c r="M53" s="5" t="n">
        <v>1</v>
      </c>
      <c r="N53" s="5" t="n"/>
      <c r="O53" s="5" t="n">
        <v>5000</v>
      </c>
      <c r="P53" s="5" t="n">
        <v>1</v>
      </c>
      <c r="Q53">
        <f>L53+IF(M53&gt;1,N(N53)*(M53-1),0)</f>
        <v/>
      </c>
      <c r="R53">
        <f>IFERROR(K53*MAX(M53,1)/Q53*P53,0)</f>
        <v/>
      </c>
      <c r="AA53" s="6" t="inlineStr">
        <is>
          <t>^RA2SmallArms, ^RA2Chaingun</t>
        </is>
      </c>
    </row>
    <row r="54">
      <c r="A54" t="inlineStr">
        <is>
          <t>redalert2</t>
        </is>
      </c>
      <c r="B54" t="inlineStr">
        <is>
          <t>ra2_allies_battlefortress_2</t>
        </is>
      </c>
      <c r="C54" t="inlineStr">
        <is>
          <t>Battle Fortress</t>
        </is>
      </c>
      <c r="D54" t="inlineStr"/>
      <c r="E54" s="5" t="n">
        <v>320000</v>
      </c>
      <c r="F54" s="5" t="n">
        <v>60</v>
      </c>
      <c r="G54" t="inlineStr">
        <is>
          <t>Heavy</t>
        </is>
      </c>
      <c r="H54" s="5" t="n">
        <v>1</v>
      </c>
      <c r="I54" s="5" t="n">
        <v>1</v>
      </c>
      <c r="J54" s="5" t="n">
        <v>1</v>
      </c>
      <c r="O54">
        <f>MAX(O55)</f>
        <v/>
      </c>
      <c r="R54">
        <f>R55</f>
        <v/>
      </c>
      <c r="S54">
        <f>(E54/100000+F54/100+(O54/1000)*J54/5+R54/200)*200*I54*H54</f>
        <v/>
      </c>
      <c r="T54">
        <f>((E54*F54/25000)+((O54/1000)*J54*R54/2.5))*I54*H54</f>
        <v/>
      </c>
      <c r="U54">
        <f>(E54*F54*(O54/1000)*J54*R54*I54*H54)/12500000</f>
        <v/>
      </c>
      <c r="V54">
        <f>(S54+T54+U54)/3</f>
        <v/>
      </c>
      <c r="W54" s="5" t="n">
        <v>4000</v>
      </c>
      <c r="X54">
        <f>IFERROR(V54-W54,"")</f>
        <v/>
      </c>
      <c r="Y54">
        <f>IFERROR(ABS(X54)/MAX(W54,1),"")</f>
        <v/>
      </c>
      <c r="Z54">
        <f>IFERROR((W54-(((E54/100000+F54/100+R54/200)*200*I54*H54)+((E54*F54/25000)*I54*H54))/3)/(((J54/5)*200*I54*H54)+((J54*R54/2.5)*I54*H54)+((E54*F54*J54*R54*I54*H54)/12500000))/3*1000,"")</f>
        <v/>
      </c>
    </row>
    <row r="55">
      <c r="B55" s="6" t="inlineStr">
        <is>
          <t xml:space="preserve">  ↳ RA220mmrapid</t>
        </is>
      </c>
      <c r="C55" s="6" t="inlineStr">
        <is>
          <t>Armament</t>
        </is>
      </c>
      <c r="K55" s="5" t="n">
        <v>4000</v>
      </c>
      <c r="L55" s="5" t="n">
        <v>15</v>
      </c>
      <c r="M55" s="5" t="n">
        <v>1</v>
      </c>
      <c r="N55" s="5" t="n"/>
      <c r="O55" s="5" t="n">
        <v>5000</v>
      </c>
      <c r="P55" s="5" t="n">
        <v>1</v>
      </c>
      <c r="Q55">
        <f>L55+IF(M55&gt;1,N(N55)*(M55-1),0)</f>
        <v/>
      </c>
      <c r="R55">
        <f>IFERROR(K55*MAX(M55,1)/Q55*P55,0)</f>
        <v/>
      </c>
      <c r="AA55" s="6" t="inlineStr">
        <is>
          <t>^RA2SmallArms, ^RA2Chaingun</t>
        </is>
      </c>
    </row>
    <row r="56">
      <c r="A56" t="inlineStr">
        <is>
          <t>redalert2</t>
        </is>
      </c>
      <c r="B56" t="inlineStr">
        <is>
          <t>ra2_allies_battlefortress_3</t>
        </is>
      </c>
      <c r="C56" t="inlineStr">
        <is>
          <t>Battle Fortress</t>
        </is>
      </c>
      <c r="D56" t="inlineStr"/>
      <c r="E56" s="5" t="n">
        <v>320000</v>
      </c>
      <c r="F56" s="5" t="n">
        <v>60</v>
      </c>
      <c r="G56" t="inlineStr">
        <is>
          <t>Heavy</t>
        </is>
      </c>
      <c r="H56" s="5" t="n">
        <v>1</v>
      </c>
      <c r="I56" s="5" t="n">
        <v>1</v>
      </c>
      <c r="J56" s="5" t="n">
        <v>1</v>
      </c>
      <c r="O56">
        <f>MAX(O57)</f>
        <v/>
      </c>
      <c r="R56">
        <f>R57</f>
        <v/>
      </c>
      <c r="S56">
        <f>(E56/100000+F56/100+(O56/1000)*J56/5+R56/200)*200*I56*H56</f>
        <v/>
      </c>
      <c r="T56">
        <f>((E56*F56/25000)+((O56/1000)*J56*R56/2.5))*I56*H56</f>
        <v/>
      </c>
      <c r="U56">
        <f>(E56*F56*(O56/1000)*J56*R56*I56*H56)/12500000</f>
        <v/>
      </c>
      <c r="V56">
        <f>(S56+T56+U56)/3</f>
        <v/>
      </c>
      <c r="W56" s="5" t="n">
        <v>4000</v>
      </c>
      <c r="X56">
        <f>IFERROR(V56-W56,"")</f>
        <v/>
      </c>
      <c r="Y56">
        <f>IFERROR(ABS(X56)/MAX(W56,1),"")</f>
        <v/>
      </c>
      <c r="Z56">
        <f>IFERROR((W56-(((E56/100000+F56/100+R56/200)*200*I56*H56)+((E56*F56/25000)*I56*H56))/3)/(((J56/5)*200*I56*H56)+((J56*R56/2.5)*I56*H56)+((E56*F56*J56*R56*I56*H56)/12500000))/3*1000,"")</f>
        <v/>
      </c>
    </row>
    <row r="57">
      <c r="B57" s="6" t="inlineStr">
        <is>
          <t xml:space="preserve">  ↳ RA220mmrapid</t>
        </is>
      </c>
      <c r="C57" s="6" t="inlineStr">
        <is>
          <t>Armament</t>
        </is>
      </c>
      <c r="K57" s="5" t="n">
        <v>4000</v>
      </c>
      <c r="L57" s="5" t="n">
        <v>15</v>
      </c>
      <c r="M57" s="5" t="n">
        <v>1</v>
      </c>
      <c r="N57" s="5" t="n"/>
      <c r="O57" s="5" t="n">
        <v>5000</v>
      </c>
      <c r="P57" s="5" t="n">
        <v>1</v>
      </c>
      <c r="Q57">
        <f>L57+IF(M57&gt;1,N(N57)*(M57-1),0)</f>
        <v/>
      </c>
      <c r="R57">
        <f>IFERROR(K57*MAX(M57,1)/Q57*P57,0)</f>
        <v/>
      </c>
      <c r="AA57" s="6" t="inlineStr">
        <is>
          <t>^RA2SmallArms, ^RA2Chaingun</t>
        </is>
      </c>
    </row>
    <row r="58">
      <c r="A58" t="inlineStr">
        <is>
          <t>redalert2</t>
        </is>
      </c>
      <c r="B58" t="inlineStr">
        <is>
          <t>ra2_allies_chronominer</t>
        </is>
      </c>
      <c r="C58" t="inlineStr">
        <is>
          <t>Chrono Miner</t>
        </is>
      </c>
      <c r="D58" t="inlineStr"/>
      <c r="E58" s="5" t="n">
        <v>100000</v>
      </c>
      <c r="F58" s="5" t="n">
        <v>100</v>
      </c>
      <c r="G58" t="inlineStr">
        <is>
          <t>Medium</t>
        </is>
      </c>
      <c r="H58" s="5" t="n">
        <v>1</v>
      </c>
      <c r="I58" s="5" t="n">
        <v>1</v>
      </c>
      <c r="J58" s="5" t="n">
        <v>1</v>
      </c>
      <c r="W58" s="5" t="n">
        <v>1000</v>
      </c>
    </row>
    <row r="59">
      <c r="A59" t="inlineStr">
        <is>
          <t>redalert2</t>
        </is>
      </c>
      <c r="B59" t="inlineStr">
        <is>
          <t>ra2_allies_grizzlytank</t>
        </is>
      </c>
      <c r="C59" t="inlineStr">
        <is>
          <t>Grizzly Tank</t>
        </is>
      </c>
      <c r="D59" t="inlineStr"/>
      <c r="E59" s="5" t="n">
        <v>100000</v>
      </c>
      <c r="F59" s="5" t="n">
        <v>95</v>
      </c>
      <c r="G59" t="inlineStr">
        <is>
          <t>Medium</t>
        </is>
      </c>
      <c r="H59" s="5" t="n">
        <v>1</v>
      </c>
      <c r="I59" s="5" t="n">
        <v>1</v>
      </c>
      <c r="J59" s="5" t="n">
        <v>1</v>
      </c>
      <c r="O59">
        <f>MAX(O60,O61)</f>
        <v/>
      </c>
      <c r="R59">
        <f>R60+R61</f>
        <v/>
      </c>
      <c r="S59">
        <f>(E59/100000+F59/100+(O59/1000)*J59/5+R59/200)*200*I59*H59</f>
        <v/>
      </c>
      <c r="T59">
        <f>((E59*F59/25000)+((O59/1000)*J59*R59/2.5))*I59*H59</f>
        <v/>
      </c>
      <c r="U59">
        <f>(E59*F59*(O59/1000)*J59*R59*I59*H59)/12500000</f>
        <v/>
      </c>
      <c r="V59">
        <f>(S59+T59+U59)/3</f>
        <v/>
      </c>
      <c r="W59" s="5" t="n">
        <v>750</v>
      </c>
      <c r="X59">
        <f>IFERROR(V59-W59,"")</f>
        <v/>
      </c>
      <c r="Y59">
        <f>IFERROR(ABS(X59)/MAX(W59,1),"")</f>
        <v/>
      </c>
      <c r="Z59">
        <f>IFERROR((W59-(((E59/100000+F59/100+R59/200)*200*I59*H59)+((E59*F59/25000)*I59*H59))/3)/(((J59/5)*200*I59*H59)+((J59*R59/2.5)*I59*H59)+((E59*F59*J59*R59*I59*H59)/12500000))/3*1000,"")</f>
        <v/>
      </c>
    </row>
    <row r="60">
      <c r="B60" s="6" t="inlineStr">
        <is>
          <t xml:space="preserve">  ↳ RA2105mm</t>
        </is>
      </c>
      <c r="C60" s="6" t="inlineStr">
        <is>
          <t>Armament</t>
        </is>
      </c>
      <c r="K60" s="5" t="n">
        <v>8000</v>
      </c>
      <c r="L60" s="5" t="n">
        <v>45</v>
      </c>
      <c r="M60" s="5" t="n">
        <v>1</v>
      </c>
      <c r="N60" s="5" t="n"/>
      <c r="O60" s="5" t="n">
        <v>5289</v>
      </c>
      <c r="P60" s="5" t="n">
        <v>1</v>
      </c>
      <c r="Q60">
        <f>L60+IF(M60&gt;1,N(N60)*(M60-1),0)</f>
        <v/>
      </c>
      <c r="R60">
        <f>IFERROR(K60*MAX(M60,1)/Q60*P60,0)</f>
        <v/>
      </c>
      <c r="AA60" s="6" t="inlineStr">
        <is>
          <t>^RA2MediumCannon</t>
        </is>
      </c>
    </row>
    <row r="61">
      <c r="B61" s="6" t="inlineStr">
        <is>
          <t xml:space="preserve">  ↳ RA2105mm_elite</t>
        </is>
      </c>
      <c r="C61" s="6" t="inlineStr">
        <is>
          <t>Armament@elite</t>
        </is>
      </c>
      <c r="K61" s="5" t="n">
        <v>8000</v>
      </c>
      <c r="L61" s="5" t="n">
        <v>45</v>
      </c>
      <c r="M61" s="5" t="n">
        <v>2</v>
      </c>
      <c r="N61" s="5" t="n">
        <v>3</v>
      </c>
      <c r="O61" s="5" t="n">
        <v>6289</v>
      </c>
      <c r="P61" s="5" t="n">
        <v>1</v>
      </c>
      <c r="Q61">
        <f>L61+IF(M61&gt;1,N(N61)*(M61-1),0)</f>
        <v/>
      </c>
      <c r="R61">
        <f>IFERROR(K61*MAX(M61,1)/Q61*P61,0)</f>
        <v/>
      </c>
      <c r="AA61" s="6" t="inlineStr">
        <is>
          <t>^RA2MediumCannon, ^RA2EliteEffects</t>
        </is>
      </c>
    </row>
    <row r="62">
      <c r="A62" t="inlineStr">
        <is>
          <t>redalert2</t>
        </is>
      </c>
      <c r="B62" t="inlineStr">
        <is>
          <t>ra2_allies_heavymiragetank</t>
        </is>
      </c>
      <c r="C62" t="inlineStr">
        <is>
          <t>Heavy Mirage Tank</t>
        </is>
      </c>
      <c r="D62" t="inlineStr"/>
      <c r="E62" s="5" t="n">
        <v>240000</v>
      </c>
      <c r="F62" s="5" t="n">
        <v>60</v>
      </c>
      <c r="G62" t="inlineStr">
        <is>
          <t>Heavy</t>
        </is>
      </c>
      <c r="H62" s="5" t="n">
        <v>0.75</v>
      </c>
      <c r="I62" s="5" t="n">
        <v>1</v>
      </c>
      <c r="J62" s="5" t="n">
        <v>1</v>
      </c>
      <c r="O62">
        <f>MAX(O63,O64)</f>
        <v/>
      </c>
      <c r="R62">
        <f>R63+R64</f>
        <v/>
      </c>
      <c r="S62">
        <f>(E62/100000+F62/100+(O62/1000)*J62/5+R62/200)*200*I62*H62</f>
        <v/>
      </c>
      <c r="T62">
        <f>((E62*F62/25000)+((O62/1000)*J62*R62/2.5))*I62*H62</f>
        <v/>
      </c>
      <c r="U62">
        <f>(E62*F62*(O62/1000)*J62*R62*I62*H62)/12500000</f>
        <v/>
      </c>
      <c r="V62">
        <f>(S62+T62+U62)/3</f>
        <v/>
      </c>
      <c r="W62" s="5" t="n">
        <v>2000</v>
      </c>
      <c r="X62">
        <f>IFERROR(V62-W62,"")</f>
        <v/>
      </c>
      <c r="Y62">
        <f>IFERROR(ABS(X62)/MAX(W62,1),"")</f>
        <v/>
      </c>
      <c r="Z62">
        <f>IFERROR((W62-(((E62/100000+F62/100+R62/200)*200*I62*H62)+((E62*F62/25000)*I62*H62))/3)/(((J62/5)*200*I62*H62)+((J62*R62/2.5)*I62*H62)+((E62*F62*J62*R62*I62*H62)/12500000))/3*1000,"")</f>
        <v/>
      </c>
    </row>
    <row r="63">
      <c r="B63" s="6" t="inlineStr">
        <is>
          <t xml:space="preserve">  ↳ RA2HeavyMirageGun</t>
        </is>
      </c>
      <c r="C63" s="6" t="inlineStr">
        <is>
          <t>Armament</t>
        </is>
      </c>
      <c r="K63" s="5" t="n">
        <v>8000</v>
      </c>
      <c r="L63" s="5" t="n">
        <v>51</v>
      </c>
      <c r="M63" s="5" t="n">
        <v>1</v>
      </c>
      <c r="N63" s="5" t="n"/>
      <c r="O63" s="5" t="n">
        <v>6112</v>
      </c>
      <c r="P63" s="5" t="n">
        <v>1</v>
      </c>
      <c r="Q63">
        <f>L63+IF(M63&gt;1,N(N63)*(M63-1),0)</f>
        <v/>
      </c>
      <c r="R63">
        <f>IFERROR(K63*MAX(M63,1)/Q63*P63,0)</f>
        <v/>
      </c>
      <c r="AA63" s="6" t="inlineStr">
        <is>
          <t>^RailgunWeapon, ^ShrapnelWeapon, ^MediumChemicalWeapon, ^RA2TankDestroyerCannon</t>
        </is>
      </c>
    </row>
    <row r="64">
      <c r="B64" s="6" t="inlineStr">
        <is>
          <t xml:space="preserve">  ↳ RA2HeavyMirageGun_elite</t>
        </is>
      </c>
      <c r="C64" s="6" t="inlineStr">
        <is>
          <t>Armament@elite</t>
        </is>
      </c>
      <c r="K64" s="5" t="n">
        <v>8000</v>
      </c>
      <c r="L64" s="5" t="n">
        <v>51</v>
      </c>
      <c r="M64" s="5" t="n">
        <v>2</v>
      </c>
      <c r="N64" s="5" t="n">
        <v>3</v>
      </c>
      <c r="O64" s="5" t="n">
        <v>7112</v>
      </c>
      <c r="P64" s="5" t="n">
        <v>1</v>
      </c>
      <c r="Q64">
        <f>L64+IF(M64&gt;1,N(N64)*(M64-1),0)</f>
        <v/>
      </c>
      <c r="R64">
        <f>IFERROR(K64*MAX(M64,1)/Q64*P64,0)</f>
        <v/>
      </c>
      <c r="AA64" s="6" t="inlineStr">
        <is>
          <t>^RailgunWeapon, ^ShrapnelWeapon, ^MediumChemicalWeapon, ^RA2TankDestroyerCannon, ^RA2EliteEffects</t>
        </is>
      </c>
    </row>
    <row r="65">
      <c r="A65" t="inlineStr">
        <is>
          <t>redalert2</t>
        </is>
      </c>
      <c r="B65" t="inlineStr">
        <is>
          <t>ra2_allies_ifv</t>
        </is>
      </c>
      <c r="C65" t="inlineStr">
        <is>
          <t>actor_fv.name</t>
        </is>
      </c>
      <c r="D65" t="inlineStr"/>
      <c r="E65" s="5" t="n">
        <v>25000</v>
      </c>
      <c r="F65" s="5" t="n">
        <v>150</v>
      </c>
      <c r="G65" t="inlineStr">
        <is>
          <t>Scout</t>
        </is>
      </c>
      <c r="H65" s="5" t="n">
        <v>1</v>
      </c>
      <c r="I65" s="5" t="n">
        <v>1</v>
      </c>
      <c r="J65" s="5" t="n">
        <v>1</v>
      </c>
      <c r="O65">
        <f>MAX(O66,O67,O68,O69,O70,O71,O72,O73,O74,O75,O76,O77,O78,O79,O80,O81,O82,O83,O84,O85,O86,O87,O88,O89,O90,O91,O92,O93,O94,O95,O96,O97,O98,O99,O100,O101,O102,O103,O104,O105,O106,O107)</f>
        <v/>
      </c>
      <c r="R65">
        <f>R66+R67+R68+R69+R70+R71+R72+R73+R74+R75+R76+R77+R78+R79+R80+R81+R82+R83+R84+R85+R86+R87+R88+R89+R90+R91+R92+R93+R94+R95+R96+R97+R98+R99+R100+R101+R102+R103+R104+R105+R106+R107</f>
        <v/>
      </c>
      <c r="S65">
        <f>(E65/100000+F65/100+(O65/1000)*J65/5+R65/200)*200*I65*H65</f>
        <v/>
      </c>
      <c r="T65">
        <f>((E65*F65/25000)+((O65/1000)*J65*R65/2.5))*I65*H65</f>
        <v/>
      </c>
      <c r="U65">
        <f>(E65*F65*(O65/1000)*J65*R65*I65*H65)/12500000</f>
        <v/>
      </c>
      <c r="V65">
        <f>(S65+T65+U65)/3</f>
        <v/>
      </c>
      <c r="W65" s="5" t="n">
        <v>500</v>
      </c>
      <c r="X65">
        <f>IFERROR(V65-W65,"")</f>
        <v/>
      </c>
      <c r="Y65">
        <f>IFERROR(ABS(X65)/MAX(W65,1),"")</f>
        <v/>
      </c>
      <c r="Z65">
        <f>IFERROR((W65-(((E65/100000+F65/100+R65/200)*200*I65*H65)+((E65*F65/25000)*I65*H65))/3)/(((J65/5)*200*I65*H65)+((J65*R65/2.5)*I65*H65)+((E65*F65*J65*R65*I65*H65)/12500000))/3*1000,"")</f>
        <v/>
      </c>
    </row>
    <row r="66">
      <c r="B66" s="6" t="inlineStr">
        <is>
          <t xml:space="preserve">  ↳ RA2CRM60</t>
        </is>
      </c>
      <c r="C66" s="6" t="inlineStr">
        <is>
          <t>Armament@mg</t>
        </is>
      </c>
      <c r="K66" s="5" t="n">
        <v>2000</v>
      </c>
      <c r="L66" s="5" t="n">
        <v>14</v>
      </c>
      <c r="M66" s="5" t="n">
        <v>4</v>
      </c>
      <c r="N66" s="5" t="n">
        <v>2</v>
      </c>
      <c r="O66" s="5" t="n">
        <v>5660</v>
      </c>
      <c r="P66" s="5" t="n">
        <v>1</v>
      </c>
      <c r="Q66">
        <f>L66+IF(M66&gt;1,N(N66)*(M66-1),0)</f>
        <v/>
      </c>
      <c r="R66">
        <f>IFERROR(K66*MAX(M66,1)/Q66*P66,0)</f>
        <v/>
      </c>
      <c r="AA66" s="6" t="inlineStr">
        <is>
          <t>^RA2SmallArms, ^RA2Chaingun</t>
        </is>
      </c>
    </row>
    <row r="67">
      <c r="B67" s="6" t="inlineStr">
        <is>
          <t xml:space="preserve">  ↳ RA2CRM60H</t>
        </is>
      </c>
      <c r="C67" s="6" t="inlineStr">
        <is>
          <t>Armament@hmg</t>
        </is>
      </c>
      <c r="K67" s="5" t="n">
        <v>2000</v>
      </c>
      <c r="L67" s="5" t="n">
        <v>10</v>
      </c>
      <c r="M67" s="5" t="n">
        <v>6</v>
      </c>
      <c r="N67" s="5" t="n">
        <v>2</v>
      </c>
      <c r="O67" s="5" t="n">
        <v>4692</v>
      </c>
      <c r="P67" s="5" t="n">
        <v>1</v>
      </c>
      <c r="Q67">
        <f>L67+IF(M67&gt;1,N(N67)*(M67-1),0)</f>
        <v/>
      </c>
      <c r="R67">
        <f>IFERROR(K67*MAX(M67,1)/Q67*P67,0)</f>
        <v/>
      </c>
      <c r="AA67" s="6" t="inlineStr">
        <is>
          <t>^HeavyCannon, ^RA2Chaingun, ^SniperWeapon</t>
        </is>
      </c>
    </row>
    <row r="68">
      <c r="B68" s="6" t="inlineStr">
        <is>
          <t xml:space="preserve">  ↳ wc_tower_fire</t>
        </is>
      </c>
      <c r="C68" s="6" t="inlineStr">
        <is>
          <t>Armament@archer</t>
        </is>
      </c>
      <c r="K68" s="5" t="n">
        <v>2500</v>
      </c>
      <c r="L68" s="5" t="n">
        <v>40</v>
      </c>
      <c r="M68" s="5" t="n">
        <v>1</v>
      </c>
      <c r="N68" s="5" t="n"/>
      <c r="O68" s="5" t="n">
        <v>8704</v>
      </c>
      <c r="P68" s="5" t="n">
        <v>1</v>
      </c>
      <c r="Q68">
        <f>L68+IF(M68&gt;1,N(N68)*(M68-1),0)</f>
        <v/>
      </c>
      <c r="R68">
        <f>IFERROR(K68*MAX(M68,1)/Q68*P68,0)</f>
        <v/>
      </c>
      <c r="AA68" s="6" t="inlineStr">
        <is>
          <t>bowFire</t>
        </is>
      </c>
    </row>
    <row r="69">
      <c r="B69" s="6" t="inlineStr">
        <is>
          <t xml:space="preserve">  ↳ RA2IFVRepair</t>
        </is>
      </c>
      <c r="C69" s="6" t="inlineStr">
        <is>
          <t>Armament@repair</t>
        </is>
      </c>
      <c r="K69" s="5" t="n">
        <v>-1</v>
      </c>
      <c r="L69" s="5" t="n">
        <v>50</v>
      </c>
      <c r="M69" s="5" t="n">
        <v>10</v>
      </c>
      <c r="N69" s="5" t="n">
        <v>1</v>
      </c>
      <c r="O69" s="5" t="n">
        <v>5000</v>
      </c>
      <c r="P69" s="5" t="n">
        <v>1</v>
      </c>
      <c r="Q69">
        <f>L69+IF(M69&gt;1,N(N69)*(M69-1),0)</f>
        <v/>
      </c>
      <c r="R69">
        <f>IFERROR(K69*MAX(M69,1)/Q69*P69,0)</f>
        <v/>
      </c>
      <c r="AA69" s="6" t="inlineStr">
        <is>
          <t>^RepairWeapon</t>
        </is>
      </c>
    </row>
    <row r="70">
      <c r="B70" s="6" t="inlineStr">
        <is>
          <t xml:space="preserve">  ↳ LightSniper</t>
        </is>
      </c>
      <c r="C70" s="6" t="inlineStr">
        <is>
          <t>Armament@lightsniper</t>
        </is>
      </c>
      <c r="K70" s="5" t="n">
        <v>30000</v>
      </c>
      <c r="L70" s="5" t="n">
        <v>100</v>
      </c>
      <c r="M70" s="5" t="n">
        <v>1</v>
      </c>
      <c r="N70" s="5" t="n"/>
      <c r="O70" s="5" t="n">
        <v>9153</v>
      </c>
      <c r="P70" s="5" t="n">
        <v>1</v>
      </c>
      <c r="Q70">
        <f>L70+IF(M70&gt;1,N(N70)*(M70-1),0)</f>
        <v/>
      </c>
      <c r="R70">
        <f>IFERROR(K70*MAX(M70,1)/Q70*P70,0)</f>
        <v/>
      </c>
      <c r="AA70" s="6" t="inlineStr">
        <is>
          <t>^SniperWeapon</t>
        </is>
      </c>
    </row>
    <row r="71">
      <c r="B71" s="6" t="inlineStr">
        <is>
          <t xml:space="preserve">  ↳ RA2DoublePistolsIFV</t>
        </is>
      </c>
      <c r="C71" s="6" t="inlineStr">
        <is>
          <t>Armament@hero</t>
        </is>
      </c>
      <c r="K71" s="5" t="n">
        <v>14000</v>
      </c>
      <c r="L71" s="5" t="n">
        <v>12</v>
      </c>
      <c r="M71" s="5" t="n">
        <v>2</v>
      </c>
      <c r="N71" s="5" t="n">
        <v>3</v>
      </c>
      <c r="O71" s="5" t="n">
        <v>8000</v>
      </c>
      <c r="P71" s="5" t="n">
        <v>1</v>
      </c>
      <c r="Q71">
        <f>L71+IF(M71&gt;1,N(N71)*(M71-1),0)</f>
        <v/>
      </c>
      <c r="R71">
        <f>IFERROR(K71*MAX(M71,1)/Q71*P71,0)</f>
        <v/>
      </c>
      <c r="AA71" s="6" t="inlineStr">
        <is>
          <t>^SniperWeapon</t>
        </is>
      </c>
    </row>
    <row r="72">
      <c r="B72" s="6" t="inlineStr">
        <is>
          <t xml:space="preserve">  ↳ TTankZap</t>
        </is>
      </c>
      <c r="C72" s="6" t="inlineStr">
        <is>
          <t>Armament@tesla</t>
        </is>
      </c>
      <c r="K72" s="5" t="n">
        <v>40000</v>
      </c>
      <c r="L72" s="5" t="n">
        <v>80</v>
      </c>
      <c r="M72" s="5" t="n">
        <v>1</v>
      </c>
      <c r="N72" s="5" t="n"/>
      <c r="O72" s="5" t="n">
        <v>7300</v>
      </c>
      <c r="P72" s="5" t="n">
        <v>1</v>
      </c>
      <c r="Q72">
        <f>L72+IF(M72&gt;1,N(N72)*(M72-1),0)</f>
        <v/>
      </c>
      <c r="R72">
        <f>IFERROR(K72*MAX(M72,1)/Q72*P72,0)</f>
        <v/>
      </c>
      <c r="AA72" s="6" t="inlineStr">
        <is>
          <t>^TeslaWeapon</t>
        </is>
      </c>
    </row>
    <row r="73">
      <c r="B73" s="6" t="inlineStr">
        <is>
          <t xml:space="preserve">  ↳ DragunovSniper</t>
        </is>
      </c>
      <c r="C73" s="6" t="inlineStr">
        <is>
          <t>Armament@flak</t>
        </is>
      </c>
      <c r="K73" s="5" t="n">
        <v>8000</v>
      </c>
      <c r="L73" s="5" t="n">
        <v>85</v>
      </c>
      <c r="M73" s="5" t="n">
        <v>1</v>
      </c>
      <c r="N73" s="5" t="n"/>
      <c r="O73" s="5" t="n">
        <v>6880</v>
      </c>
      <c r="P73" s="5" t="n">
        <v>1</v>
      </c>
      <c r="Q73">
        <f>L73+IF(M73&gt;1,N(N73)*(M73-1),0)</f>
        <v/>
      </c>
      <c r="R73">
        <f>IFERROR(K73*MAX(M73,1)/Q73*P73,0)</f>
        <v/>
      </c>
      <c r="AA73" s="6" t="inlineStr">
        <is>
          <t>^TankDestroyerCannon, ^RailgunWeapon, ^LightMissile, ^HeavyCannon, ^FlakWeapon</t>
        </is>
      </c>
    </row>
    <row r="74">
      <c r="B74" s="6" t="inlineStr">
        <is>
          <t xml:space="preserve">  ↳ RA2MirageGun</t>
        </is>
      </c>
      <c r="C74" s="6" t="inlineStr">
        <is>
          <t>Armament@cannon</t>
        </is>
      </c>
      <c r="K74" s="5" t="n">
        <v>8000</v>
      </c>
      <c r="L74" s="5" t="n">
        <v>39</v>
      </c>
      <c r="M74" s="5" t="n">
        <v>1</v>
      </c>
      <c r="N74" s="5" t="n"/>
      <c r="O74" s="5" t="n">
        <v>6031</v>
      </c>
      <c r="P74" s="5" t="n">
        <v>1</v>
      </c>
      <c r="Q74">
        <f>L74+IF(M74&gt;1,N(N74)*(M74-1),0)</f>
        <v/>
      </c>
      <c r="R74">
        <f>IFERROR(K74*MAX(M74,1)/Q74*P74,0)</f>
        <v/>
      </c>
      <c r="AA74" s="6" t="inlineStr">
        <is>
          <t>^RailgunWeapon, ^MediumChemicalWeapon, ^RA2TankDestroyerCannon</t>
        </is>
      </c>
    </row>
    <row r="75">
      <c r="B75" s="6" t="inlineStr">
        <is>
          <t xml:space="preserve">  ↳ Grenade</t>
        </is>
      </c>
      <c r="C75" s="6" t="inlineStr">
        <is>
          <t>Armament@grenade</t>
        </is>
      </c>
      <c r="K75" s="5" t="n">
        <v>16000</v>
      </c>
      <c r="L75" s="5" t="n">
        <v>42</v>
      </c>
      <c r="M75" s="5" t="n">
        <v>1</v>
      </c>
      <c r="N75" s="5" t="n"/>
      <c r="O75" s="5" t="n">
        <v>6097</v>
      </c>
      <c r="P75" s="5" t="n">
        <v>1</v>
      </c>
      <c r="Q75">
        <f>L75+IF(M75&gt;1,N(N75)*(M75-1),0)</f>
        <v/>
      </c>
      <c r="R75">
        <f>IFERROR(K75*MAX(M75,1)/Q75*P75,0)</f>
        <v/>
      </c>
      <c r="AA75" s="6" t="inlineStr">
        <is>
          <t>^Grenade</t>
        </is>
      </c>
    </row>
    <row r="76">
      <c r="B76" s="6" t="inlineStr">
        <is>
          <t xml:space="preserve">  ↳ DRPlasmaTankWeapon</t>
        </is>
      </c>
      <c r="C76" s="6" t="inlineStr">
        <is>
          <t>Armament@plasma</t>
        </is>
      </c>
      <c r="K76" s="5" t="n">
        <v>3750</v>
      </c>
      <c r="L76" s="5" t="n">
        <v>21</v>
      </c>
      <c r="M76" s="5" t="n">
        <v>1</v>
      </c>
      <c r="N76" s="5" t="n"/>
      <c r="O76" s="5" t="n">
        <v>5120</v>
      </c>
      <c r="P76" s="5" t="n">
        <v>1</v>
      </c>
      <c r="Q76">
        <f>L76+IF(M76&gt;1,N(N76)*(M76-1),0)</f>
        <v/>
      </c>
      <c r="R76">
        <f>IFERROR(K76*MAX(M76,1)/Q76*P76,0)</f>
        <v/>
      </c>
      <c r="AA76" s="6" t="inlineStr">
        <is>
          <t>^DRPlasmaWeapon</t>
        </is>
      </c>
    </row>
    <row r="77">
      <c r="B77" s="6" t="inlineStr">
        <is>
          <t xml:space="preserve">  ↳ SWLaserG</t>
        </is>
      </c>
      <c r="C77" s="6" t="inlineStr">
        <is>
          <t>Armament@litlaser</t>
        </is>
      </c>
      <c r="K77" s="5" t="n">
        <v>2000</v>
      </c>
      <c r="L77" s="5" t="n">
        <v>30</v>
      </c>
      <c r="M77" s="5" t="n">
        <v>6</v>
      </c>
      <c r="N77" s="5" t="n"/>
      <c r="O77" s="5" t="n">
        <v>6144</v>
      </c>
      <c r="P77" s="5" t="n">
        <v>1</v>
      </c>
      <c r="Q77">
        <f>L77+IF(M77&gt;1,N(N77)*(M77-1),0)</f>
        <v/>
      </c>
      <c r="R77">
        <f>IFERROR(K77*MAX(M77,1)/Q77*P77,0)</f>
        <v/>
      </c>
      <c r="AA77" s="6" t="inlineStr">
        <is>
          <t>^LightMG</t>
        </is>
      </c>
    </row>
    <row r="78">
      <c r="B78" s="6" t="inlineStr">
        <is>
          <t xml:space="preserve">  ↳ USALaserCannonAG</t>
        </is>
      </c>
      <c r="C78" s="6" t="inlineStr">
        <is>
          <t>Armament@medlaser</t>
        </is>
      </c>
      <c r="K78" s="5" t="n">
        <v>4000</v>
      </c>
      <c r="L78" s="5" t="n">
        <v>50</v>
      </c>
      <c r="M78" s="5" t="n">
        <v>3</v>
      </c>
      <c r="N78" s="5" t="n">
        <v>6</v>
      </c>
      <c r="O78" s="5" t="n">
        <v>7168</v>
      </c>
      <c r="P78" s="5" t="n">
        <v>1</v>
      </c>
      <c r="Q78">
        <f>L78+IF(M78&gt;1,N(N78)*(M78-1),0)</f>
        <v/>
      </c>
      <c r="R78">
        <f>IFERROR(K78*MAX(M78,1)/Q78*P78,0)</f>
        <v/>
      </c>
      <c r="AA78" s="6" t="inlineStr">
        <is>
          <t>^AntiGroundMissile</t>
        </is>
      </c>
    </row>
    <row r="79">
      <c r="B79" s="6" t="inlineStr">
        <is>
          <t xml:space="preserve">  ↳ SWGreenLaserG</t>
        </is>
      </c>
      <c r="C79" s="6" t="inlineStr">
        <is>
          <t>Armament@greenlaser</t>
        </is>
      </c>
      <c r="K79" s="5" t="n">
        <v>5000</v>
      </c>
      <c r="L79" s="5" t="n">
        <v>75</v>
      </c>
      <c r="M79" s="5" t="n">
        <v>1</v>
      </c>
      <c r="N79" s="5" t="n"/>
      <c r="O79" s="5" t="n">
        <v>7168</v>
      </c>
      <c r="P79" s="5" t="n">
        <v>1</v>
      </c>
      <c r="Q79">
        <f>L79+IF(M79&gt;1,N(N79)*(M79-1),0)</f>
        <v/>
      </c>
      <c r="R79">
        <f>IFERROR(K79*MAX(M79,1)/Q79*P79,0)</f>
        <v/>
      </c>
      <c r="AA79" s="6" t="inlineStr">
        <is>
          <t>^MissileWeapon</t>
        </is>
      </c>
    </row>
    <row r="80">
      <c r="B80" s="6" t="inlineStr">
        <is>
          <t xml:space="preserve">  ↳ SWGBigRedLaserG</t>
        </is>
      </c>
      <c r="C80" s="6" t="inlineStr">
        <is>
          <t>Armament@misslaser</t>
        </is>
      </c>
      <c r="K80" s="5" t="n">
        <v>4000</v>
      </c>
      <c r="L80" s="5" t="n">
        <v>75</v>
      </c>
      <c r="M80" s="5" t="n">
        <v>1</v>
      </c>
      <c r="N80" s="5" t="n"/>
      <c r="O80" s="5" t="n">
        <v>8192</v>
      </c>
      <c r="P80" s="5" t="n">
        <v>1</v>
      </c>
      <c r="Q80">
        <f>L80+IF(M80&gt;1,N(N80)*(M80-1),0)</f>
        <v/>
      </c>
      <c r="R80">
        <f>IFERROR(K80*MAX(M80,1)/Q80*P80,0)</f>
        <v/>
      </c>
      <c r="AA80" s="6" t="inlineStr">
        <is>
          <t>^MissileWeapon</t>
        </is>
      </c>
    </row>
    <row r="81">
      <c r="B81" s="6" t="inlineStr">
        <is>
          <t xml:space="preserve">  ↳ BigFlamer</t>
        </is>
      </c>
      <c r="C81" s="6" t="inlineStr">
        <is>
          <t>Armament@fire</t>
        </is>
      </c>
      <c r="K81" s="5" t="n">
        <v>14000</v>
      </c>
      <c r="L81" s="5" t="n">
        <v>50</v>
      </c>
      <c r="M81" s="5" t="n">
        <v>2</v>
      </c>
      <c r="N81" s="5" t="n">
        <v>10</v>
      </c>
      <c r="O81" s="5" t="n">
        <v>2390</v>
      </c>
      <c r="P81" s="5" t="n">
        <v>1</v>
      </c>
      <c r="Q81">
        <f>L81+IF(M81&gt;1,N(N81)*(M81-1),0)</f>
        <v/>
      </c>
      <c r="R81">
        <f>IFERROR(K81*MAX(M81,1)/Q81*P81,0)</f>
        <v/>
      </c>
      <c r="AA81" s="6" t="inlineStr">
        <is>
          <t>^MediumFlameWeapon</t>
        </is>
      </c>
    </row>
    <row r="82">
      <c r="B82" s="6" t="inlineStr">
        <is>
          <t xml:space="preserve">  ↳ RA2RadBeamWeapon</t>
        </is>
      </c>
      <c r="C82" s="6" t="inlineStr">
        <is>
          <t>Armament@chem</t>
        </is>
      </c>
      <c r="K82" s="5" t="n">
        <v>30000</v>
      </c>
      <c r="L82" s="5" t="n">
        <v>45</v>
      </c>
      <c r="M82" s="5" t="n">
        <v>1</v>
      </c>
      <c r="N82" s="5" t="n"/>
      <c r="O82" s="5" t="n">
        <v>6444</v>
      </c>
      <c r="P82" s="5" t="n">
        <v>1</v>
      </c>
      <c r="Q82">
        <f>L82+IF(M82&gt;1,N(N82)*(M82-1),0)</f>
        <v/>
      </c>
      <c r="R82">
        <f>IFERROR(K82*MAX(M82,1)/Q82*P82,0)</f>
        <v/>
      </c>
      <c r="AA82" s="6" t="inlineStr">
        <is>
          <t>^MediumChemicalWeapon</t>
        </is>
      </c>
    </row>
    <row r="83">
      <c r="B83" s="6" t="inlineStr">
        <is>
          <t xml:space="preserve">  ↳ RA2RadBeamWeapon</t>
        </is>
      </c>
      <c r="C83" s="6" t="inlineStr">
        <is>
          <t>Armament@thrax</t>
        </is>
      </c>
      <c r="K83" s="5" t="n">
        <v>30000</v>
      </c>
      <c r="L83" s="5" t="n">
        <v>45</v>
      </c>
      <c r="M83" s="5" t="n">
        <v>1</v>
      </c>
      <c r="N83" s="5" t="n"/>
      <c r="O83" s="5" t="n">
        <v>6444</v>
      </c>
      <c r="P83" s="5" t="n">
        <v>1</v>
      </c>
      <c r="Q83">
        <f>L83+IF(M83&gt;1,N(N83)*(M83-1),0)</f>
        <v/>
      </c>
      <c r="R83">
        <f>IFERROR(K83*MAX(M83,1)/Q83*P83,0)</f>
        <v/>
      </c>
      <c r="AA83" s="6" t="inlineStr">
        <is>
          <t>^MediumChemicalWeapon</t>
        </is>
      </c>
    </row>
    <row r="84">
      <c r="B84" s="6" t="inlineStr">
        <is>
          <t xml:space="preserve">  ↳ RA2MultiHoverMissile</t>
        </is>
      </c>
      <c r="C84" s="6" t="inlineStr">
        <is>
          <t>Armament@missile</t>
        </is>
      </c>
      <c r="K84" s="5" t="n">
        <v>2000</v>
      </c>
      <c r="L84" s="5" t="n">
        <v>20</v>
      </c>
      <c r="M84" s="5" t="n">
        <v>4</v>
      </c>
      <c r="N84" s="5" t="n">
        <v>4</v>
      </c>
      <c r="O84" s="5" t="n">
        <v>6170</v>
      </c>
      <c r="P84" s="5" t="n">
        <v>1</v>
      </c>
      <c r="Q84">
        <f>L84+IF(M84&gt;1,N(N84)*(M84-1),0)</f>
        <v/>
      </c>
      <c r="R84">
        <f>IFERROR(K84*MAX(M84,1)/Q84*P84,0)</f>
        <v/>
      </c>
      <c r="AA84" s="6" t="inlineStr">
        <is>
          <t>^MediumCannon, ^MediumChemicalWeapon, ^ArrowWeapon, ^RA2LightMissile</t>
        </is>
      </c>
    </row>
    <row r="85">
      <c r="B85" s="6" t="inlineStr">
        <is>
          <t xml:space="preserve">  ↳ IFVChronoBeam</t>
        </is>
      </c>
      <c r="C85" s="6" t="inlineStr">
        <is>
          <t>Armament@chrono</t>
        </is>
      </c>
      <c r="K85" s="5" t="n"/>
      <c r="L85" s="5" t="n">
        <v>1</v>
      </c>
      <c r="M85" s="5" t="n">
        <v>1</v>
      </c>
      <c r="N85" s="5" t="n"/>
      <c r="O85" s="5" t="n">
        <v>7500</v>
      </c>
      <c r="P85" s="5" t="n">
        <v>1</v>
      </c>
      <c r="Q85">
        <f>L85+IF(M85&gt;1,N(N85)*(M85-1),0)</f>
        <v/>
      </c>
      <c r="R85">
        <f>IFERROR(K85*MAX(M85,1)/Q85*P85,0)</f>
        <v/>
      </c>
      <c r="AA85" s="6" t="inlineStr">
        <is>
          <t>ChronoBeam</t>
        </is>
      </c>
    </row>
    <row r="86">
      <c r="B86" s="6" t="inlineStr">
        <is>
          <t xml:space="preserve">  ↳ IFVChronoSound</t>
        </is>
      </c>
      <c r="C86" s="6" t="inlineStr">
        <is>
          <t>Armament@chronosound</t>
        </is>
      </c>
      <c r="K86" s="5" t="n"/>
      <c r="L86" s="5" t="n">
        <v>180</v>
      </c>
      <c r="M86" s="5" t="n">
        <v>1</v>
      </c>
      <c r="N86" s="5" t="n"/>
      <c r="O86" s="5" t="n">
        <v>8000</v>
      </c>
      <c r="P86" s="5" t="n">
        <v>1</v>
      </c>
      <c r="Q86">
        <f>L86+IF(M86&gt;1,N(N86)*(M86-1),0)</f>
        <v/>
      </c>
      <c r="R86">
        <f>IFERROR(K86*MAX(M86,1)/Q86*P86,0)</f>
        <v/>
      </c>
      <c r="AA86" s="6" t="inlineStr">
        <is>
          <t>RA2ChronoTele</t>
        </is>
      </c>
    </row>
    <row r="87">
      <c r="B87" s="6" t="inlineStr">
        <is>
          <t xml:space="preserve">  ↳ DemoTruckTargeting</t>
        </is>
      </c>
      <c r="C87" s="6" t="inlineStr">
        <is>
          <t>Armament@ivan</t>
        </is>
      </c>
      <c r="K87" s="5" t="n"/>
      <c r="L87" s="5" t="n"/>
      <c r="M87" s="5" t="n">
        <v>1</v>
      </c>
      <c r="N87" s="5" t="n"/>
      <c r="O87" s="5" t="n">
        <v>2000</v>
      </c>
      <c r="P87" s="5" t="n">
        <v>1</v>
      </c>
      <c r="Q87">
        <f>L87+IF(M87&gt;1,N(N87)*(M87-1),0)</f>
        <v/>
      </c>
      <c r="R87">
        <f>IFERROR(K87*MAX(M87,1)/Q87*P87,0)</f>
        <v/>
      </c>
      <c r="AA87" s="6" t="inlineStr"/>
    </row>
    <row r="88">
      <c r="B88" s="6" t="inlineStr">
        <is>
          <t xml:space="preserve">  ↳ Fremen_L</t>
        </is>
      </c>
      <c r="C88" s="6" t="inlineStr">
        <is>
          <t>Armament@fremen</t>
        </is>
      </c>
      <c r="K88" s="5" t="n">
        <v>3000</v>
      </c>
      <c r="L88" s="5" t="n">
        <v>25</v>
      </c>
      <c r="M88" s="5" t="n">
        <v>1</v>
      </c>
      <c r="N88" s="5" t="n"/>
      <c r="O88" s="5" t="n">
        <v>2560</v>
      </c>
      <c r="P88" s="5" t="n">
        <v>1</v>
      </c>
      <c r="Q88">
        <f>L88+IF(M88&gt;1,N(N88)*(M88-1),0)</f>
        <v/>
      </c>
      <c r="R88">
        <f>IFERROR(K88*MAX(M88,1)/Q88*P88,0)</f>
        <v/>
      </c>
      <c r="AA88" s="6" t="inlineStr">
        <is>
          <t>^MG</t>
        </is>
      </c>
    </row>
    <row r="89">
      <c r="B89" s="6" t="inlineStr">
        <is>
          <t xml:space="preserve">  ↳ TSSonicZap</t>
        </is>
      </c>
      <c r="C89" s="6" t="inlineStr">
        <is>
          <t>Armament@sonic</t>
        </is>
      </c>
      <c r="K89" s="5" t="n">
        <v>4000</v>
      </c>
      <c r="L89" s="5" t="n">
        <v>60</v>
      </c>
      <c r="M89" s="5" t="n">
        <v>1</v>
      </c>
      <c r="N89" s="5" t="n"/>
      <c r="O89" s="5" t="n">
        <v>6144</v>
      </c>
      <c r="P89" s="5" t="n">
        <v>1</v>
      </c>
      <c r="Q89">
        <f>L89+IF(M89&gt;1,N(N89)*(M89-1),0)</f>
        <v/>
      </c>
      <c r="R89">
        <f>IFERROR(K89*MAX(M89,1)/Q89*P89,0)</f>
        <v/>
      </c>
      <c r="AA89" s="6" t="inlineStr"/>
    </row>
    <row r="90">
      <c r="B90" s="6" t="inlineStr">
        <is>
          <t xml:space="preserve">  ↳ MedicHeal</t>
        </is>
      </c>
      <c r="C90" s="6" t="inlineStr">
        <is>
          <t>Armament@heal</t>
        </is>
      </c>
      <c r="K90" s="5" t="n">
        <v>-1</v>
      </c>
      <c r="L90" s="5" t="n">
        <v>10</v>
      </c>
      <c r="M90" s="5" t="n">
        <v>1</v>
      </c>
      <c r="N90" s="5" t="n"/>
      <c r="O90" s="5" t="n">
        <v>6000</v>
      </c>
      <c r="P90" s="5" t="n">
        <v>1</v>
      </c>
      <c r="Q90">
        <f>L90+IF(M90&gt;1,N(N90)*(M90-1),0)</f>
        <v/>
      </c>
      <c r="R90">
        <f>IFERROR(K90*MAX(M90,1)/Q90*P90,0)</f>
        <v/>
      </c>
      <c r="AA90" s="6" t="inlineStr">
        <is>
          <t>^HealingWeapon</t>
        </is>
      </c>
    </row>
    <row r="91">
      <c r="B91" s="6" t="inlineStr">
        <is>
          <t xml:space="preserve">  ↳ RA2HoverMissile</t>
        </is>
      </c>
      <c r="C91" s="6" t="inlineStr">
        <is>
          <t>Armament@primary</t>
        </is>
      </c>
      <c r="K91" s="5" t="n">
        <v>6000</v>
      </c>
      <c r="L91" s="5" t="n">
        <v>28</v>
      </c>
      <c r="M91" s="5" t="n">
        <v>2</v>
      </c>
      <c r="N91" s="5" t="n">
        <v>4</v>
      </c>
      <c r="O91" s="5" t="n">
        <v>5760</v>
      </c>
      <c r="P91" s="5" t="n">
        <v>1</v>
      </c>
      <c r="Q91">
        <f>L91+IF(M91&gt;1,N(N91)*(M91-1),0)</f>
        <v/>
      </c>
      <c r="R91">
        <f>IFERROR(K91*MAX(M91,1)/Q91*P91,0)</f>
        <v/>
      </c>
      <c r="AA91" s="6" t="inlineStr">
        <is>
          <t>^ArrowWeapon, ^RA2LightMissile</t>
        </is>
      </c>
    </row>
    <row r="92">
      <c r="B92" s="6" t="inlineStr">
        <is>
          <t xml:space="preserve">  ↳ RA2HoverMissile_elite</t>
        </is>
      </c>
      <c r="C92" s="6" t="inlineStr">
        <is>
          <t>Armament@primaryelite</t>
        </is>
      </c>
      <c r="K92" s="5" t="n">
        <v>6000</v>
      </c>
      <c r="L92" s="5" t="n">
        <v>28</v>
      </c>
      <c r="M92" s="5" t="n">
        <v>4</v>
      </c>
      <c r="N92" s="5" t="n">
        <v>4</v>
      </c>
      <c r="O92" s="5" t="n">
        <v>6760</v>
      </c>
      <c r="P92" s="5" t="n">
        <v>1</v>
      </c>
      <c r="Q92">
        <f>L92+IF(M92&gt;1,N(N92)*(M92-1),0)</f>
        <v/>
      </c>
      <c r="R92">
        <f>IFERROR(K92*MAX(M92,1)/Q92*P92,0)</f>
        <v/>
      </c>
      <c r="AA92" s="6" t="inlineStr">
        <is>
          <t>^ArrowWeapon, ^RA2LightMissile</t>
        </is>
      </c>
    </row>
    <row r="93">
      <c r="B93" s="6" t="inlineStr">
        <is>
          <t xml:space="preserve">  ↳ RA2HoverMissileAA</t>
        </is>
      </c>
      <c r="C93" s="6" t="inlineStr">
        <is>
          <t>Armament@primaryAA</t>
        </is>
      </c>
      <c r="K93" s="5" t="n">
        <v>6000</v>
      </c>
      <c r="L93" s="5" t="n">
        <v>28</v>
      </c>
      <c r="M93" s="5" t="n">
        <v>2</v>
      </c>
      <c r="N93" s="5" t="n">
        <v>4</v>
      </c>
      <c r="O93" s="5" t="n">
        <v>8640</v>
      </c>
      <c r="P93" s="5" t="n">
        <v>1</v>
      </c>
      <c r="Q93">
        <f>L93+IF(M93&gt;1,N(N93)*(M93-1),0)</f>
        <v/>
      </c>
      <c r="R93">
        <f>IFERROR(K93*MAX(M93,1)/Q93*P93,0)</f>
        <v/>
      </c>
      <c r="AA93" s="6" t="inlineStr">
        <is>
          <t>^ArrowWeapon, ^RA2LightMissile</t>
        </is>
      </c>
    </row>
    <row r="94">
      <c r="B94" s="6" t="inlineStr">
        <is>
          <t xml:space="preserve">  ↳ RA2HoverMissileAA_elite</t>
        </is>
      </c>
      <c r="C94" s="6" t="inlineStr">
        <is>
          <t>Armament@primaryeliteAA</t>
        </is>
      </c>
      <c r="K94" s="5" t="n">
        <v>6000</v>
      </c>
      <c r="L94" s="5" t="n">
        <v>28</v>
      </c>
      <c r="M94" s="5" t="n">
        <v>4</v>
      </c>
      <c r="N94" s="5" t="n">
        <v>4</v>
      </c>
      <c r="O94" s="5" t="n">
        <v>9640</v>
      </c>
      <c r="P94" s="5" t="n">
        <v>1</v>
      </c>
      <c r="Q94">
        <f>L94+IF(M94&gt;1,N(N94)*(M94-1),0)</f>
        <v/>
      </c>
      <c r="R94">
        <f>IFERROR(K94*MAX(M94,1)/Q94*P94,0)</f>
        <v/>
      </c>
      <c r="AA94" s="6" t="inlineStr">
        <is>
          <t>^ArrowWeapon, ^RA2LightMissile</t>
        </is>
      </c>
    </row>
    <row r="95">
      <c r="B95" s="6" t="inlineStr">
        <is>
          <t xml:space="preserve">  ↳ RA2ThunderboltMissile</t>
        </is>
      </c>
      <c r="C95" s="6" t="inlineStr">
        <is>
          <t>Armament@primaryThunderbolt</t>
        </is>
      </c>
      <c r="K95" s="5" t="n">
        <v>2000</v>
      </c>
      <c r="L95" s="5" t="n">
        <v>28</v>
      </c>
      <c r="M95" s="5" t="n">
        <v>2</v>
      </c>
      <c r="N95" s="5" t="n">
        <v>4</v>
      </c>
      <c r="O95" s="5" t="n">
        <v>5760</v>
      </c>
      <c r="P95" s="5" t="n">
        <v>1</v>
      </c>
      <c r="Q95">
        <f>L95+IF(M95&gt;1,N(N95)*(M95-1),0)</f>
        <v/>
      </c>
      <c r="R95">
        <f>IFERROR(K95*MAX(M95,1)/Q95*P95,0)</f>
        <v/>
      </c>
      <c r="AA95" s="6" t="inlineStr">
        <is>
          <t>^HeavyMissile, ^HeavyAAWeapon, ^MediumMissile, ^FlakWeapon, ^ArrowWeapon, ^RA2LightMissile</t>
        </is>
      </c>
    </row>
    <row r="96">
      <c r="B96" s="6" t="inlineStr">
        <is>
          <t xml:space="preserve">  ↳ RA2ThunderboltMissile_elite</t>
        </is>
      </c>
      <c r="C96" s="6" t="inlineStr">
        <is>
          <t>Armament@primaryeliteThunderbolt</t>
        </is>
      </c>
      <c r="K96" s="5" t="n">
        <v>2000</v>
      </c>
      <c r="L96" s="5" t="n">
        <v>28</v>
      </c>
      <c r="M96" s="5" t="n">
        <v>4</v>
      </c>
      <c r="N96" s="5" t="n">
        <v>4</v>
      </c>
      <c r="O96" s="5" t="n">
        <v>6760</v>
      </c>
      <c r="P96" s="5" t="n">
        <v>1</v>
      </c>
      <c r="Q96">
        <f>L96+IF(M96&gt;1,N(N96)*(M96-1),0)</f>
        <v/>
      </c>
      <c r="R96">
        <f>IFERROR(K96*MAX(M96,1)/Q96*P96,0)</f>
        <v/>
      </c>
      <c r="AA96" s="6" t="inlineStr">
        <is>
          <t>^HeavyMissile, ^HeavyAAWeapon, ^MediumMissile, ^FlakWeapon, ^ArrowWeapon, ^RA2LightMissile</t>
        </is>
      </c>
    </row>
    <row r="97">
      <c r="B97" s="6" t="inlineStr">
        <is>
          <t xml:space="preserve">  ↳ RA2ThunderboltMissileAA</t>
        </is>
      </c>
      <c r="C97" s="6" t="inlineStr">
        <is>
          <t>Armament@primaryAAThunderbolt</t>
        </is>
      </c>
      <c r="K97" s="5" t="n">
        <v>2000</v>
      </c>
      <c r="L97" s="5" t="n">
        <v>28</v>
      </c>
      <c r="M97" s="5" t="n">
        <v>2</v>
      </c>
      <c r="N97" s="5" t="n">
        <v>4</v>
      </c>
      <c r="O97" s="5" t="n">
        <v>8640</v>
      </c>
      <c r="P97" s="5" t="n">
        <v>1</v>
      </c>
      <c r="Q97">
        <f>L97+IF(M97&gt;1,N(N97)*(M97-1),0)</f>
        <v/>
      </c>
      <c r="R97">
        <f>IFERROR(K97*MAX(M97,1)/Q97*P97,0)</f>
        <v/>
      </c>
      <c r="AA97" s="6" t="inlineStr">
        <is>
          <t>^HeavyMissile, ^HeavyAAWeapon, ^MediumMissile, ^FlakWeapon, ^ArrowWeapon, ^RA2LightMissile</t>
        </is>
      </c>
    </row>
    <row r="98">
      <c r="B98" s="6" t="inlineStr">
        <is>
          <t xml:space="preserve">  ↳ RA2ThunderboltMissileAA_elite</t>
        </is>
      </c>
      <c r="C98" s="6" t="inlineStr">
        <is>
          <t>Armament@primaryeliteAAThunderbolt</t>
        </is>
      </c>
      <c r="K98" s="5" t="n">
        <v>2000</v>
      </c>
      <c r="L98" s="5" t="n">
        <v>28</v>
      </c>
      <c r="M98" s="5" t="n">
        <v>4</v>
      </c>
      <c r="N98" s="5" t="n">
        <v>4</v>
      </c>
      <c r="O98" s="5" t="n">
        <v>9640</v>
      </c>
      <c r="P98" s="5" t="n">
        <v>1</v>
      </c>
      <c r="Q98">
        <f>L98+IF(M98&gt;1,N(N98)*(M98-1),0)</f>
        <v/>
      </c>
      <c r="R98">
        <f>IFERROR(K98*MAX(M98,1)/Q98*P98,0)</f>
        <v/>
      </c>
      <c r="AA98" s="6" t="inlineStr">
        <is>
          <t>^HeavyMissile, ^HeavyAAWeapon, ^MediumMissile, ^FlakWeapon, ^ArrowWeapon, ^RA2LightMissile</t>
        </is>
      </c>
    </row>
    <row r="99">
      <c r="B99" s="6" t="inlineStr">
        <is>
          <t xml:space="preserve">  ↳ RA2MultiHoverMissile_elite</t>
        </is>
      </c>
      <c r="C99" s="6" t="inlineStr">
        <is>
          <t>Armament@missileelite</t>
        </is>
      </c>
      <c r="K99" s="5" t="n">
        <v>2000</v>
      </c>
      <c r="L99" s="5" t="n">
        <v>20</v>
      </c>
      <c r="M99" s="5" t="n">
        <v>4</v>
      </c>
      <c r="N99" s="5" t="n">
        <v>4</v>
      </c>
      <c r="O99" s="5" t="n">
        <v>7170</v>
      </c>
      <c r="P99" s="5" t="n">
        <v>1</v>
      </c>
      <c r="Q99">
        <f>L99+IF(M99&gt;1,N(N99)*(M99-1),0)</f>
        <v/>
      </c>
      <c r="R99">
        <f>IFERROR(K99*MAX(M99,1)/Q99*P99,0)</f>
        <v/>
      </c>
      <c r="AA99" s="6" t="inlineStr">
        <is>
          <t>^MediumCannon, ^MediumChemicalWeapon, ^ArrowWeapon, ^RA2LightMissile</t>
        </is>
      </c>
    </row>
    <row r="100">
      <c r="B100" s="6" t="inlineStr">
        <is>
          <t xml:space="preserve">  ↳ RA2MultiHoverMissileAA</t>
        </is>
      </c>
      <c r="C100" s="6" t="inlineStr">
        <is>
          <t>Armament@missileAA</t>
        </is>
      </c>
      <c r="K100" s="5" t="n">
        <v>2000</v>
      </c>
      <c r="L100" s="5" t="n">
        <v>20</v>
      </c>
      <c r="M100" s="5" t="n">
        <v>4</v>
      </c>
      <c r="N100" s="5" t="n">
        <v>4</v>
      </c>
      <c r="O100" s="5" t="n">
        <v>9255</v>
      </c>
      <c r="P100" s="5" t="n">
        <v>1</v>
      </c>
      <c r="Q100">
        <f>L100+IF(M100&gt;1,N(N100)*(M100-1),0)</f>
        <v/>
      </c>
      <c r="R100">
        <f>IFERROR(K100*MAX(M100,1)/Q100*P100,0)</f>
        <v/>
      </c>
      <c r="AA100" s="6" t="inlineStr">
        <is>
          <t>^MediumCannon, ^MediumChemicalWeapon, ^ArrowWeapon, ^RA2LightMissile</t>
        </is>
      </c>
    </row>
    <row r="101">
      <c r="B101" s="6" t="inlineStr">
        <is>
          <t xml:space="preserve">  ↳ RA2MultiHoverMissileAA_elite</t>
        </is>
      </c>
      <c r="C101" s="6" t="inlineStr">
        <is>
          <t>Armament@missileeliteAA</t>
        </is>
      </c>
      <c r="K101" s="5" t="n">
        <v>2000</v>
      </c>
      <c r="L101" s="5" t="n">
        <v>20</v>
      </c>
      <c r="M101" s="5" t="n">
        <v>4</v>
      </c>
      <c r="N101" s="5" t="n">
        <v>4</v>
      </c>
      <c r="O101" s="5" t="n">
        <v>10255</v>
      </c>
      <c r="P101" s="5" t="n">
        <v>1</v>
      </c>
      <c r="Q101">
        <f>L101+IF(M101&gt;1,N(N101)*(M101-1),0)</f>
        <v/>
      </c>
      <c r="R101">
        <f>IFERROR(K101*MAX(M101,1)/Q101*P101,0)</f>
        <v/>
      </c>
      <c r="AA101" s="6" t="inlineStr">
        <is>
          <t>^MediumCannon, ^MediumChemicalWeapon, ^ArrowWeapon, ^RA2LightMissile</t>
        </is>
      </c>
    </row>
    <row r="102">
      <c r="B102" s="6" t="inlineStr">
        <is>
          <t xml:space="preserve">  ↳ RA2MultiThunderboltMissile</t>
        </is>
      </c>
      <c r="C102" s="6" t="inlineStr">
        <is>
          <t>Armament@missileThunderbolt</t>
        </is>
      </c>
      <c r="K102" s="5" t="n">
        <v>2000</v>
      </c>
      <c r="L102" s="5" t="n">
        <v>20</v>
      </c>
      <c r="M102" s="5" t="n">
        <v>4</v>
      </c>
      <c r="N102" s="5" t="n">
        <v>4</v>
      </c>
      <c r="O102" s="5" t="n">
        <v>6170</v>
      </c>
      <c r="P102" s="5" t="n">
        <v>1</v>
      </c>
      <c r="Q102">
        <f>L102+IF(M102&gt;1,N(N102)*(M102-1),0)</f>
        <v/>
      </c>
      <c r="R102">
        <f>IFERROR(K102*MAX(M102,1)/Q102*P102,0)</f>
        <v/>
      </c>
      <c r="AA102" s="6" t="inlineStr">
        <is>
          <t>^HeavyMissile, ^HeavyAAWeapon, ^MediumMissile, ^FlakWeapon, ^MediumCannon, ^MediumChemicalWeapon, ^ArrowWeapon, ^RA2LightMissile</t>
        </is>
      </c>
    </row>
    <row r="103">
      <c r="B103" s="6" t="inlineStr">
        <is>
          <t xml:space="preserve">  ↳ RA2MultiThunderboltMissile_elite</t>
        </is>
      </c>
      <c r="C103" s="6" t="inlineStr">
        <is>
          <t>Armament@missileeliteThunderbolt</t>
        </is>
      </c>
      <c r="K103" s="5" t="n">
        <v>2000</v>
      </c>
      <c r="L103" s="5" t="n">
        <v>20</v>
      </c>
      <c r="M103" s="5" t="n">
        <v>4</v>
      </c>
      <c r="N103" s="5" t="n">
        <v>4</v>
      </c>
      <c r="O103" s="5" t="n">
        <v>7170</v>
      </c>
      <c r="P103" s="5" t="n">
        <v>1</v>
      </c>
      <c r="Q103">
        <f>L103+IF(M103&gt;1,N(N103)*(M103-1),0)</f>
        <v/>
      </c>
      <c r="R103">
        <f>IFERROR(K103*MAX(M103,1)/Q103*P103,0)</f>
        <v/>
      </c>
      <c r="AA103" s="6" t="inlineStr">
        <is>
          <t>^HeavyMissile, ^HeavyAAWeapon, ^MediumMissile, ^FlakWeapon, ^MediumCannon, ^MediumChemicalWeapon, ^ArrowWeapon, ^RA2LightMissile</t>
        </is>
      </c>
    </row>
    <row r="104">
      <c r="B104" s="6" t="inlineStr">
        <is>
          <t xml:space="preserve">  ↳ RA2MultiThunderboltMissileAA</t>
        </is>
      </c>
      <c r="C104" s="6" t="inlineStr">
        <is>
          <t>Armament@missileAAThunderbolt</t>
        </is>
      </c>
      <c r="K104" s="5" t="n">
        <v>2000</v>
      </c>
      <c r="L104" s="5" t="n">
        <v>20</v>
      </c>
      <c r="M104" s="5" t="n">
        <v>4</v>
      </c>
      <c r="N104" s="5" t="n">
        <v>4</v>
      </c>
      <c r="O104" s="5" t="n">
        <v>9255</v>
      </c>
      <c r="P104" s="5" t="n">
        <v>1</v>
      </c>
      <c r="Q104">
        <f>L104+IF(M104&gt;1,N(N104)*(M104-1),0)</f>
        <v/>
      </c>
      <c r="R104">
        <f>IFERROR(K104*MAX(M104,1)/Q104*P104,0)</f>
        <v/>
      </c>
      <c r="AA104" s="6" t="inlineStr">
        <is>
          <t>^HeavyMissile, ^HeavyAAWeapon, ^MediumMissile, ^FlakWeapon, ^MediumCannon, ^MediumChemicalWeapon, ^ArrowWeapon, ^RA2LightMissile</t>
        </is>
      </c>
    </row>
    <row r="105">
      <c r="B105" s="6" t="inlineStr">
        <is>
          <t xml:space="preserve">  ↳ RA2MultiThunderboltMissileAA_elite</t>
        </is>
      </c>
      <c r="C105" s="6" t="inlineStr">
        <is>
          <t>Armament@missileeliteAAThunderbolt</t>
        </is>
      </c>
      <c r="K105" s="5" t="n">
        <v>2000</v>
      </c>
      <c r="L105" s="5" t="n">
        <v>20</v>
      </c>
      <c r="M105" s="5" t="n">
        <v>4</v>
      </c>
      <c r="N105" s="5" t="n">
        <v>4</v>
      </c>
      <c r="O105" s="5" t="n">
        <v>10255</v>
      </c>
      <c r="P105" s="5" t="n">
        <v>1</v>
      </c>
      <c r="Q105">
        <f>L105+IF(M105&gt;1,N(N105)*(M105-1),0)</f>
        <v/>
      </c>
      <c r="R105">
        <f>IFERROR(K105*MAX(M105,1)/Q105*P105,0)</f>
        <v/>
      </c>
      <c r="AA105" s="6" t="inlineStr">
        <is>
          <t>^HeavyMissile, ^HeavyAAWeapon, ^MediumMissile, ^FlakWeapon, ^MediumCannon, ^MediumChemicalWeapon, ^ArrowWeapon, ^RA2LightMissile</t>
        </is>
      </c>
    </row>
    <row r="106">
      <c r="B106" s="6" t="inlineStr">
        <is>
          <t xml:space="preserve">  ↳ MedicHeal</t>
        </is>
      </c>
      <c r="C106" s="6" t="inlineStr">
        <is>
          <t>Armament@healer</t>
        </is>
      </c>
      <c r="K106" s="5" t="n">
        <v>-1</v>
      </c>
      <c r="L106" s="5" t="n">
        <v>10</v>
      </c>
      <c r="M106" s="5" t="n">
        <v>1</v>
      </c>
      <c r="N106" s="5" t="n"/>
      <c r="O106" s="5" t="n">
        <v>6000</v>
      </c>
      <c r="P106" s="5" t="n">
        <v>1</v>
      </c>
      <c r="Q106">
        <f>L106+IF(M106&gt;1,N(N106)*(M106-1),0)</f>
        <v/>
      </c>
      <c r="R106">
        <f>IFERROR(K106*MAX(M106,1)/Q106*P106,0)</f>
        <v/>
      </c>
      <c r="AA106" s="6" t="inlineStr">
        <is>
          <t>^HealingWeapon</t>
        </is>
      </c>
    </row>
    <row r="107">
      <c r="B107" s="6" t="inlineStr">
        <is>
          <t xml:space="preserve">  ↳ RA2AWP</t>
        </is>
      </c>
      <c r="C107" s="6" t="inlineStr">
        <is>
          <t>Armament@ra1_allies_alliedsniper</t>
        </is>
      </c>
      <c r="K107" s="5" t="n">
        <v>44000</v>
      </c>
      <c r="L107" s="5" t="n">
        <v>54</v>
      </c>
      <c r="M107" s="5" t="n">
        <v>1</v>
      </c>
      <c r="N107" s="5" t="n"/>
      <c r="O107" s="5" t="n">
        <v>10000</v>
      </c>
      <c r="P107" s="5" t="n">
        <v>1</v>
      </c>
      <c r="Q107">
        <f>L107+IF(M107&gt;1,N(N107)*(M107-1),0)</f>
        <v/>
      </c>
      <c r="R107">
        <f>IFERROR(K107*MAX(M107,1)/Q107*P107,0)</f>
        <v/>
      </c>
      <c r="AA107" s="6" t="inlineStr">
        <is>
          <t>^SniperWeapon</t>
        </is>
      </c>
    </row>
    <row r="108">
      <c r="A108" t="inlineStr">
        <is>
          <t>redalert2</t>
        </is>
      </c>
      <c r="B108" t="inlineStr">
        <is>
          <t>ra2_allies_ifv_chrono</t>
        </is>
      </c>
      <c r="C108" t="inlineStr">
        <is>
          <t>actor_fv.name</t>
        </is>
      </c>
      <c r="D108" t="inlineStr"/>
      <c r="E108" s="5" t="n">
        <v>25000</v>
      </c>
      <c r="F108" s="5" t="n">
        <v>150</v>
      </c>
      <c r="G108" t="inlineStr">
        <is>
          <t>Scout</t>
        </is>
      </c>
      <c r="H108" s="5" t="n">
        <v>1</v>
      </c>
      <c r="I108" s="5" t="n">
        <v>1</v>
      </c>
      <c r="J108" s="5" t="n">
        <v>1</v>
      </c>
      <c r="O108">
        <f>MAX(O109,O110,O111,O112,O113,O114,O115,O116,O117,O118,O119,O120,O121,O122,O123,O124,O125,O126,O127,O128,O129,O130,O131,O132,O133,O134,O135,O136,O137,O138,O139,O140,O141,O142,O143,O144,O145,O146,O147,O148,O149,O150)</f>
        <v/>
      </c>
      <c r="R108">
        <f>R109+R110+R111+R112+R113+R114+R115+R116+R117+R118+R119+R120+R121+R122+R123+R124+R125+R126+R127+R128+R129+R130+R131+R132+R133+R134+R135+R136+R137+R138+R139+R140+R141+R142+R143+R144+R145+R146+R147+R148+R149+R150</f>
        <v/>
      </c>
      <c r="S108">
        <f>(E108/100000+F108/100+(O108/1000)*J108/5+R108/200)*200*I108*H108</f>
        <v/>
      </c>
      <c r="T108">
        <f>((E108*F108/25000)+((O108/1000)*J108*R108/2.5))*I108*H108</f>
        <v/>
      </c>
      <c r="U108">
        <f>(E108*F108*(O108/1000)*J108*R108*I108*H108)/12500000</f>
        <v/>
      </c>
      <c r="V108">
        <f>(S108+T108+U108)/3</f>
        <v/>
      </c>
      <c r="W108" s="5" t="n">
        <v>500</v>
      </c>
      <c r="X108">
        <f>IFERROR(V108-W108,"")</f>
        <v/>
      </c>
      <c r="Y108">
        <f>IFERROR(ABS(X108)/MAX(W108,1),"")</f>
        <v/>
      </c>
      <c r="Z108">
        <f>IFERROR((W108-(((E108/100000+F108/100+R108/200)*200*I108*H108)+((E108*F108/25000)*I108*H108))/3)/(((J108/5)*200*I108*H108)+((J108*R108/2.5)*I108*H108)+((E108*F108*J108*R108*I108*H108)/12500000))/3*1000,"")</f>
        <v/>
      </c>
    </row>
    <row r="109">
      <c r="B109" s="6" t="inlineStr">
        <is>
          <t xml:space="preserve">  ↳ RA2CRM60</t>
        </is>
      </c>
      <c r="C109" s="6" t="inlineStr">
        <is>
          <t>Armament@mg</t>
        </is>
      </c>
      <c r="K109" s="5" t="n">
        <v>2000</v>
      </c>
      <c r="L109" s="5" t="n">
        <v>14</v>
      </c>
      <c r="M109" s="5" t="n">
        <v>4</v>
      </c>
      <c r="N109" s="5" t="n">
        <v>2</v>
      </c>
      <c r="O109" s="5" t="n">
        <v>5660</v>
      </c>
      <c r="P109" s="5" t="n">
        <v>1</v>
      </c>
      <c r="Q109">
        <f>L109+IF(M109&gt;1,N(N109)*(M109-1),0)</f>
        <v/>
      </c>
      <c r="R109">
        <f>IFERROR(K109*MAX(M109,1)/Q109*P109,0)</f>
        <v/>
      </c>
      <c r="AA109" s="6" t="inlineStr">
        <is>
          <t>^RA2SmallArms, ^RA2Chaingun</t>
        </is>
      </c>
    </row>
    <row r="110">
      <c r="B110" s="6" t="inlineStr">
        <is>
          <t xml:space="preserve">  ↳ RA2CRM60H</t>
        </is>
      </c>
      <c r="C110" s="6" t="inlineStr">
        <is>
          <t>Armament@hmg</t>
        </is>
      </c>
      <c r="K110" s="5" t="n">
        <v>2000</v>
      </c>
      <c r="L110" s="5" t="n">
        <v>10</v>
      </c>
      <c r="M110" s="5" t="n">
        <v>6</v>
      </c>
      <c r="N110" s="5" t="n">
        <v>2</v>
      </c>
      <c r="O110" s="5" t="n">
        <v>4692</v>
      </c>
      <c r="P110" s="5" t="n">
        <v>1</v>
      </c>
      <c r="Q110">
        <f>L110+IF(M110&gt;1,N(N110)*(M110-1),0)</f>
        <v/>
      </c>
      <c r="R110">
        <f>IFERROR(K110*MAX(M110,1)/Q110*P110,0)</f>
        <v/>
      </c>
      <c r="AA110" s="6" t="inlineStr">
        <is>
          <t>^HeavyCannon, ^RA2Chaingun, ^SniperWeapon</t>
        </is>
      </c>
    </row>
    <row r="111">
      <c r="B111" s="6" t="inlineStr">
        <is>
          <t xml:space="preserve">  ↳ wc_tower_fire</t>
        </is>
      </c>
      <c r="C111" s="6" t="inlineStr">
        <is>
          <t>Armament@archer</t>
        </is>
      </c>
      <c r="K111" s="5" t="n">
        <v>2500</v>
      </c>
      <c r="L111" s="5" t="n">
        <v>40</v>
      </c>
      <c r="M111" s="5" t="n">
        <v>1</v>
      </c>
      <c r="N111" s="5" t="n"/>
      <c r="O111" s="5" t="n">
        <v>8704</v>
      </c>
      <c r="P111" s="5" t="n">
        <v>1</v>
      </c>
      <c r="Q111">
        <f>L111+IF(M111&gt;1,N(N111)*(M111-1),0)</f>
        <v/>
      </c>
      <c r="R111">
        <f>IFERROR(K111*MAX(M111,1)/Q111*P111,0)</f>
        <v/>
      </c>
      <c r="AA111" s="6" t="inlineStr">
        <is>
          <t>bowFire</t>
        </is>
      </c>
    </row>
    <row r="112">
      <c r="B112" s="6" t="inlineStr">
        <is>
          <t xml:space="preserve">  ↳ RA2IFVRepair</t>
        </is>
      </c>
      <c r="C112" s="6" t="inlineStr">
        <is>
          <t>Armament@repair</t>
        </is>
      </c>
      <c r="K112" s="5" t="n">
        <v>-1</v>
      </c>
      <c r="L112" s="5" t="n">
        <v>50</v>
      </c>
      <c r="M112" s="5" t="n">
        <v>10</v>
      </c>
      <c r="N112" s="5" t="n">
        <v>1</v>
      </c>
      <c r="O112" s="5" t="n">
        <v>5000</v>
      </c>
      <c r="P112" s="5" t="n">
        <v>1</v>
      </c>
      <c r="Q112">
        <f>L112+IF(M112&gt;1,N(N112)*(M112-1),0)</f>
        <v/>
      </c>
      <c r="R112">
        <f>IFERROR(K112*MAX(M112,1)/Q112*P112,0)</f>
        <v/>
      </c>
      <c r="AA112" s="6" t="inlineStr">
        <is>
          <t>^RepairWeapon</t>
        </is>
      </c>
    </row>
    <row r="113">
      <c r="B113" s="6" t="inlineStr">
        <is>
          <t xml:space="preserve">  ↳ LightSniper</t>
        </is>
      </c>
      <c r="C113" s="6" t="inlineStr">
        <is>
          <t>Armament@lightsniper</t>
        </is>
      </c>
      <c r="K113" s="5" t="n">
        <v>30000</v>
      </c>
      <c r="L113" s="5" t="n">
        <v>100</v>
      </c>
      <c r="M113" s="5" t="n">
        <v>1</v>
      </c>
      <c r="N113" s="5" t="n"/>
      <c r="O113" s="5" t="n">
        <v>9153</v>
      </c>
      <c r="P113" s="5" t="n">
        <v>1</v>
      </c>
      <c r="Q113">
        <f>L113+IF(M113&gt;1,N(N113)*(M113-1),0)</f>
        <v/>
      </c>
      <c r="R113">
        <f>IFERROR(K113*MAX(M113,1)/Q113*P113,0)</f>
        <v/>
      </c>
      <c r="AA113" s="6" t="inlineStr">
        <is>
          <t>^SniperWeapon</t>
        </is>
      </c>
    </row>
    <row r="114">
      <c r="B114" s="6" t="inlineStr">
        <is>
          <t xml:space="preserve">  ↳ RA2DoublePistolsIFV</t>
        </is>
      </c>
      <c r="C114" s="6" t="inlineStr">
        <is>
          <t>Armament@hero</t>
        </is>
      </c>
      <c r="K114" s="5" t="n">
        <v>14000</v>
      </c>
      <c r="L114" s="5" t="n">
        <v>12</v>
      </c>
      <c r="M114" s="5" t="n">
        <v>2</v>
      </c>
      <c r="N114" s="5" t="n">
        <v>3</v>
      </c>
      <c r="O114" s="5" t="n">
        <v>8000</v>
      </c>
      <c r="P114" s="5" t="n">
        <v>1</v>
      </c>
      <c r="Q114">
        <f>L114+IF(M114&gt;1,N(N114)*(M114-1),0)</f>
        <v/>
      </c>
      <c r="R114">
        <f>IFERROR(K114*MAX(M114,1)/Q114*P114,0)</f>
        <v/>
      </c>
      <c r="AA114" s="6" t="inlineStr">
        <is>
          <t>^SniperWeapon</t>
        </is>
      </c>
    </row>
    <row r="115">
      <c r="B115" s="6" t="inlineStr">
        <is>
          <t xml:space="preserve">  ↳ TTankZap</t>
        </is>
      </c>
      <c r="C115" s="6" t="inlineStr">
        <is>
          <t>Armament@tesla</t>
        </is>
      </c>
      <c r="K115" s="5" t="n">
        <v>40000</v>
      </c>
      <c r="L115" s="5" t="n">
        <v>80</v>
      </c>
      <c r="M115" s="5" t="n">
        <v>1</v>
      </c>
      <c r="N115" s="5" t="n"/>
      <c r="O115" s="5" t="n">
        <v>7300</v>
      </c>
      <c r="P115" s="5" t="n">
        <v>1</v>
      </c>
      <c r="Q115">
        <f>L115+IF(M115&gt;1,N(N115)*(M115-1),0)</f>
        <v/>
      </c>
      <c r="R115">
        <f>IFERROR(K115*MAX(M115,1)/Q115*P115,0)</f>
        <v/>
      </c>
      <c r="AA115" s="6" t="inlineStr">
        <is>
          <t>^TeslaWeapon</t>
        </is>
      </c>
    </row>
    <row r="116">
      <c r="B116" s="6" t="inlineStr">
        <is>
          <t xml:space="preserve">  ↳ DragunovSniper</t>
        </is>
      </c>
      <c r="C116" s="6" t="inlineStr">
        <is>
          <t>Armament@flak</t>
        </is>
      </c>
      <c r="K116" s="5" t="n">
        <v>8000</v>
      </c>
      <c r="L116" s="5" t="n">
        <v>85</v>
      </c>
      <c r="M116" s="5" t="n">
        <v>1</v>
      </c>
      <c r="N116" s="5" t="n"/>
      <c r="O116" s="5" t="n">
        <v>6880</v>
      </c>
      <c r="P116" s="5" t="n">
        <v>1</v>
      </c>
      <c r="Q116">
        <f>L116+IF(M116&gt;1,N(N116)*(M116-1),0)</f>
        <v/>
      </c>
      <c r="R116">
        <f>IFERROR(K116*MAX(M116,1)/Q116*P116,0)</f>
        <v/>
      </c>
      <c r="AA116" s="6" t="inlineStr">
        <is>
          <t>^TankDestroyerCannon, ^RailgunWeapon, ^LightMissile, ^HeavyCannon, ^FlakWeapon</t>
        </is>
      </c>
    </row>
    <row r="117">
      <c r="B117" s="6" t="inlineStr">
        <is>
          <t xml:space="preserve">  ↳ RA2MirageGun</t>
        </is>
      </c>
      <c r="C117" s="6" t="inlineStr">
        <is>
          <t>Armament@cannon</t>
        </is>
      </c>
      <c r="K117" s="5" t="n">
        <v>8000</v>
      </c>
      <c r="L117" s="5" t="n">
        <v>39</v>
      </c>
      <c r="M117" s="5" t="n">
        <v>1</v>
      </c>
      <c r="N117" s="5" t="n"/>
      <c r="O117" s="5" t="n">
        <v>6031</v>
      </c>
      <c r="P117" s="5" t="n">
        <v>1</v>
      </c>
      <c r="Q117">
        <f>L117+IF(M117&gt;1,N(N117)*(M117-1),0)</f>
        <v/>
      </c>
      <c r="R117">
        <f>IFERROR(K117*MAX(M117,1)/Q117*P117,0)</f>
        <v/>
      </c>
      <c r="AA117" s="6" t="inlineStr">
        <is>
          <t>^RailgunWeapon, ^MediumChemicalWeapon, ^RA2TankDestroyerCannon</t>
        </is>
      </c>
    </row>
    <row r="118">
      <c r="B118" s="6" t="inlineStr">
        <is>
          <t xml:space="preserve">  ↳ Grenade</t>
        </is>
      </c>
      <c r="C118" s="6" t="inlineStr">
        <is>
          <t>Armament@grenade</t>
        </is>
      </c>
      <c r="K118" s="5" t="n">
        <v>16000</v>
      </c>
      <c r="L118" s="5" t="n">
        <v>42</v>
      </c>
      <c r="M118" s="5" t="n">
        <v>1</v>
      </c>
      <c r="N118" s="5" t="n"/>
      <c r="O118" s="5" t="n">
        <v>6097</v>
      </c>
      <c r="P118" s="5" t="n">
        <v>1</v>
      </c>
      <c r="Q118">
        <f>L118+IF(M118&gt;1,N(N118)*(M118-1),0)</f>
        <v/>
      </c>
      <c r="R118">
        <f>IFERROR(K118*MAX(M118,1)/Q118*P118,0)</f>
        <v/>
      </c>
      <c r="AA118" s="6" t="inlineStr">
        <is>
          <t>^Grenade</t>
        </is>
      </c>
    </row>
    <row r="119">
      <c r="B119" s="6" t="inlineStr">
        <is>
          <t xml:space="preserve">  ↳ DRPlasmaTankWeapon</t>
        </is>
      </c>
      <c r="C119" s="6" t="inlineStr">
        <is>
          <t>Armament@plasma</t>
        </is>
      </c>
      <c r="K119" s="5" t="n">
        <v>3750</v>
      </c>
      <c r="L119" s="5" t="n">
        <v>21</v>
      </c>
      <c r="M119" s="5" t="n">
        <v>1</v>
      </c>
      <c r="N119" s="5" t="n"/>
      <c r="O119" s="5" t="n">
        <v>5120</v>
      </c>
      <c r="P119" s="5" t="n">
        <v>1</v>
      </c>
      <c r="Q119">
        <f>L119+IF(M119&gt;1,N(N119)*(M119-1),0)</f>
        <v/>
      </c>
      <c r="R119">
        <f>IFERROR(K119*MAX(M119,1)/Q119*P119,0)</f>
        <v/>
      </c>
      <c r="AA119" s="6" t="inlineStr">
        <is>
          <t>^DRPlasmaWeapon</t>
        </is>
      </c>
    </row>
    <row r="120">
      <c r="B120" s="6" t="inlineStr">
        <is>
          <t xml:space="preserve">  ↳ SWLaserG</t>
        </is>
      </c>
      <c r="C120" s="6" t="inlineStr">
        <is>
          <t>Armament@litlaser</t>
        </is>
      </c>
      <c r="K120" s="5" t="n">
        <v>2000</v>
      </c>
      <c r="L120" s="5" t="n">
        <v>30</v>
      </c>
      <c r="M120" s="5" t="n">
        <v>6</v>
      </c>
      <c r="N120" s="5" t="n"/>
      <c r="O120" s="5" t="n">
        <v>6144</v>
      </c>
      <c r="P120" s="5" t="n">
        <v>1</v>
      </c>
      <c r="Q120">
        <f>L120+IF(M120&gt;1,N(N120)*(M120-1),0)</f>
        <v/>
      </c>
      <c r="R120">
        <f>IFERROR(K120*MAX(M120,1)/Q120*P120,0)</f>
        <v/>
      </c>
      <c r="AA120" s="6" t="inlineStr">
        <is>
          <t>^LightMG</t>
        </is>
      </c>
    </row>
    <row r="121">
      <c r="B121" s="6" t="inlineStr">
        <is>
          <t xml:space="preserve">  ↳ USALaserCannonAG</t>
        </is>
      </c>
      <c r="C121" s="6" t="inlineStr">
        <is>
          <t>Armament@medlaser</t>
        </is>
      </c>
      <c r="K121" s="5" t="n">
        <v>4000</v>
      </c>
      <c r="L121" s="5" t="n">
        <v>50</v>
      </c>
      <c r="M121" s="5" t="n">
        <v>3</v>
      </c>
      <c r="N121" s="5" t="n">
        <v>6</v>
      </c>
      <c r="O121" s="5" t="n">
        <v>7168</v>
      </c>
      <c r="P121" s="5" t="n">
        <v>1</v>
      </c>
      <c r="Q121">
        <f>L121+IF(M121&gt;1,N(N121)*(M121-1),0)</f>
        <v/>
      </c>
      <c r="R121">
        <f>IFERROR(K121*MAX(M121,1)/Q121*P121,0)</f>
        <v/>
      </c>
      <c r="AA121" s="6" t="inlineStr">
        <is>
          <t>^AntiGroundMissile</t>
        </is>
      </c>
    </row>
    <row r="122">
      <c r="B122" s="6" t="inlineStr">
        <is>
          <t xml:space="preserve">  ↳ SWGreenLaserG</t>
        </is>
      </c>
      <c r="C122" s="6" t="inlineStr">
        <is>
          <t>Armament@greenlaser</t>
        </is>
      </c>
      <c r="K122" s="5" t="n">
        <v>5000</v>
      </c>
      <c r="L122" s="5" t="n">
        <v>75</v>
      </c>
      <c r="M122" s="5" t="n">
        <v>1</v>
      </c>
      <c r="N122" s="5" t="n"/>
      <c r="O122" s="5" t="n">
        <v>7168</v>
      </c>
      <c r="P122" s="5" t="n">
        <v>1</v>
      </c>
      <c r="Q122">
        <f>L122+IF(M122&gt;1,N(N122)*(M122-1),0)</f>
        <v/>
      </c>
      <c r="R122">
        <f>IFERROR(K122*MAX(M122,1)/Q122*P122,0)</f>
        <v/>
      </c>
      <c r="AA122" s="6" t="inlineStr">
        <is>
          <t>^MissileWeapon</t>
        </is>
      </c>
    </row>
    <row r="123">
      <c r="B123" s="6" t="inlineStr">
        <is>
          <t xml:space="preserve">  ↳ SWGBigRedLaserG</t>
        </is>
      </c>
      <c r="C123" s="6" t="inlineStr">
        <is>
          <t>Armament@misslaser</t>
        </is>
      </c>
      <c r="K123" s="5" t="n">
        <v>4000</v>
      </c>
      <c r="L123" s="5" t="n">
        <v>75</v>
      </c>
      <c r="M123" s="5" t="n">
        <v>1</v>
      </c>
      <c r="N123" s="5" t="n"/>
      <c r="O123" s="5" t="n">
        <v>8192</v>
      </c>
      <c r="P123" s="5" t="n">
        <v>1</v>
      </c>
      <c r="Q123">
        <f>L123+IF(M123&gt;1,N(N123)*(M123-1),0)</f>
        <v/>
      </c>
      <c r="R123">
        <f>IFERROR(K123*MAX(M123,1)/Q123*P123,0)</f>
        <v/>
      </c>
      <c r="AA123" s="6" t="inlineStr">
        <is>
          <t>^MissileWeapon</t>
        </is>
      </c>
    </row>
    <row r="124">
      <c r="B124" s="6" t="inlineStr">
        <is>
          <t xml:space="preserve">  ↳ BigFlamer</t>
        </is>
      </c>
      <c r="C124" s="6" t="inlineStr">
        <is>
          <t>Armament@fire</t>
        </is>
      </c>
      <c r="K124" s="5" t="n">
        <v>14000</v>
      </c>
      <c r="L124" s="5" t="n">
        <v>50</v>
      </c>
      <c r="M124" s="5" t="n">
        <v>2</v>
      </c>
      <c r="N124" s="5" t="n">
        <v>10</v>
      </c>
      <c r="O124" s="5" t="n">
        <v>2390</v>
      </c>
      <c r="P124" s="5" t="n">
        <v>1</v>
      </c>
      <c r="Q124">
        <f>L124+IF(M124&gt;1,N(N124)*(M124-1),0)</f>
        <v/>
      </c>
      <c r="R124">
        <f>IFERROR(K124*MAX(M124,1)/Q124*P124,0)</f>
        <v/>
      </c>
      <c r="AA124" s="6" t="inlineStr">
        <is>
          <t>^MediumFlameWeapon</t>
        </is>
      </c>
    </row>
    <row r="125">
      <c r="B125" s="6" t="inlineStr">
        <is>
          <t xml:space="preserve">  ↳ RA2RadBeamWeapon</t>
        </is>
      </c>
      <c r="C125" s="6" t="inlineStr">
        <is>
          <t>Armament@chem</t>
        </is>
      </c>
      <c r="K125" s="5" t="n">
        <v>30000</v>
      </c>
      <c r="L125" s="5" t="n">
        <v>45</v>
      </c>
      <c r="M125" s="5" t="n">
        <v>1</v>
      </c>
      <c r="N125" s="5" t="n"/>
      <c r="O125" s="5" t="n">
        <v>6444</v>
      </c>
      <c r="P125" s="5" t="n">
        <v>1</v>
      </c>
      <c r="Q125">
        <f>L125+IF(M125&gt;1,N(N125)*(M125-1),0)</f>
        <v/>
      </c>
      <c r="R125">
        <f>IFERROR(K125*MAX(M125,1)/Q125*P125,0)</f>
        <v/>
      </c>
      <c r="AA125" s="6" t="inlineStr">
        <is>
          <t>^MediumChemicalWeapon</t>
        </is>
      </c>
    </row>
    <row r="126">
      <c r="B126" s="6" t="inlineStr">
        <is>
          <t xml:space="preserve">  ↳ RA2RadBeamWeapon</t>
        </is>
      </c>
      <c r="C126" s="6" t="inlineStr">
        <is>
          <t>Armament@thrax</t>
        </is>
      </c>
      <c r="K126" s="5" t="n">
        <v>30000</v>
      </c>
      <c r="L126" s="5" t="n">
        <v>45</v>
      </c>
      <c r="M126" s="5" t="n">
        <v>1</v>
      </c>
      <c r="N126" s="5" t="n"/>
      <c r="O126" s="5" t="n">
        <v>6444</v>
      </c>
      <c r="P126" s="5" t="n">
        <v>1</v>
      </c>
      <c r="Q126">
        <f>L126+IF(M126&gt;1,N(N126)*(M126-1),0)</f>
        <v/>
      </c>
      <c r="R126">
        <f>IFERROR(K126*MAX(M126,1)/Q126*P126,0)</f>
        <v/>
      </c>
      <c r="AA126" s="6" t="inlineStr">
        <is>
          <t>^MediumChemicalWeapon</t>
        </is>
      </c>
    </row>
    <row r="127">
      <c r="B127" s="6" t="inlineStr">
        <is>
          <t xml:space="preserve">  ↳ RA2MultiHoverMissile</t>
        </is>
      </c>
      <c r="C127" s="6" t="inlineStr">
        <is>
          <t>Armament@missile</t>
        </is>
      </c>
      <c r="K127" s="5" t="n">
        <v>2000</v>
      </c>
      <c r="L127" s="5" t="n">
        <v>20</v>
      </c>
      <c r="M127" s="5" t="n">
        <v>4</v>
      </c>
      <c r="N127" s="5" t="n">
        <v>4</v>
      </c>
      <c r="O127" s="5" t="n">
        <v>6170</v>
      </c>
      <c r="P127" s="5" t="n">
        <v>1</v>
      </c>
      <c r="Q127">
        <f>L127+IF(M127&gt;1,N(N127)*(M127-1),0)</f>
        <v/>
      </c>
      <c r="R127">
        <f>IFERROR(K127*MAX(M127,1)/Q127*P127,0)</f>
        <v/>
      </c>
      <c r="AA127" s="6" t="inlineStr">
        <is>
          <t>^MediumCannon, ^MediumChemicalWeapon, ^ArrowWeapon, ^RA2LightMissile</t>
        </is>
      </c>
    </row>
    <row r="128">
      <c r="B128" s="6" t="inlineStr">
        <is>
          <t xml:space="preserve">  ↳ IFVChronoBeam</t>
        </is>
      </c>
      <c r="C128" s="6" t="inlineStr">
        <is>
          <t>Armament@chrono</t>
        </is>
      </c>
      <c r="K128" s="5" t="n"/>
      <c r="L128" s="5" t="n">
        <v>1</v>
      </c>
      <c r="M128" s="5" t="n">
        <v>1</v>
      </c>
      <c r="N128" s="5" t="n"/>
      <c r="O128" s="5" t="n">
        <v>7500</v>
      </c>
      <c r="P128" s="5" t="n">
        <v>1</v>
      </c>
      <c r="Q128">
        <f>L128+IF(M128&gt;1,N(N128)*(M128-1),0)</f>
        <v/>
      </c>
      <c r="R128">
        <f>IFERROR(K128*MAX(M128,1)/Q128*P128,0)</f>
        <v/>
      </c>
      <c r="AA128" s="6" t="inlineStr">
        <is>
          <t>ChronoBeam</t>
        </is>
      </c>
    </row>
    <row r="129">
      <c r="B129" s="6" t="inlineStr">
        <is>
          <t xml:space="preserve">  ↳ IFVChronoSound</t>
        </is>
      </c>
      <c r="C129" s="6" t="inlineStr">
        <is>
          <t>Armament@chronosound</t>
        </is>
      </c>
      <c r="K129" s="5" t="n"/>
      <c r="L129" s="5" t="n">
        <v>180</v>
      </c>
      <c r="M129" s="5" t="n">
        <v>1</v>
      </c>
      <c r="N129" s="5" t="n"/>
      <c r="O129" s="5" t="n">
        <v>8000</v>
      </c>
      <c r="P129" s="5" t="n">
        <v>1</v>
      </c>
      <c r="Q129">
        <f>L129+IF(M129&gt;1,N(N129)*(M129-1),0)</f>
        <v/>
      </c>
      <c r="R129">
        <f>IFERROR(K129*MAX(M129,1)/Q129*P129,0)</f>
        <v/>
      </c>
      <c r="AA129" s="6" t="inlineStr">
        <is>
          <t>RA2ChronoTele</t>
        </is>
      </c>
    </row>
    <row r="130">
      <c r="B130" s="6" t="inlineStr">
        <is>
          <t xml:space="preserve">  ↳ DemoTruckTargeting</t>
        </is>
      </c>
      <c r="C130" s="6" t="inlineStr">
        <is>
          <t>Armament@ivan</t>
        </is>
      </c>
      <c r="K130" s="5" t="n"/>
      <c r="L130" s="5" t="n"/>
      <c r="M130" s="5" t="n">
        <v>1</v>
      </c>
      <c r="N130" s="5" t="n"/>
      <c r="O130" s="5" t="n">
        <v>2000</v>
      </c>
      <c r="P130" s="5" t="n">
        <v>1</v>
      </c>
      <c r="Q130">
        <f>L130+IF(M130&gt;1,N(N130)*(M130-1),0)</f>
        <v/>
      </c>
      <c r="R130">
        <f>IFERROR(K130*MAX(M130,1)/Q130*P130,0)</f>
        <v/>
      </c>
      <c r="AA130" s="6" t="inlineStr"/>
    </row>
    <row r="131">
      <c r="B131" s="6" t="inlineStr">
        <is>
          <t xml:space="preserve">  ↳ Fremen_L</t>
        </is>
      </c>
      <c r="C131" s="6" t="inlineStr">
        <is>
          <t>Armament@fremen</t>
        </is>
      </c>
      <c r="K131" s="5" t="n">
        <v>3000</v>
      </c>
      <c r="L131" s="5" t="n">
        <v>25</v>
      </c>
      <c r="M131" s="5" t="n">
        <v>1</v>
      </c>
      <c r="N131" s="5" t="n"/>
      <c r="O131" s="5" t="n">
        <v>2560</v>
      </c>
      <c r="P131" s="5" t="n">
        <v>1</v>
      </c>
      <c r="Q131">
        <f>L131+IF(M131&gt;1,N(N131)*(M131-1),0)</f>
        <v/>
      </c>
      <c r="R131">
        <f>IFERROR(K131*MAX(M131,1)/Q131*P131,0)</f>
        <v/>
      </c>
      <c r="AA131" s="6" t="inlineStr">
        <is>
          <t>^MG</t>
        </is>
      </c>
    </row>
    <row r="132">
      <c r="B132" s="6" t="inlineStr">
        <is>
          <t xml:space="preserve">  ↳ TSSonicZap</t>
        </is>
      </c>
      <c r="C132" s="6" t="inlineStr">
        <is>
          <t>Armament@sonic</t>
        </is>
      </c>
      <c r="K132" s="5" t="n">
        <v>4000</v>
      </c>
      <c r="L132" s="5" t="n">
        <v>60</v>
      </c>
      <c r="M132" s="5" t="n">
        <v>1</v>
      </c>
      <c r="N132" s="5" t="n"/>
      <c r="O132" s="5" t="n">
        <v>6144</v>
      </c>
      <c r="P132" s="5" t="n">
        <v>1</v>
      </c>
      <c r="Q132">
        <f>L132+IF(M132&gt;1,N(N132)*(M132-1),0)</f>
        <v/>
      </c>
      <c r="R132">
        <f>IFERROR(K132*MAX(M132,1)/Q132*P132,0)</f>
        <v/>
      </c>
      <c r="AA132" s="6" t="inlineStr"/>
    </row>
    <row r="133">
      <c r="B133" s="6" t="inlineStr">
        <is>
          <t xml:space="preserve">  ↳ MedicHeal</t>
        </is>
      </c>
      <c r="C133" s="6" t="inlineStr">
        <is>
          <t>Armament@heal</t>
        </is>
      </c>
      <c r="K133" s="5" t="n">
        <v>-1</v>
      </c>
      <c r="L133" s="5" t="n">
        <v>10</v>
      </c>
      <c r="M133" s="5" t="n">
        <v>1</v>
      </c>
      <c r="N133" s="5" t="n"/>
      <c r="O133" s="5" t="n">
        <v>6000</v>
      </c>
      <c r="P133" s="5" t="n">
        <v>1</v>
      </c>
      <c r="Q133">
        <f>L133+IF(M133&gt;1,N(N133)*(M133-1),0)</f>
        <v/>
      </c>
      <c r="R133">
        <f>IFERROR(K133*MAX(M133,1)/Q133*P133,0)</f>
        <v/>
      </c>
      <c r="AA133" s="6" t="inlineStr">
        <is>
          <t>^HealingWeapon</t>
        </is>
      </c>
    </row>
    <row r="134">
      <c r="B134" s="6" t="inlineStr">
        <is>
          <t xml:space="preserve">  ↳ RA2HoverMissile</t>
        </is>
      </c>
      <c r="C134" s="6" t="inlineStr">
        <is>
          <t>Armament@primary</t>
        </is>
      </c>
      <c r="K134" s="5" t="n">
        <v>6000</v>
      </c>
      <c r="L134" s="5" t="n">
        <v>28</v>
      </c>
      <c r="M134" s="5" t="n">
        <v>2</v>
      </c>
      <c r="N134" s="5" t="n">
        <v>4</v>
      </c>
      <c r="O134" s="5" t="n">
        <v>5760</v>
      </c>
      <c r="P134" s="5" t="n">
        <v>1</v>
      </c>
      <c r="Q134">
        <f>L134+IF(M134&gt;1,N(N134)*(M134-1),0)</f>
        <v/>
      </c>
      <c r="R134">
        <f>IFERROR(K134*MAX(M134,1)/Q134*P134,0)</f>
        <v/>
      </c>
      <c r="AA134" s="6" t="inlineStr">
        <is>
          <t>^ArrowWeapon, ^RA2LightMissile</t>
        </is>
      </c>
    </row>
    <row r="135">
      <c r="B135" s="6" t="inlineStr">
        <is>
          <t xml:space="preserve">  ↳ RA2HoverMissile_elite</t>
        </is>
      </c>
      <c r="C135" s="6" t="inlineStr">
        <is>
          <t>Armament@primaryelite</t>
        </is>
      </c>
      <c r="K135" s="5" t="n">
        <v>6000</v>
      </c>
      <c r="L135" s="5" t="n">
        <v>28</v>
      </c>
      <c r="M135" s="5" t="n">
        <v>4</v>
      </c>
      <c r="N135" s="5" t="n">
        <v>4</v>
      </c>
      <c r="O135" s="5" t="n">
        <v>6760</v>
      </c>
      <c r="P135" s="5" t="n">
        <v>1</v>
      </c>
      <c r="Q135">
        <f>L135+IF(M135&gt;1,N(N135)*(M135-1),0)</f>
        <v/>
      </c>
      <c r="R135">
        <f>IFERROR(K135*MAX(M135,1)/Q135*P135,0)</f>
        <v/>
      </c>
      <c r="AA135" s="6" t="inlineStr">
        <is>
          <t>^ArrowWeapon, ^RA2LightMissile</t>
        </is>
      </c>
    </row>
    <row r="136">
      <c r="B136" s="6" t="inlineStr">
        <is>
          <t xml:space="preserve">  ↳ RA2HoverMissileAA</t>
        </is>
      </c>
      <c r="C136" s="6" t="inlineStr">
        <is>
          <t>Armament@primaryAA</t>
        </is>
      </c>
      <c r="K136" s="5" t="n">
        <v>6000</v>
      </c>
      <c r="L136" s="5" t="n">
        <v>28</v>
      </c>
      <c r="M136" s="5" t="n">
        <v>2</v>
      </c>
      <c r="N136" s="5" t="n">
        <v>4</v>
      </c>
      <c r="O136" s="5" t="n">
        <v>8640</v>
      </c>
      <c r="P136" s="5" t="n">
        <v>1</v>
      </c>
      <c r="Q136">
        <f>L136+IF(M136&gt;1,N(N136)*(M136-1),0)</f>
        <v/>
      </c>
      <c r="R136">
        <f>IFERROR(K136*MAX(M136,1)/Q136*P136,0)</f>
        <v/>
      </c>
      <c r="AA136" s="6" t="inlineStr">
        <is>
          <t>^ArrowWeapon, ^RA2LightMissile</t>
        </is>
      </c>
    </row>
    <row r="137">
      <c r="B137" s="6" t="inlineStr">
        <is>
          <t xml:space="preserve">  ↳ RA2HoverMissileAA_elite</t>
        </is>
      </c>
      <c r="C137" s="6" t="inlineStr">
        <is>
          <t>Armament@primaryeliteAA</t>
        </is>
      </c>
      <c r="K137" s="5" t="n">
        <v>6000</v>
      </c>
      <c r="L137" s="5" t="n">
        <v>28</v>
      </c>
      <c r="M137" s="5" t="n">
        <v>4</v>
      </c>
      <c r="N137" s="5" t="n">
        <v>4</v>
      </c>
      <c r="O137" s="5" t="n">
        <v>9640</v>
      </c>
      <c r="P137" s="5" t="n">
        <v>1</v>
      </c>
      <c r="Q137">
        <f>L137+IF(M137&gt;1,N(N137)*(M137-1),0)</f>
        <v/>
      </c>
      <c r="R137">
        <f>IFERROR(K137*MAX(M137,1)/Q137*P137,0)</f>
        <v/>
      </c>
      <c r="AA137" s="6" t="inlineStr">
        <is>
          <t>^ArrowWeapon, ^RA2LightMissile</t>
        </is>
      </c>
    </row>
    <row r="138">
      <c r="B138" s="6" t="inlineStr">
        <is>
          <t xml:space="preserve">  ↳ RA2ThunderboltMissile</t>
        </is>
      </c>
      <c r="C138" s="6" t="inlineStr">
        <is>
          <t>Armament@primaryThunderbolt</t>
        </is>
      </c>
      <c r="K138" s="5" t="n">
        <v>2000</v>
      </c>
      <c r="L138" s="5" t="n">
        <v>28</v>
      </c>
      <c r="M138" s="5" t="n">
        <v>2</v>
      </c>
      <c r="N138" s="5" t="n">
        <v>4</v>
      </c>
      <c r="O138" s="5" t="n">
        <v>5760</v>
      </c>
      <c r="P138" s="5" t="n">
        <v>1</v>
      </c>
      <c r="Q138">
        <f>L138+IF(M138&gt;1,N(N138)*(M138-1),0)</f>
        <v/>
      </c>
      <c r="R138">
        <f>IFERROR(K138*MAX(M138,1)/Q138*P138,0)</f>
        <v/>
      </c>
      <c r="AA138" s="6" t="inlineStr">
        <is>
          <t>^HeavyMissile, ^HeavyAAWeapon, ^MediumMissile, ^FlakWeapon, ^ArrowWeapon, ^RA2LightMissile</t>
        </is>
      </c>
    </row>
    <row r="139">
      <c r="B139" s="6" t="inlineStr">
        <is>
          <t xml:space="preserve">  ↳ RA2ThunderboltMissile_elite</t>
        </is>
      </c>
      <c r="C139" s="6" t="inlineStr">
        <is>
          <t>Armament@primaryeliteThunderbolt</t>
        </is>
      </c>
      <c r="K139" s="5" t="n">
        <v>2000</v>
      </c>
      <c r="L139" s="5" t="n">
        <v>28</v>
      </c>
      <c r="M139" s="5" t="n">
        <v>4</v>
      </c>
      <c r="N139" s="5" t="n">
        <v>4</v>
      </c>
      <c r="O139" s="5" t="n">
        <v>6760</v>
      </c>
      <c r="P139" s="5" t="n">
        <v>1</v>
      </c>
      <c r="Q139">
        <f>L139+IF(M139&gt;1,N(N139)*(M139-1),0)</f>
        <v/>
      </c>
      <c r="R139">
        <f>IFERROR(K139*MAX(M139,1)/Q139*P139,0)</f>
        <v/>
      </c>
      <c r="AA139" s="6" t="inlineStr">
        <is>
          <t>^HeavyMissile, ^HeavyAAWeapon, ^MediumMissile, ^FlakWeapon, ^ArrowWeapon, ^RA2LightMissile</t>
        </is>
      </c>
    </row>
    <row r="140">
      <c r="B140" s="6" t="inlineStr">
        <is>
          <t xml:space="preserve">  ↳ RA2ThunderboltMissileAA</t>
        </is>
      </c>
      <c r="C140" s="6" t="inlineStr">
        <is>
          <t>Armament@primaryAAThunderbolt</t>
        </is>
      </c>
      <c r="K140" s="5" t="n">
        <v>2000</v>
      </c>
      <c r="L140" s="5" t="n">
        <v>28</v>
      </c>
      <c r="M140" s="5" t="n">
        <v>2</v>
      </c>
      <c r="N140" s="5" t="n">
        <v>4</v>
      </c>
      <c r="O140" s="5" t="n">
        <v>8640</v>
      </c>
      <c r="P140" s="5" t="n">
        <v>1</v>
      </c>
      <c r="Q140">
        <f>L140+IF(M140&gt;1,N(N140)*(M140-1),0)</f>
        <v/>
      </c>
      <c r="R140">
        <f>IFERROR(K140*MAX(M140,1)/Q140*P140,0)</f>
        <v/>
      </c>
      <c r="AA140" s="6" t="inlineStr">
        <is>
          <t>^HeavyMissile, ^HeavyAAWeapon, ^MediumMissile, ^FlakWeapon, ^ArrowWeapon, ^RA2LightMissile</t>
        </is>
      </c>
    </row>
    <row r="141">
      <c r="B141" s="6" t="inlineStr">
        <is>
          <t xml:space="preserve">  ↳ RA2ThunderboltMissileAA_elite</t>
        </is>
      </c>
      <c r="C141" s="6" t="inlineStr">
        <is>
          <t>Armament@primaryeliteAAThunderbolt</t>
        </is>
      </c>
      <c r="K141" s="5" t="n">
        <v>2000</v>
      </c>
      <c r="L141" s="5" t="n">
        <v>28</v>
      </c>
      <c r="M141" s="5" t="n">
        <v>4</v>
      </c>
      <c r="N141" s="5" t="n">
        <v>4</v>
      </c>
      <c r="O141" s="5" t="n">
        <v>9640</v>
      </c>
      <c r="P141" s="5" t="n">
        <v>1</v>
      </c>
      <c r="Q141">
        <f>L141+IF(M141&gt;1,N(N141)*(M141-1),0)</f>
        <v/>
      </c>
      <c r="R141">
        <f>IFERROR(K141*MAX(M141,1)/Q141*P141,0)</f>
        <v/>
      </c>
      <c r="AA141" s="6" t="inlineStr">
        <is>
          <t>^HeavyMissile, ^HeavyAAWeapon, ^MediumMissile, ^FlakWeapon, ^ArrowWeapon, ^RA2LightMissile</t>
        </is>
      </c>
    </row>
    <row r="142">
      <c r="B142" s="6" t="inlineStr">
        <is>
          <t xml:space="preserve">  ↳ RA2MultiHoverMissile_elite</t>
        </is>
      </c>
      <c r="C142" s="6" t="inlineStr">
        <is>
          <t>Armament@missileelite</t>
        </is>
      </c>
      <c r="K142" s="5" t="n">
        <v>2000</v>
      </c>
      <c r="L142" s="5" t="n">
        <v>20</v>
      </c>
      <c r="M142" s="5" t="n">
        <v>4</v>
      </c>
      <c r="N142" s="5" t="n">
        <v>4</v>
      </c>
      <c r="O142" s="5" t="n">
        <v>7170</v>
      </c>
      <c r="P142" s="5" t="n">
        <v>1</v>
      </c>
      <c r="Q142">
        <f>L142+IF(M142&gt;1,N(N142)*(M142-1),0)</f>
        <v/>
      </c>
      <c r="R142">
        <f>IFERROR(K142*MAX(M142,1)/Q142*P142,0)</f>
        <v/>
      </c>
      <c r="AA142" s="6" t="inlineStr">
        <is>
          <t>^MediumCannon, ^MediumChemicalWeapon, ^ArrowWeapon, ^RA2LightMissile</t>
        </is>
      </c>
    </row>
    <row r="143">
      <c r="B143" s="6" t="inlineStr">
        <is>
          <t xml:space="preserve">  ↳ RA2MultiHoverMissileAA</t>
        </is>
      </c>
      <c r="C143" s="6" t="inlineStr">
        <is>
          <t>Armament@missileAA</t>
        </is>
      </c>
      <c r="K143" s="5" t="n">
        <v>2000</v>
      </c>
      <c r="L143" s="5" t="n">
        <v>20</v>
      </c>
      <c r="M143" s="5" t="n">
        <v>4</v>
      </c>
      <c r="N143" s="5" t="n">
        <v>4</v>
      </c>
      <c r="O143" s="5" t="n">
        <v>9255</v>
      </c>
      <c r="P143" s="5" t="n">
        <v>1</v>
      </c>
      <c r="Q143">
        <f>L143+IF(M143&gt;1,N(N143)*(M143-1),0)</f>
        <v/>
      </c>
      <c r="R143">
        <f>IFERROR(K143*MAX(M143,1)/Q143*P143,0)</f>
        <v/>
      </c>
      <c r="AA143" s="6" t="inlineStr">
        <is>
          <t>^MediumCannon, ^MediumChemicalWeapon, ^ArrowWeapon, ^RA2LightMissile</t>
        </is>
      </c>
    </row>
    <row r="144">
      <c r="B144" s="6" t="inlineStr">
        <is>
          <t xml:space="preserve">  ↳ RA2MultiHoverMissileAA_elite</t>
        </is>
      </c>
      <c r="C144" s="6" t="inlineStr">
        <is>
          <t>Armament@missileeliteAA</t>
        </is>
      </c>
      <c r="K144" s="5" t="n">
        <v>2000</v>
      </c>
      <c r="L144" s="5" t="n">
        <v>20</v>
      </c>
      <c r="M144" s="5" t="n">
        <v>4</v>
      </c>
      <c r="N144" s="5" t="n">
        <v>4</v>
      </c>
      <c r="O144" s="5" t="n">
        <v>10255</v>
      </c>
      <c r="P144" s="5" t="n">
        <v>1</v>
      </c>
      <c r="Q144">
        <f>L144+IF(M144&gt;1,N(N144)*(M144-1),0)</f>
        <v/>
      </c>
      <c r="R144">
        <f>IFERROR(K144*MAX(M144,1)/Q144*P144,0)</f>
        <v/>
      </c>
      <c r="AA144" s="6" t="inlineStr">
        <is>
          <t>^MediumCannon, ^MediumChemicalWeapon, ^ArrowWeapon, ^RA2LightMissile</t>
        </is>
      </c>
    </row>
    <row r="145">
      <c r="B145" s="6" t="inlineStr">
        <is>
          <t xml:space="preserve">  ↳ RA2MultiThunderboltMissile</t>
        </is>
      </c>
      <c r="C145" s="6" t="inlineStr">
        <is>
          <t>Armament@missileThunderbolt</t>
        </is>
      </c>
      <c r="K145" s="5" t="n">
        <v>2000</v>
      </c>
      <c r="L145" s="5" t="n">
        <v>20</v>
      </c>
      <c r="M145" s="5" t="n">
        <v>4</v>
      </c>
      <c r="N145" s="5" t="n">
        <v>4</v>
      </c>
      <c r="O145" s="5" t="n">
        <v>6170</v>
      </c>
      <c r="P145" s="5" t="n">
        <v>1</v>
      </c>
      <c r="Q145">
        <f>L145+IF(M145&gt;1,N(N145)*(M145-1),0)</f>
        <v/>
      </c>
      <c r="R145">
        <f>IFERROR(K145*MAX(M145,1)/Q145*P145,0)</f>
        <v/>
      </c>
      <c r="AA145" s="6" t="inlineStr">
        <is>
          <t>^HeavyMissile, ^HeavyAAWeapon, ^MediumMissile, ^FlakWeapon, ^MediumCannon, ^MediumChemicalWeapon, ^ArrowWeapon, ^RA2LightMissile</t>
        </is>
      </c>
    </row>
    <row r="146">
      <c r="B146" s="6" t="inlineStr">
        <is>
          <t xml:space="preserve">  ↳ RA2MultiThunderboltMissile_elite</t>
        </is>
      </c>
      <c r="C146" s="6" t="inlineStr">
        <is>
          <t>Armament@missileeliteThunderbolt</t>
        </is>
      </c>
      <c r="K146" s="5" t="n">
        <v>2000</v>
      </c>
      <c r="L146" s="5" t="n">
        <v>20</v>
      </c>
      <c r="M146" s="5" t="n">
        <v>4</v>
      </c>
      <c r="N146" s="5" t="n">
        <v>4</v>
      </c>
      <c r="O146" s="5" t="n">
        <v>7170</v>
      </c>
      <c r="P146" s="5" t="n">
        <v>1</v>
      </c>
      <c r="Q146">
        <f>L146+IF(M146&gt;1,N(N146)*(M146-1),0)</f>
        <v/>
      </c>
      <c r="R146">
        <f>IFERROR(K146*MAX(M146,1)/Q146*P146,0)</f>
        <v/>
      </c>
      <c r="AA146" s="6" t="inlineStr">
        <is>
          <t>^HeavyMissile, ^HeavyAAWeapon, ^MediumMissile, ^FlakWeapon, ^MediumCannon, ^MediumChemicalWeapon, ^ArrowWeapon, ^RA2LightMissile</t>
        </is>
      </c>
    </row>
    <row r="147">
      <c r="B147" s="6" t="inlineStr">
        <is>
          <t xml:space="preserve">  ↳ RA2MultiThunderboltMissileAA</t>
        </is>
      </c>
      <c r="C147" s="6" t="inlineStr">
        <is>
          <t>Armament@missileAAThunderbolt</t>
        </is>
      </c>
      <c r="K147" s="5" t="n">
        <v>2000</v>
      </c>
      <c r="L147" s="5" t="n">
        <v>20</v>
      </c>
      <c r="M147" s="5" t="n">
        <v>4</v>
      </c>
      <c r="N147" s="5" t="n">
        <v>4</v>
      </c>
      <c r="O147" s="5" t="n">
        <v>9255</v>
      </c>
      <c r="P147" s="5" t="n">
        <v>1</v>
      </c>
      <c r="Q147">
        <f>L147+IF(M147&gt;1,N(N147)*(M147-1),0)</f>
        <v/>
      </c>
      <c r="R147">
        <f>IFERROR(K147*MAX(M147,1)/Q147*P147,0)</f>
        <v/>
      </c>
      <c r="AA147" s="6" t="inlineStr">
        <is>
          <t>^HeavyMissile, ^HeavyAAWeapon, ^MediumMissile, ^FlakWeapon, ^MediumCannon, ^MediumChemicalWeapon, ^ArrowWeapon, ^RA2LightMissile</t>
        </is>
      </c>
    </row>
    <row r="148">
      <c r="B148" s="6" t="inlineStr">
        <is>
          <t xml:space="preserve">  ↳ RA2MultiThunderboltMissileAA_elite</t>
        </is>
      </c>
      <c r="C148" s="6" t="inlineStr">
        <is>
          <t>Armament@missileeliteAAThunderbolt</t>
        </is>
      </c>
      <c r="K148" s="5" t="n">
        <v>2000</v>
      </c>
      <c r="L148" s="5" t="n">
        <v>20</v>
      </c>
      <c r="M148" s="5" t="n">
        <v>4</v>
      </c>
      <c r="N148" s="5" t="n">
        <v>4</v>
      </c>
      <c r="O148" s="5" t="n">
        <v>10255</v>
      </c>
      <c r="P148" s="5" t="n">
        <v>1</v>
      </c>
      <c r="Q148">
        <f>L148+IF(M148&gt;1,N(N148)*(M148-1),0)</f>
        <v/>
      </c>
      <c r="R148">
        <f>IFERROR(K148*MAX(M148,1)/Q148*P148,0)</f>
        <v/>
      </c>
      <c r="AA148" s="6" t="inlineStr">
        <is>
          <t>^HeavyMissile, ^HeavyAAWeapon, ^MediumMissile, ^FlakWeapon, ^MediumCannon, ^MediumChemicalWeapon, ^ArrowWeapon, ^RA2LightMissile</t>
        </is>
      </c>
    </row>
    <row r="149">
      <c r="B149" s="6" t="inlineStr">
        <is>
          <t xml:space="preserve">  ↳ MedicHeal</t>
        </is>
      </c>
      <c r="C149" s="6" t="inlineStr">
        <is>
          <t>Armament@healer</t>
        </is>
      </c>
      <c r="K149" s="5" t="n">
        <v>-1</v>
      </c>
      <c r="L149" s="5" t="n">
        <v>10</v>
      </c>
      <c r="M149" s="5" t="n">
        <v>1</v>
      </c>
      <c r="N149" s="5" t="n"/>
      <c r="O149" s="5" t="n">
        <v>6000</v>
      </c>
      <c r="P149" s="5" t="n">
        <v>1</v>
      </c>
      <c r="Q149">
        <f>L149+IF(M149&gt;1,N(N149)*(M149-1),0)</f>
        <v/>
      </c>
      <c r="R149">
        <f>IFERROR(K149*MAX(M149,1)/Q149*P149,0)</f>
        <v/>
      </c>
      <c r="AA149" s="6" t="inlineStr">
        <is>
          <t>^HealingWeapon</t>
        </is>
      </c>
    </row>
    <row r="150">
      <c r="B150" s="6" t="inlineStr">
        <is>
          <t xml:space="preserve">  ↳ RA2AWP</t>
        </is>
      </c>
      <c r="C150" s="6" t="inlineStr">
        <is>
          <t>Armament@ra1_allies_alliedsniper</t>
        </is>
      </c>
      <c r="K150" s="5" t="n">
        <v>44000</v>
      </c>
      <c r="L150" s="5" t="n">
        <v>54</v>
      </c>
      <c r="M150" s="5" t="n">
        <v>1</v>
      </c>
      <c r="N150" s="5" t="n"/>
      <c r="O150" s="5" t="n">
        <v>10000</v>
      </c>
      <c r="P150" s="5" t="n">
        <v>1</v>
      </c>
      <c r="Q150">
        <f>L150+IF(M150&gt;1,N(N150)*(M150-1),0)</f>
        <v/>
      </c>
      <c r="R150">
        <f>IFERROR(K150*MAX(M150,1)/Q150*P150,0)</f>
        <v/>
      </c>
      <c r="AA150" s="6" t="inlineStr">
        <is>
          <t>^SniperWeapon</t>
        </is>
      </c>
    </row>
    <row r="151">
      <c r="A151" t="inlineStr">
        <is>
          <t>redalert2</t>
        </is>
      </c>
      <c r="B151" t="inlineStr">
        <is>
          <t>ra2_allies_ifv_hmg</t>
        </is>
      </c>
      <c r="C151" t="inlineStr">
        <is>
          <t>actor_fv.name</t>
        </is>
      </c>
      <c r="D151" t="inlineStr"/>
      <c r="E151" s="5" t="n">
        <v>25000</v>
      </c>
      <c r="F151" s="5" t="n">
        <v>150</v>
      </c>
      <c r="G151" t="inlineStr">
        <is>
          <t>Scout</t>
        </is>
      </c>
      <c r="H151" s="5" t="n">
        <v>1</v>
      </c>
      <c r="I151" s="5" t="n">
        <v>1</v>
      </c>
      <c r="J151" s="5" t="n">
        <v>1</v>
      </c>
      <c r="O151">
        <f>MAX(O152,O153,O154,O155,O156,O157,O158,O159,O160,O161,O162,O163,O164,O165,O166,O167,O168,O169,O170,O171,O172,O173,O174,O175,O176,O177,O178,O179,O180,O181,O182,O183,O184,O185,O186,O187,O188,O189,O190,O191,O192,O193)</f>
        <v/>
      </c>
      <c r="R151">
        <f>R152+R153+R154+R155+R156+R157+R158+R159+R160+R161+R162+R163+R164+R165+R166+R167+R168+R169+R170+R171+R172+R173+R174+R175+R176+R177+R178+R179+R180+R181+R182+R183+R184+R185+R186+R187+R188+R189+R190+R191+R192+R193</f>
        <v/>
      </c>
      <c r="S151">
        <f>(E151/100000+F151/100+(O151/1000)*J151/5+R151/200)*200*I151*H151</f>
        <v/>
      </c>
      <c r="T151">
        <f>((E151*F151/25000)+((O151/1000)*J151*R151/2.5))*I151*H151</f>
        <v/>
      </c>
      <c r="U151">
        <f>(E151*F151*(O151/1000)*J151*R151*I151*H151)/12500000</f>
        <v/>
      </c>
      <c r="V151">
        <f>(S151+T151+U151)/3</f>
        <v/>
      </c>
      <c r="W151" s="5" t="n">
        <v>500</v>
      </c>
      <c r="X151">
        <f>IFERROR(V151-W151,"")</f>
        <v/>
      </c>
      <c r="Y151">
        <f>IFERROR(ABS(X151)/MAX(W151,1),"")</f>
        <v/>
      </c>
      <c r="Z151">
        <f>IFERROR((W151-(((E151/100000+F151/100+R151/200)*200*I151*H151)+((E151*F151/25000)*I151*H151))/3)/(((J151/5)*200*I151*H151)+((J151*R151/2.5)*I151*H151)+((E151*F151*J151*R151*I151*H151)/12500000))/3*1000,"")</f>
        <v/>
      </c>
    </row>
    <row r="152">
      <c r="B152" s="6" t="inlineStr">
        <is>
          <t xml:space="preserve">  ↳ RA2CRM60</t>
        </is>
      </c>
      <c r="C152" s="6" t="inlineStr">
        <is>
          <t>Armament@mg</t>
        </is>
      </c>
      <c r="K152" s="5" t="n">
        <v>2000</v>
      </c>
      <c r="L152" s="5" t="n">
        <v>14</v>
      </c>
      <c r="M152" s="5" t="n">
        <v>4</v>
      </c>
      <c r="N152" s="5" t="n">
        <v>2</v>
      </c>
      <c r="O152" s="5" t="n">
        <v>5660</v>
      </c>
      <c r="P152" s="5" t="n">
        <v>1</v>
      </c>
      <c r="Q152">
        <f>L152+IF(M152&gt;1,N(N152)*(M152-1),0)</f>
        <v/>
      </c>
      <c r="R152">
        <f>IFERROR(K152*MAX(M152,1)/Q152*P152,0)</f>
        <v/>
      </c>
      <c r="AA152" s="6" t="inlineStr">
        <is>
          <t>^RA2SmallArms, ^RA2Chaingun</t>
        </is>
      </c>
    </row>
    <row r="153">
      <c r="B153" s="6" t="inlineStr">
        <is>
          <t xml:space="preserve">  ↳ RA2CRM60H</t>
        </is>
      </c>
      <c r="C153" s="6" t="inlineStr">
        <is>
          <t>Armament@hmg</t>
        </is>
      </c>
      <c r="K153" s="5" t="n">
        <v>2000</v>
      </c>
      <c r="L153" s="5" t="n">
        <v>10</v>
      </c>
      <c r="M153" s="5" t="n">
        <v>6</v>
      </c>
      <c r="N153" s="5" t="n">
        <v>2</v>
      </c>
      <c r="O153" s="5" t="n">
        <v>4692</v>
      </c>
      <c r="P153" s="5" t="n">
        <v>1</v>
      </c>
      <c r="Q153">
        <f>L153+IF(M153&gt;1,N(N153)*(M153-1),0)</f>
        <v/>
      </c>
      <c r="R153">
        <f>IFERROR(K153*MAX(M153,1)/Q153*P153,0)</f>
        <v/>
      </c>
      <c r="AA153" s="6" t="inlineStr">
        <is>
          <t>^HeavyCannon, ^RA2Chaingun, ^SniperWeapon</t>
        </is>
      </c>
    </row>
    <row r="154">
      <c r="B154" s="6" t="inlineStr">
        <is>
          <t xml:space="preserve">  ↳ wc_tower_fire</t>
        </is>
      </c>
      <c r="C154" s="6" t="inlineStr">
        <is>
          <t>Armament@archer</t>
        </is>
      </c>
      <c r="K154" s="5" t="n">
        <v>2500</v>
      </c>
      <c r="L154" s="5" t="n">
        <v>40</v>
      </c>
      <c r="M154" s="5" t="n">
        <v>1</v>
      </c>
      <c r="N154" s="5" t="n"/>
      <c r="O154" s="5" t="n">
        <v>8704</v>
      </c>
      <c r="P154" s="5" t="n">
        <v>1</v>
      </c>
      <c r="Q154">
        <f>L154+IF(M154&gt;1,N(N154)*(M154-1),0)</f>
        <v/>
      </c>
      <c r="R154">
        <f>IFERROR(K154*MAX(M154,1)/Q154*P154,0)</f>
        <v/>
      </c>
      <c r="AA154" s="6" t="inlineStr">
        <is>
          <t>bowFire</t>
        </is>
      </c>
    </row>
    <row r="155">
      <c r="B155" s="6" t="inlineStr">
        <is>
          <t xml:space="preserve">  ↳ RA2IFVRepair</t>
        </is>
      </c>
      <c r="C155" s="6" t="inlineStr">
        <is>
          <t>Armament@repair</t>
        </is>
      </c>
      <c r="K155" s="5" t="n">
        <v>-1</v>
      </c>
      <c r="L155" s="5" t="n">
        <v>50</v>
      </c>
      <c r="M155" s="5" t="n">
        <v>10</v>
      </c>
      <c r="N155" s="5" t="n">
        <v>1</v>
      </c>
      <c r="O155" s="5" t="n">
        <v>5000</v>
      </c>
      <c r="P155" s="5" t="n">
        <v>1</v>
      </c>
      <c r="Q155">
        <f>L155+IF(M155&gt;1,N(N155)*(M155-1),0)</f>
        <v/>
      </c>
      <c r="R155">
        <f>IFERROR(K155*MAX(M155,1)/Q155*P155,0)</f>
        <v/>
      </c>
      <c r="AA155" s="6" t="inlineStr">
        <is>
          <t>^RepairWeapon</t>
        </is>
      </c>
    </row>
    <row r="156">
      <c r="B156" s="6" t="inlineStr">
        <is>
          <t xml:space="preserve">  ↳ LightSniper</t>
        </is>
      </c>
      <c r="C156" s="6" t="inlineStr">
        <is>
          <t>Armament@lightsniper</t>
        </is>
      </c>
      <c r="K156" s="5" t="n">
        <v>30000</v>
      </c>
      <c r="L156" s="5" t="n">
        <v>100</v>
      </c>
      <c r="M156" s="5" t="n">
        <v>1</v>
      </c>
      <c r="N156" s="5" t="n"/>
      <c r="O156" s="5" t="n">
        <v>9153</v>
      </c>
      <c r="P156" s="5" t="n">
        <v>1</v>
      </c>
      <c r="Q156">
        <f>L156+IF(M156&gt;1,N(N156)*(M156-1),0)</f>
        <v/>
      </c>
      <c r="R156">
        <f>IFERROR(K156*MAX(M156,1)/Q156*P156,0)</f>
        <v/>
      </c>
      <c r="AA156" s="6" t="inlineStr">
        <is>
          <t>^SniperWeapon</t>
        </is>
      </c>
    </row>
    <row r="157">
      <c r="B157" s="6" t="inlineStr">
        <is>
          <t xml:space="preserve">  ↳ RA2DoublePistolsIFV</t>
        </is>
      </c>
      <c r="C157" s="6" t="inlineStr">
        <is>
          <t>Armament@hero</t>
        </is>
      </c>
      <c r="K157" s="5" t="n">
        <v>14000</v>
      </c>
      <c r="L157" s="5" t="n">
        <v>12</v>
      </c>
      <c r="M157" s="5" t="n">
        <v>2</v>
      </c>
      <c r="N157" s="5" t="n">
        <v>3</v>
      </c>
      <c r="O157" s="5" t="n">
        <v>8000</v>
      </c>
      <c r="P157" s="5" t="n">
        <v>1</v>
      </c>
      <c r="Q157">
        <f>L157+IF(M157&gt;1,N(N157)*(M157-1),0)</f>
        <v/>
      </c>
      <c r="R157">
        <f>IFERROR(K157*MAX(M157,1)/Q157*P157,0)</f>
        <v/>
      </c>
      <c r="AA157" s="6" t="inlineStr">
        <is>
          <t>^SniperWeapon</t>
        </is>
      </c>
    </row>
    <row r="158">
      <c r="B158" s="6" t="inlineStr">
        <is>
          <t xml:space="preserve">  ↳ TTankZap</t>
        </is>
      </c>
      <c r="C158" s="6" t="inlineStr">
        <is>
          <t>Armament@tesla</t>
        </is>
      </c>
      <c r="K158" s="5" t="n">
        <v>40000</v>
      </c>
      <c r="L158" s="5" t="n">
        <v>80</v>
      </c>
      <c r="M158" s="5" t="n">
        <v>1</v>
      </c>
      <c r="N158" s="5" t="n"/>
      <c r="O158" s="5" t="n">
        <v>7300</v>
      </c>
      <c r="P158" s="5" t="n">
        <v>1</v>
      </c>
      <c r="Q158">
        <f>L158+IF(M158&gt;1,N(N158)*(M158-1),0)</f>
        <v/>
      </c>
      <c r="R158">
        <f>IFERROR(K158*MAX(M158,1)/Q158*P158,0)</f>
        <v/>
      </c>
      <c r="AA158" s="6" t="inlineStr">
        <is>
          <t>^TeslaWeapon</t>
        </is>
      </c>
    </row>
    <row r="159">
      <c r="B159" s="6" t="inlineStr">
        <is>
          <t xml:space="preserve">  ↳ DragunovSniper</t>
        </is>
      </c>
      <c r="C159" s="6" t="inlineStr">
        <is>
          <t>Armament@flak</t>
        </is>
      </c>
      <c r="K159" s="5" t="n">
        <v>8000</v>
      </c>
      <c r="L159" s="5" t="n">
        <v>85</v>
      </c>
      <c r="M159" s="5" t="n">
        <v>1</v>
      </c>
      <c r="N159" s="5" t="n"/>
      <c r="O159" s="5" t="n">
        <v>6880</v>
      </c>
      <c r="P159" s="5" t="n">
        <v>1</v>
      </c>
      <c r="Q159">
        <f>L159+IF(M159&gt;1,N(N159)*(M159-1),0)</f>
        <v/>
      </c>
      <c r="R159">
        <f>IFERROR(K159*MAX(M159,1)/Q159*P159,0)</f>
        <v/>
      </c>
      <c r="AA159" s="6" t="inlineStr">
        <is>
          <t>^TankDestroyerCannon, ^RailgunWeapon, ^LightMissile, ^HeavyCannon, ^FlakWeapon</t>
        </is>
      </c>
    </row>
    <row r="160">
      <c r="B160" s="6" t="inlineStr">
        <is>
          <t xml:space="preserve">  ↳ RA2MirageGun</t>
        </is>
      </c>
      <c r="C160" s="6" t="inlineStr">
        <is>
          <t>Armament@cannon</t>
        </is>
      </c>
      <c r="K160" s="5" t="n">
        <v>8000</v>
      </c>
      <c r="L160" s="5" t="n">
        <v>39</v>
      </c>
      <c r="M160" s="5" t="n">
        <v>1</v>
      </c>
      <c r="N160" s="5" t="n"/>
      <c r="O160" s="5" t="n">
        <v>6031</v>
      </c>
      <c r="P160" s="5" t="n">
        <v>1</v>
      </c>
      <c r="Q160">
        <f>L160+IF(M160&gt;1,N(N160)*(M160-1),0)</f>
        <v/>
      </c>
      <c r="R160">
        <f>IFERROR(K160*MAX(M160,1)/Q160*P160,0)</f>
        <v/>
      </c>
      <c r="AA160" s="6" t="inlineStr">
        <is>
          <t>^RailgunWeapon, ^MediumChemicalWeapon, ^RA2TankDestroyerCannon</t>
        </is>
      </c>
    </row>
    <row r="161">
      <c r="B161" s="6" t="inlineStr">
        <is>
          <t xml:space="preserve">  ↳ Grenade</t>
        </is>
      </c>
      <c r="C161" s="6" t="inlineStr">
        <is>
          <t>Armament@grenade</t>
        </is>
      </c>
      <c r="K161" s="5" t="n">
        <v>16000</v>
      </c>
      <c r="L161" s="5" t="n">
        <v>42</v>
      </c>
      <c r="M161" s="5" t="n">
        <v>1</v>
      </c>
      <c r="N161" s="5" t="n"/>
      <c r="O161" s="5" t="n">
        <v>6097</v>
      </c>
      <c r="P161" s="5" t="n">
        <v>1</v>
      </c>
      <c r="Q161">
        <f>L161+IF(M161&gt;1,N(N161)*(M161-1),0)</f>
        <v/>
      </c>
      <c r="R161">
        <f>IFERROR(K161*MAX(M161,1)/Q161*P161,0)</f>
        <v/>
      </c>
      <c r="AA161" s="6" t="inlineStr">
        <is>
          <t>^Grenade</t>
        </is>
      </c>
    </row>
    <row r="162">
      <c r="B162" s="6" t="inlineStr">
        <is>
          <t xml:space="preserve">  ↳ DRPlasmaTankWeapon</t>
        </is>
      </c>
      <c r="C162" s="6" t="inlineStr">
        <is>
          <t>Armament@plasma</t>
        </is>
      </c>
      <c r="K162" s="5" t="n">
        <v>3750</v>
      </c>
      <c r="L162" s="5" t="n">
        <v>21</v>
      </c>
      <c r="M162" s="5" t="n">
        <v>1</v>
      </c>
      <c r="N162" s="5" t="n"/>
      <c r="O162" s="5" t="n">
        <v>5120</v>
      </c>
      <c r="P162" s="5" t="n">
        <v>1</v>
      </c>
      <c r="Q162">
        <f>L162+IF(M162&gt;1,N(N162)*(M162-1),0)</f>
        <v/>
      </c>
      <c r="R162">
        <f>IFERROR(K162*MAX(M162,1)/Q162*P162,0)</f>
        <v/>
      </c>
      <c r="AA162" s="6" t="inlineStr">
        <is>
          <t>^DRPlasmaWeapon</t>
        </is>
      </c>
    </row>
    <row r="163">
      <c r="B163" s="6" t="inlineStr">
        <is>
          <t xml:space="preserve">  ↳ SWLaserG</t>
        </is>
      </c>
      <c r="C163" s="6" t="inlineStr">
        <is>
          <t>Armament@litlaser</t>
        </is>
      </c>
      <c r="K163" s="5" t="n">
        <v>2000</v>
      </c>
      <c r="L163" s="5" t="n">
        <v>30</v>
      </c>
      <c r="M163" s="5" t="n">
        <v>6</v>
      </c>
      <c r="N163" s="5" t="n"/>
      <c r="O163" s="5" t="n">
        <v>6144</v>
      </c>
      <c r="P163" s="5" t="n">
        <v>1</v>
      </c>
      <c r="Q163">
        <f>L163+IF(M163&gt;1,N(N163)*(M163-1),0)</f>
        <v/>
      </c>
      <c r="R163">
        <f>IFERROR(K163*MAX(M163,1)/Q163*P163,0)</f>
        <v/>
      </c>
      <c r="AA163" s="6" t="inlineStr">
        <is>
          <t>^LightMG</t>
        </is>
      </c>
    </row>
    <row r="164">
      <c r="B164" s="6" t="inlineStr">
        <is>
          <t xml:space="preserve">  ↳ USALaserCannonAG</t>
        </is>
      </c>
      <c r="C164" s="6" t="inlineStr">
        <is>
          <t>Armament@medlaser</t>
        </is>
      </c>
      <c r="K164" s="5" t="n">
        <v>4000</v>
      </c>
      <c r="L164" s="5" t="n">
        <v>50</v>
      </c>
      <c r="M164" s="5" t="n">
        <v>3</v>
      </c>
      <c r="N164" s="5" t="n">
        <v>6</v>
      </c>
      <c r="O164" s="5" t="n">
        <v>7168</v>
      </c>
      <c r="P164" s="5" t="n">
        <v>1</v>
      </c>
      <c r="Q164">
        <f>L164+IF(M164&gt;1,N(N164)*(M164-1),0)</f>
        <v/>
      </c>
      <c r="R164">
        <f>IFERROR(K164*MAX(M164,1)/Q164*P164,0)</f>
        <v/>
      </c>
      <c r="AA164" s="6" t="inlineStr">
        <is>
          <t>^AntiGroundMissile</t>
        </is>
      </c>
    </row>
    <row r="165">
      <c r="B165" s="6" t="inlineStr">
        <is>
          <t xml:space="preserve">  ↳ SWGreenLaserG</t>
        </is>
      </c>
      <c r="C165" s="6" t="inlineStr">
        <is>
          <t>Armament@greenlaser</t>
        </is>
      </c>
      <c r="K165" s="5" t="n">
        <v>5000</v>
      </c>
      <c r="L165" s="5" t="n">
        <v>75</v>
      </c>
      <c r="M165" s="5" t="n">
        <v>1</v>
      </c>
      <c r="N165" s="5" t="n"/>
      <c r="O165" s="5" t="n">
        <v>7168</v>
      </c>
      <c r="P165" s="5" t="n">
        <v>1</v>
      </c>
      <c r="Q165">
        <f>L165+IF(M165&gt;1,N(N165)*(M165-1),0)</f>
        <v/>
      </c>
      <c r="R165">
        <f>IFERROR(K165*MAX(M165,1)/Q165*P165,0)</f>
        <v/>
      </c>
      <c r="AA165" s="6" t="inlineStr">
        <is>
          <t>^MissileWeapon</t>
        </is>
      </c>
    </row>
    <row r="166">
      <c r="B166" s="6" t="inlineStr">
        <is>
          <t xml:space="preserve">  ↳ SWGBigRedLaserG</t>
        </is>
      </c>
      <c r="C166" s="6" t="inlineStr">
        <is>
          <t>Armament@misslaser</t>
        </is>
      </c>
      <c r="K166" s="5" t="n">
        <v>4000</v>
      </c>
      <c r="L166" s="5" t="n">
        <v>75</v>
      </c>
      <c r="M166" s="5" t="n">
        <v>1</v>
      </c>
      <c r="N166" s="5" t="n"/>
      <c r="O166" s="5" t="n">
        <v>8192</v>
      </c>
      <c r="P166" s="5" t="n">
        <v>1</v>
      </c>
      <c r="Q166">
        <f>L166+IF(M166&gt;1,N(N166)*(M166-1),0)</f>
        <v/>
      </c>
      <c r="R166">
        <f>IFERROR(K166*MAX(M166,1)/Q166*P166,0)</f>
        <v/>
      </c>
      <c r="AA166" s="6" t="inlineStr">
        <is>
          <t>^MissileWeapon</t>
        </is>
      </c>
    </row>
    <row r="167">
      <c r="B167" s="6" t="inlineStr">
        <is>
          <t xml:space="preserve">  ↳ BigFlamer</t>
        </is>
      </c>
      <c r="C167" s="6" t="inlineStr">
        <is>
          <t>Armament@fire</t>
        </is>
      </c>
      <c r="K167" s="5" t="n">
        <v>14000</v>
      </c>
      <c r="L167" s="5" t="n">
        <v>50</v>
      </c>
      <c r="M167" s="5" t="n">
        <v>2</v>
      </c>
      <c r="N167" s="5" t="n">
        <v>10</v>
      </c>
      <c r="O167" s="5" t="n">
        <v>2390</v>
      </c>
      <c r="P167" s="5" t="n">
        <v>1</v>
      </c>
      <c r="Q167">
        <f>L167+IF(M167&gt;1,N(N167)*(M167-1),0)</f>
        <v/>
      </c>
      <c r="R167">
        <f>IFERROR(K167*MAX(M167,1)/Q167*P167,0)</f>
        <v/>
      </c>
      <c r="AA167" s="6" t="inlineStr">
        <is>
          <t>^MediumFlameWeapon</t>
        </is>
      </c>
    </row>
    <row r="168">
      <c r="B168" s="6" t="inlineStr">
        <is>
          <t xml:space="preserve">  ↳ RA2RadBeamWeapon</t>
        </is>
      </c>
      <c r="C168" s="6" t="inlineStr">
        <is>
          <t>Armament@chem</t>
        </is>
      </c>
      <c r="K168" s="5" t="n">
        <v>30000</v>
      </c>
      <c r="L168" s="5" t="n">
        <v>45</v>
      </c>
      <c r="M168" s="5" t="n">
        <v>1</v>
      </c>
      <c r="N168" s="5" t="n"/>
      <c r="O168" s="5" t="n">
        <v>6444</v>
      </c>
      <c r="P168" s="5" t="n">
        <v>1</v>
      </c>
      <c r="Q168">
        <f>L168+IF(M168&gt;1,N(N168)*(M168-1),0)</f>
        <v/>
      </c>
      <c r="R168">
        <f>IFERROR(K168*MAX(M168,1)/Q168*P168,0)</f>
        <v/>
      </c>
      <c r="AA168" s="6" t="inlineStr">
        <is>
          <t>^MediumChemicalWeapon</t>
        </is>
      </c>
    </row>
    <row r="169">
      <c r="B169" s="6" t="inlineStr">
        <is>
          <t xml:space="preserve">  ↳ RA2RadBeamWeapon</t>
        </is>
      </c>
      <c r="C169" s="6" t="inlineStr">
        <is>
          <t>Armament@thrax</t>
        </is>
      </c>
      <c r="K169" s="5" t="n">
        <v>30000</v>
      </c>
      <c r="L169" s="5" t="n">
        <v>45</v>
      </c>
      <c r="M169" s="5" t="n">
        <v>1</v>
      </c>
      <c r="N169" s="5" t="n"/>
      <c r="O169" s="5" t="n">
        <v>6444</v>
      </c>
      <c r="P169" s="5" t="n">
        <v>1</v>
      </c>
      <c r="Q169">
        <f>L169+IF(M169&gt;1,N(N169)*(M169-1),0)</f>
        <v/>
      </c>
      <c r="R169">
        <f>IFERROR(K169*MAX(M169,1)/Q169*P169,0)</f>
        <v/>
      </c>
      <c r="AA169" s="6" t="inlineStr">
        <is>
          <t>^MediumChemicalWeapon</t>
        </is>
      </c>
    </row>
    <row r="170">
      <c r="B170" s="6" t="inlineStr">
        <is>
          <t xml:space="preserve">  ↳ RA2MultiHoverMissile</t>
        </is>
      </c>
      <c r="C170" s="6" t="inlineStr">
        <is>
          <t>Armament@missile</t>
        </is>
      </c>
      <c r="K170" s="5" t="n">
        <v>2000</v>
      </c>
      <c r="L170" s="5" t="n">
        <v>20</v>
      </c>
      <c r="M170" s="5" t="n">
        <v>4</v>
      </c>
      <c r="N170" s="5" t="n">
        <v>4</v>
      </c>
      <c r="O170" s="5" t="n">
        <v>6170</v>
      </c>
      <c r="P170" s="5" t="n">
        <v>1</v>
      </c>
      <c r="Q170">
        <f>L170+IF(M170&gt;1,N(N170)*(M170-1),0)</f>
        <v/>
      </c>
      <c r="R170">
        <f>IFERROR(K170*MAX(M170,1)/Q170*P170,0)</f>
        <v/>
      </c>
      <c r="AA170" s="6" t="inlineStr">
        <is>
          <t>^MediumCannon, ^MediumChemicalWeapon, ^ArrowWeapon, ^RA2LightMissile</t>
        </is>
      </c>
    </row>
    <row r="171">
      <c r="B171" s="6" t="inlineStr">
        <is>
          <t xml:space="preserve">  ↳ IFVChronoBeam</t>
        </is>
      </c>
      <c r="C171" s="6" t="inlineStr">
        <is>
          <t>Armament@chrono</t>
        </is>
      </c>
      <c r="K171" s="5" t="n"/>
      <c r="L171" s="5" t="n">
        <v>1</v>
      </c>
      <c r="M171" s="5" t="n">
        <v>1</v>
      </c>
      <c r="N171" s="5" t="n"/>
      <c r="O171" s="5" t="n">
        <v>7500</v>
      </c>
      <c r="P171" s="5" t="n">
        <v>1</v>
      </c>
      <c r="Q171">
        <f>L171+IF(M171&gt;1,N(N171)*(M171-1),0)</f>
        <v/>
      </c>
      <c r="R171">
        <f>IFERROR(K171*MAX(M171,1)/Q171*P171,0)</f>
        <v/>
      </c>
      <c r="AA171" s="6" t="inlineStr">
        <is>
          <t>ChronoBeam</t>
        </is>
      </c>
    </row>
    <row r="172">
      <c r="B172" s="6" t="inlineStr">
        <is>
          <t xml:space="preserve">  ↳ IFVChronoSound</t>
        </is>
      </c>
      <c r="C172" s="6" t="inlineStr">
        <is>
          <t>Armament@chronosound</t>
        </is>
      </c>
      <c r="K172" s="5" t="n"/>
      <c r="L172" s="5" t="n">
        <v>180</v>
      </c>
      <c r="M172" s="5" t="n">
        <v>1</v>
      </c>
      <c r="N172" s="5" t="n"/>
      <c r="O172" s="5" t="n">
        <v>8000</v>
      </c>
      <c r="P172" s="5" t="n">
        <v>1</v>
      </c>
      <c r="Q172">
        <f>L172+IF(M172&gt;1,N(N172)*(M172-1),0)</f>
        <v/>
      </c>
      <c r="R172">
        <f>IFERROR(K172*MAX(M172,1)/Q172*P172,0)</f>
        <v/>
      </c>
      <c r="AA172" s="6" t="inlineStr">
        <is>
          <t>RA2ChronoTele</t>
        </is>
      </c>
    </row>
    <row r="173">
      <c r="B173" s="6" t="inlineStr">
        <is>
          <t xml:space="preserve">  ↳ DemoTruckTargeting</t>
        </is>
      </c>
      <c r="C173" s="6" t="inlineStr">
        <is>
          <t>Armament@ivan</t>
        </is>
      </c>
      <c r="K173" s="5" t="n"/>
      <c r="L173" s="5" t="n"/>
      <c r="M173" s="5" t="n">
        <v>1</v>
      </c>
      <c r="N173" s="5" t="n"/>
      <c r="O173" s="5" t="n">
        <v>2000</v>
      </c>
      <c r="P173" s="5" t="n">
        <v>1</v>
      </c>
      <c r="Q173">
        <f>L173+IF(M173&gt;1,N(N173)*(M173-1),0)</f>
        <v/>
      </c>
      <c r="R173">
        <f>IFERROR(K173*MAX(M173,1)/Q173*P173,0)</f>
        <v/>
      </c>
      <c r="AA173" s="6" t="inlineStr"/>
    </row>
    <row r="174">
      <c r="B174" s="6" t="inlineStr">
        <is>
          <t xml:space="preserve">  ↳ Fremen_L</t>
        </is>
      </c>
      <c r="C174" s="6" t="inlineStr">
        <is>
          <t>Armament@fremen</t>
        </is>
      </c>
      <c r="K174" s="5" t="n">
        <v>3000</v>
      </c>
      <c r="L174" s="5" t="n">
        <v>25</v>
      </c>
      <c r="M174" s="5" t="n">
        <v>1</v>
      </c>
      <c r="N174" s="5" t="n"/>
      <c r="O174" s="5" t="n">
        <v>2560</v>
      </c>
      <c r="P174" s="5" t="n">
        <v>1</v>
      </c>
      <c r="Q174">
        <f>L174+IF(M174&gt;1,N(N174)*(M174-1),0)</f>
        <v/>
      </c>
      <c r="R174">
        <f>IFERROR(K174*MAX(M174,1)/Q174*P174,0)</f>
        <v/>
      </c>
      <c r="AA174" s="6" t="inlineStr">
        <is>
          <t>^MG</t>
        </is>
      </c>
    </row>
    <row r="175">
      <c r="B175" s="6" t="inlineStr">
        <is>
          <t xml:space="preserve">  ↳ TSSonicZap</t>
        </is>
      </c>
      <c r="C175" s="6" t="inlineStr">
        <is>
          <t>Armament@sonic</t>
        </is>
      </c>
      <c r="K175" s="5" t="n">
        <v>4000</v>
      </c>
      <c r="L175" s="5" t="n">
        <v>60</v>
      </c>
      <c r="M175" s="5" t="n">
        <v>1</v>
      </c>
      <c r="N175" s="5" t="n"/>
      <c r="O175" s="5" t="n">
        <v>6144</v>
      </c>
      <c r="P175" s="5" t="n">
        <v>1</v>
      </c>
      <c r="Q175">
        <f>L175+IF(M175&gt;1,N(N175)*(M175-1),0)</f>
        <v/>
      </c>
      <c r="R175">
        <f>IFERROR(K175*MAX(M175,1)/Q175*P175,0)</f>
        <v/>
      </c>
      <c r="AA175" s="6" t="inlineStr"/>
    </row>
    <row r="176">
      <c r="B176" s="6" t="inlineStr">
        <is>
          <t xml:space="preserve">  ↳ MedicHeal</t>
        </is>
      </c>
      <c r="C176" s="6" t="inlineStr">
        <is>
          <t>Armament@heal</t>
        </is>
      </c>
      <c r="K176" s="5" t="n">
        <v>-1</v>
      </c>
      <c r="L176" s="5" t="n">
        <v>10</v>
      </c>
      <c r="M176" s="5" t="n">
        <v>1</v>
      </c>
      <c r="N176" s="5" t="n"/>
      <c r="O176" s="5" t="n">
        <v>6000</v>
      </c>
      <c r="P176" s="5" t="n">
        <v>1</v>
      </c>
      <c r="Q176">
        <f>L176+IF(M176&gt;1,N(N176)*(M176-1),0)</f>
        <v/>
      </c>
      <c r="R176">
        <f>IFERROR(K176*MAX(M176,1)/Q176*P176,0)</f>
        <v/>
      </c>
      <c r="AA176" s="6" t="inlineStr">
        <is>
          <t>^HealingWeapon</t>
        </is>
      </c>
    </row>
    <row r="177">
      <c r="B177" s="6" t="inlineStr">
        <is>
          <t xml:space="preserve">  ↳ RA2HoverMissile</t>
        </is>
      </c>
      <c r="C177" s="6" t="inlineStr">
        <is>
          <t>Armament@primary</t>
        </is>
      </c>
      <c r="K177" s="5" t="n">
        <v>6000</v>
      </c>
      <c r="L177" s="5" t="n">
        <v>28</v>
      </c>
      <c r="M177" s="5" t="n">
        <v>2</v>
      </c>
      <c r="N177" s="5" t="n">
        <v>4</v>
      </c>
      <c r="O177" s="5" t="n">
        <v>5760</v>
      </c>
      <c r="P177" s="5" t="n">
        <v>1</v>
      </c>
      <c r="Q177">
        <f>L177+IF(M177&gt;1,N(N177)*(M177-1),0)</f>
        <v/>
      </c>
      <c r="R177">
        <f>IFERROR(K177*MAX(M177,1)/Q177*P177,0)</f>
        <v/>
      </c>
      <c r="AA177" s="6" t="inlineStr">
        <is>
          <t>^ArrowWeapon, ^RA2LightMissile</t>
        </is>
      </c>
    </row>
    <row r="178">
      <c r="B178" s="6" t="inlineStr">
        <is>
          <t xml:space="preserve">  ↳ RA2HoverMissile_elite</t>
        </is>
      </c>
      <c r="C178" s="6" t="inlineStr">
        <is>
          <t>Armament@primaryelite</t>
        </is>
      </c>
      <c r="K178" s="5" t="n">
        <v>6000</v>
      </c>
      <c r="L178" s="5" t="n">
        <v>28</v>
      </c>
      <c r="M178" s="5" t="n">
        <v>4</v>
      </c>
      <c r="N178" s="5" t="n">
        <v>4</v>
      </c>
      <c r="O178" s="5" t="n">
        <v>6760</v>
      </c>
      <c r="P178" s="5" t="n">
        <v>1</v>
      </c>
      <c r="Q178">
        <f>L178+IF(M178&gt;1,N(N178)*(M178-1),0)</f>
        <v/>
      </c>
      <c r="R178">
        <f>IFERROR(K178*MAX(M178,1)/Q178*P178,0)</f>
        <v/>
      </c>
      <c r="AA178" s="6" t="inlineStr">
        <is>
          <t>^ArrowWeapon, ^RA2LightMissile</t>
        </is>
      </c>
    </row>
    <row r="179">
      <c r="B179" s="6" t="inlineStr">
        <is>
          <t xml:space="preserve">  ↳ RA2HoverMissileAA</t>
        </is>
      </c>
      <c r="C179" s="6" t="inlineStr">
        <is>
          <t>Armament@primaryAA</t>
        </is>
      </c>
      <c r="K179" s="5" t="n">
        <v>6000</v>
      </c>
      <c r="L179" s="5" t="n">
        <v>28</v>
      </c>
      <c r="M179" s="5" t="n">
        <v>2</v>
      </c>
      <c r="N179" s="5" t="n">
        <v>4</v>
      </c>
      <c r="O179" s="5" t="n">
        <v>8640</v>
      </c>
      <c r="P179" s="5" t="n">
        <v>1</v>
      </c>
      <c r="Q179">
        <f>L179+IF(M179&gt;1,N(N179)*(M179-1),0)</f>
        <v/>
      </c>
      <c r="R179">
        <f>IFERROR(K179*MAX(M179,1)/Q179*P179,0)</f>
        <v/>
      </c>
      <c r="AA179" s="6" t="inlineStr">
        <is>
          <t>^ArrowWeapon, ^RA2LightMissile</t>
        </is>
      </c>
    </row>
    <row r="180">
      <c r="B180" s="6" t="inlineStr">
        <is>
          <t xml:space="preserve">  ↳ RA2HoverMissileAA_elite</t>
        </is>
      </c>
      <c r="C180" s="6" t="inlineStr">
        <is>
          <t>Armament@primaryeliteAA</t>
        </is>
      </c>
      <c r="K180" s="5" t="n">
        <v>6000</v>
      </c>
      <c r="L180" s="5" t="n">
        <v>28</v>
      </c>
      <c r="M180" s="5" t="n">
        <v>4</v>
      </c>
      <c r="N180" s="5" t="n">
        <v>4</v>
      </c>
      <c r="O180" s="5" t="n">
        <v>9640</v>
      </c>
      <c r="P180" s="5" t="n">
        <v>1</v>
      </c>
      <c r="Q180">
        <f>L180+IF(M180&gt;1,N(N180)*(M180-1),0)</f>
        <v/>
      </c>
      <c r="R180">
        <f>IFERROR(K180*MAX(M180,1)/Q180*P180,0)</f>
        <v/>
      </c>
      <c r="AA180" s="6" t="inlineStr">
        <is>
          <t>^ArrowWeapon, ^RA2LightMissile</t>
        </is>
      </c>
    </row>
    <row r="181">
      <c r="B181" s="6" t="inlineStr">
        <is>
          <t xml:space="preserve">  ↳ RA2ThunderboltMissile</t>
        </is>
      </c>
      <c r="C181" s="6" t="inlineStr">
        <is>
          <t>Armament@primaryThunderbolt</t>
        </is>
      </c>
      <c r="K181" s="5" t="n">
        <v>2000</v>
      </c>
      <c r="L181" s="5" t="n">
        <v>28</v>
      </c>
      <c r="M181" s="5" t="n">
        <v>2</v>
      </c>
      <c r="N181" s="5" t="n">
        <v>4</v>
      </c>
      <c r="O181" s="5" t="n">
        <v>5760</v>
      </c>
      <c r="P181" s="5" t="n">
        <v>1</v>
      </c>
      <c r="Q181">
        <f>L181+IF(M181&gt;1,N(N181)*(M181-1),0)</f>
        <v/>
      </c>
      <c r="R181">
        <f>IFERROR(K181*MAX(M181,1)/Q181*P181,0)</f>
        <v/>
      </c>
      <c r="AA181" s="6" t="inlineStr">
        <is>
          <t>^HeavyMissile, ^HeavyAAWeapon, ^MediumMissile, ^FlakWeapon, ^ArrowWeapon, ^RA2LightMissile</t>
        </is>
      </c>
    </row>
    <row r="182">
      <c r="B182" s="6" t="inlineStr">
        <is>
          <t xml:space="preserve">  ↳ RA2ThunderboltMissile_elite</t>
        </is>
      </c>
      <c r="C182" s="6" t="inlineStr">
        <is>
          <t>Armament@primaryeliteThunderbolt</t>
        </is>
      </c>
      <c r="K182" s="5" t="n">
        <v>2000</v>
      </c>
      <c r="L182" s="5" t="n">
        <v>28</v>
      </c>
      <c r="M182" s="5" t="n">
        <v>4</v>
      </c>
      <c r="N182" s="5" t="n">
        <v>4</v>
      </c>
      <c r="O182" s="5" t="n">
        <v>6760</v>
      </c>
      <c r="P182" s="5" t="n">
        <v>1</v>
      </c>
      <c r="Q182">
        <f>L182+IF(M182&gt;1,N(N182)*(M182-1),0)</f>
        <v/>
      </c>
      <c r="R182">
        <f>IFERROR(K182*MAX(M182,1)/Q182*P182,0)</f>
        <v/>
      </c>
      <c r="AA182" s="6" t="inlineStr">
        <is>
          <t>^HeavyMissile, ^HeavyAAWeapon, ^MediumMissile, ^FlakWeapon, ^ArrowWeapon, ^RA2LightMissile</t>
        </is>
      </c>
    </row>
    <row r="183">
      <c r="B183" s="6" t="inlineStr">
        <is>
          <t xml:space="preserve">  ↳ RA2ThunderboltMissileAA</t>
        </is>
      </c>
      <c r="C183" s="6" t="inlineStr">
        <is>
          <t>Armament@primaryAAThunderbolt</t>
        </is>
      </c>
      <c r="K183" s="5" t="n">
        <v>2000</v>
      </c>
      <c r="L183" s="5" t="n">
        <v>28</v>
      </c>
      <c r="M183" s="5" t="n">
        <v>2</v>
      </c>
      <c r="N183" s="5" t="n">
        <v>4</v>
      </c>
      <c r="O183" s="5" t="n">
        <v>8640</v>
      </c>
      <c r="P183" s="5" t="n">
        <v>1</v>
      </c>
      <c r="Q183">
        <f>L183+IF(M183&gt;1,N(N183)*(M183-1),0)</f>
        <v/>
      </c>
      <c r="R183">
        <f>IFERROR(K183*MAX(M183,1)/Q183*P183,0)</f>
        <v/>
      </c>
      <c r="AA183" s="6" t="inlineStr">
        <is>
          <t>^HeavyMissile, ^HeavyAAWeapon, ^MediumMissile, ^FlakWeapon, ^ArrowWeapon, ^RA2LightMissile</t>
        </is>
      </c>
    </row>
    <row r="184">
      <c r="B184" s="6" t="inlineStr">
        <is>
          <t xml:space="preserve">  ↳ RA2ThunderboltMissileAA_elite</t>
        </is>
      </c>
      <c r="C184" s="6" t="inlineStr">
        <is>
          <t>Armament@primaryeliteAAThunderbolt</t>
        </is>
      </c>
      <c r="K184" s="5" t="n">
        <v>2000</v>
      </c>
      <c r="L184" s="5" t="n">
        <v>28</v>
      </c>
      <c r="M184" s="5" t="n">
        <v>4</v>
      </c>
      <c r="N184" s="5" t="n">
        <v>4</v>
      </c>
      <c r="O184" s="5" t="n">
        <v>9640</v>
      </c>
      <c r="P184" s="5" t="n">
        <v>1</v>
      </c>
      <c r="Q184">
        <f>L184+IF(M184&gt;1,N(N184)*(M184-1),0)</f>
        <v/>
      </c>
      <c r="R184">
        <f>IFERROR(K184*MAX(M184,1)/Q184*P184,0)</f>
        <v/>
      </c>
      <c r="AA184" s="6" t="inlineStr">
        <is>
          <t>^HeavyMissile, ^HeavyAAWeapon, ^MediumMissile, ^FlakWeapon, ^ArrowWeapon, ^RA2LightMissile</t>
        </is>
      </c>
    </row>
    <row r="185">
      <c r="B185" s="6" t="inlineStr">
        <is>
          <t xml:space="preserve">  ↳ RA2MultiHoverMissile_elite</t>
        </is>
      </c>
      <c r="C185" s="6" t="inlineStr">
        <is>
          <t>Armament@missileelite</t>
        </is>
      </c>
      <c r="K185" s="5" t="n">
        <v>2000</v>
      </c>
      <c r="L185" s="5" t="n">
        <v>20</v>
      </c>
      <c r="M185" s="5" t="n">
        <v>4</v>
      </c>
      <c r="N185" s="5" t="n">
        <v>4</v>
      </c>
      <c r="O185" s="5" t="n">
        <v>7170</v>
      </c>
      <c r="P185" s="5" t="n">
        <v>1</v>
      </c>
      <c r="Q185">
        <f>L185+IF(M185&gt;1,N(N185)*(M185-1),0)</f>
        <v/>
      </c>
      <c r="R185">
        <f>IFERROR(K185*MAX(M185,1)/Q185*P185,0)</f>
        <v/>
      </c>
      <c r="AA185" s="6" t="inlineStr">
        <is>
          <t>^MediumCannon, ^MediumChemicalWeapon, ^ArrowWeapon, ^RA2LightMissile</t>
        </is>
      </c>
    </row>
    <row r="186">
      <c r="B186" s="6" t="inlineStr">
        <is>
          <t xml:space="preserve">  ↳ RA2MultiHoverMissileAA</t>
        </is>
      </c>
      <c r="C186" s="6" t="inlineStr">
        <is>
          <t>Armament@missileAA</t>
        </is>
      </c>
      <c r="K186" s="5" t="n">
        <v>2000</v>
      </c>
      <c r="L186" s="5" t="n">
        <v>20</v>
      </c>
      <c r="M186" s="5" t="n">
        <v>4</v>
      </c>
      <c r="N186" s="5" t="n">
        <v>4</v>
      </c>
      <c r="O186" s="5" t="n">
        <v>9255</v>
      </c>
      <c r="P186" s="5" t="n">
        <v>1</v>
      </c>
      <c r="Q186">
        <f>L186+IF(M186&gt;1,N(N186)*(M186-1),0)</f>
        <v/>
      </c>
      <c r="R186">
        <f>IFERROR(K186*MAX(M186,1)/Q186*P186,0)</f>
        <v/>
      </c>
      <c r="AA186" s="6" t="inlineStr">
        <is>
          <t>^MediumCannon, ^MediumChemicalWeapon, ^ArrowWeapon, ^RA2LightMissile</t>
        </is>
      </c>
    </row>
    <row r="187">
      <c r="B187" s="6" t="inlineStr">
        <is>
          <t xml:space="preserve">  ↳ RA2MultiHoverMissileAA_elite</t>
        </is>
      </c>
      <c r="C187" s="6" t="inlineStr">
        <is>
          <t>Armament@missileeliteAA</t>
        </is>
      </c>
      <c r="K187" s="5" t="n">
        <v>2000</v>
      </c>
      <c r="L187" s="5" t="n">
        <v>20</v>
      </c>
      <c r="M187" s="5" t="n">
        <v>4</v>
      </c>
      <c r="N187" s="5" t="n">
        <v>4</v>
      </c>
      <c r="O187" s="5" t="n">
        <v>10255</v>
      </c>
      <c r="P187" s="5" t="n">
        <v>1</v>
      </c>
      <c r="Q187">
        <f>L187+IF(M187&gt;1,N(N187)*(M187-1),0)</f>
        <v/>
      </c>
      <c r="R187">
        <f>IFERROR(K187*MAX(M187,1)/Q187*P187,0)</f>
        <v/>
      </c>
      <c r="AA187" s="6" t="inlineStr">
        <is>
          <t>^MediumCannon, ^MediumChemicalWeapon, ^ArrowWeapon, ^RA2LightMissile</t>
        </is>
      </c>
    </row>
    <row r="188">
      <c r="B188" s="6" t="inlineStr">
        <is>
          <t xml:space="preserve">  ↳ RA2MultiThunderboltMissile</t>
        </is>
      </c>
      <c r="C188" s="6" t="inlineStr">
        <is>
          <t>Armament@missileThunderbolt</t>
        </is>
      </c>
      <c r="K188" s="5" t="n">
        <v>2000</v>
      </c>
      <c r="L188" s="5" t="n">
        <v>20</v>
      </c>
      <c r="M188" s="5" t="n">
        <v>4</v>
      </c>
      <c r="N188" s="5" t="n">
        <v>4</v>
      </c>
      <c r="O188" s="5" t="n">
        <v>6170</v>
      </c>
      <c r="P188" s="5" t="n">
        <v>1</v>
      </c>
      <c r="Q188">
        <f>L188+IF(M188&gt;1,N(N188)*(M188-1),0)</f>
        <v/>
      </c>
      <c r="R188">
        <f>IFERROR(K188*MAX(M188,1)/Q188*P188,0)</f>
        <v/>
      </c>
      <c r="AA188" s="6" t="inlineStr">
        <is>
          <t>^HeavyMissile, ^HeavyAAWeapon, ^MediumMissile, ^FlakWeapon, ^MediumCannon, ^MediumChemicalWeapon, ^ArrowWeapon, ^RA2LightMissile</t>
        </is>
      </c>
    </row>
    <row r="189">
      <c r="B189" s="6" t="inlineStr">
        <is>
          <t xml:space="preserve">  ↳ RA2MultiThunderboltMissile_elite</t>
        </is>
      </c>
      <c r="C189" s="6" t="inlineStr">
        <is>
          <t>Armament@missileeliteThunderbolt</t>
        </is>
      </c>
      <c r="K189" s="5" t="n">
        <v>2000</v>
      </c>
      <c r="L189" s="5" t="n">
        <v>20</v>
      </c>
      <c r="M189" s="5" t="n">
        <v>4</v>
      </c>
      <c r="N189" s="5" t="n">
        <v>4</v>
      </c>
      <c r="O189" s="5" t="n">
        <v>7170</v>
      </c>
      <c r="P189" s="5" t="n">
        <v>1</v>
      </c>
      <c r="Q189">
        <f>L189+IF(M189&gt;1,N(N189)*(M189-1),0)</f>
        <v/>
      </c>
      <c r="R189">
        <f>IFERROR(K189*MAX(M189,1)/Q189*P189,0)</f>
        <v/>
      </c>
      <c r="AA189" s="6" t="inlineStr">
        <is>
          <t>^HeavyMissile, ^HeavyAAWeapon, ^MediumMissile, ^FlakWeapon, ^MediumCannon, ^MediumChemicalWeapon, ^ArrowWeapon, ^RA2LightMissile</t>
        </is>
      </c>
    </row>
    <row r="190">
      <c r="B190" s="6" t="inlineStr">
        <is>
          <t xml:space="preserve">  ↳ RA2MultiThunderboltMissileAA</t>
        </is>
      </c>
      <c r="C190" s="6" t="inlineStr">
        <is>
          <t>Armament@missileAAThunderbolt</t>
        </is>
      </c>
      <c r="K190" s="5" t="n">
        <v>2000</v>
      </c>
      <c r="L190" s="5" t="n">
        <v>20</v>
      </c>
      <c r="M190" s="5" t="n">
        <v>4</v>
      </c>
      <c r="N190" s="5" t="n">
        <v>4</v>
      </c>
      <c r="O190" s="5" t="n">
        <v>9255</v>
      </c>
      <c r="P190" s="5" t="n">
        <v>1</v>
      </c>
      <c r="Q190">
        <f>L190+IF(M190&gt;1,N(N190)*(M190-1),0)</f>
        <v/>
      </c>
      <c r="R190">
        <f>IFERROR(K190*MAX(M190,1)/Q190*P190,0)</f>
        <v/>
      </c>
      <c r="AA190" s="6" t="inlineStr">
        <is>
          <t>^HeavyMissile, ^HeavyAAWeapon, ^MediumMissile, ^FlakWeapon, ^MediumCannon, ^MediumChemicalWeapon, ^ArrowWeapon, ^RA2LightMissile</t>
        </is>
      </c>
    </row>
    <row r="191">
      <c r="B191" s="6" t="inlineStr">
        <is>
          <t xml:space="preserve">  ↳ RA2MultiThunderboltMissileAA_elite</t>
        </is>
      </c>
      <c r="C191" s="6" t="inlineStr">
        <is>
          <t>Armament@missileeliteAAThunderbolt</t>
        </is>
      </c>
      <c r="K191" s="5" t="n">
        <v>2000</v>
      </c>
      <c r="L191" s="5" t="n">
        <v>20</v>
      </c>
      <c r="M191" s="5" t="n">
        <v>4</v>
      </c>
      <c r="N191" s="5" t="n">
        <v>4</v>
      </c>
      <c r="O191" s="5" t="n">
        <v>10255</v>
      </c>
      <c r="P191" s="5" t="n">
        <v>1</v>
      </c>
      <c r="Q191">
        <f>L191+IF(M191&gt;1,N(N191)*(M191-1),0)</f>
        <v/>
      </c>
      <c r="R191">
        <f>IFERROR(K191*MAX(M191,1)/Q191*P191,0)</f>
        <v/>
      </c>
      <c r="AA191" s="6" t="inlineStr">
        <is>
          <t>^HeavyMissile, ^HeavyAAWeapon, ^MediumMissile, ^FlakWeapon, ^MediumCannon, ^MediumChemicalWeapon, ^ArrowWeapon, ^RA2LightMissile</t>
        </is>
      </c>
    </row>
    <row r="192">
      <c r="B192" s="6" t="inlineStr">
        <is>
          <t xml:space="preserve">  ↳ MedicHeal</t>
        </is>
      </c>
      <c r="C192" s="6" t="inlineStr">
        <is>
          <t>Armament@healer</t>
        </is>
      </c>
      <c r="K192" s="5" t="n">
        <v>-1</v>
      </c>
      <c r="L192" s="5" t="n">
        <v>10</v>
      </c>
      <c r="M192" s="5" t="n">
        <v>1</v>
      </c>
      <c r="N192" s="5" t="n"/>
      <c r="O192" s="5" t="n">
        <v>6000</v>
      </c>
      <c r="P192" s="5" t="n">
        <v>1</v>
      </c>
      <c r="Q192">
        <f>L192+IF(M192&gt;1,N(N192)*(M192-1),0)</f>
        <v/>
      </c>
      <c r="R192">
        <f>IFERROR(K192*MAX(M192,1)/Q192*P192,0)</f>
        <v/>
      </c>
      <c r="AA192" s="6" t="inlineStr">
        <is>
          <t>^HealingWeapon</t>
        </is>
      </c>
    </row>
    <row r="193">
      <c r="B193" s="6" t="inlineStr">
        <is>
          <t xml:space="preserve">  ↳ RA2AWP</t>
        </is>
      </c>
      <c r="C193" s="6" t="inlineStr">
        <is>
          <t>Armament@ra1_allies_alliedsniper</t>
        </is>
      </c>
      <c r="K193" s="5" t="n">
        <v>44000</v>
      </c>
      <c r="L193" s="5" t="n">
        <v>54</v>
      </c>
      <c r="M193" s="5" t="n">
        <v>1</v>
      </c>
      <c r="N193" s="5" t="n"/>
      <c r="O193" s="5" t="n">
        <v>10000</v>
      </c>
      <c r="P193" s="5" t="n">
        <v>1</v>
      </c>
      <c r="Q193">
        <f>L193+IF(M193&gt;1,N(N193)*(M193-1),0)</f>
        <v/>
      </c>
      <c r="R193">
        <f>IFERROR(K193*MAX(M193,1)/Q193*P193,0)</f>
        <v/>
      </c>
      <c r="AA193" s="6" t="inlineStr">
        <is>
          <t>^SniperWeapon</t>
        </is>
      </c>
    </row>
    <row r="194">
      <c r="A194" t="inlineStr">
        <is>
          <t>redalert2</t>
        </is>
      </c>
      <c r="B194" t="inlineStr">
        <is>
          <t>ra2_allies_ifv_mg</t>
        </is>
      </c>
      <c r="C194" t="inlineStr">
        <is>
          <t>actor_fv.name</t>
        </is>
      </c>
      <c r="D194" t="inlineStr"/>
      <c r="E194" s="5" t="n">
        <v>25000</v>
      </c>
      <c r="F194" s="5" t="n">
        <v>150</v>
      </c>
      <c r="G194" t="inlineStr">
        <is>
          <t>Scout</t>
        </is>
      </c>
      <c r="H194" s="5" t="n">
        <v>1</v>
      </c>
      <c r="I194" s="5" t="n">
        <v>1</v>
      </c>
      <c r="J194" s="5" t="n">
        <v>1</v>
      </c>
      <c r="O194">
        <f>MAX(O195,O196,O197,O198,O199,O200,O201,O202,O203,O204,O205,O206,O207,O208,O209,O210,O211,O212,O213,O214,O215,O216,O217,O218,O219,O220,O221,O222,O223,O224,O225,O226,O227,O228,O229,O230,O231,O232,O233,O234,O235,O236)</f>
        <v/>
      </c>
      <c r="R194">
        <f>R195+R196+R197+R198+R199+R200+R201+R202+R203+R204+R205+R206+R207+R208+R209+R210+R211+R212+R213+R214+R215+R216+R217+R218+R219+R220+R221+R222+R223+R224+R225+R226+R227+R228+R229+R230+R231+R232+R233+R234+R235+R236</f>
        <v/>
      </c>
      <c r="S194">
        <f>(E194/100000+F194/100+(O194/1000)*J194/5+R194/200)*200*I194*H194</f>
        <v/>
      </c>
      <c r="T194">
        <f>((E194*F194/25000)+((O194/1000)*J194*R194/2.5))*I194*H194</f>
        <v/>
      </c>
      <c r="U194">
        <f>(E194*F194*(O194/1000)*J194*R194*I194*H194)/12500000</f>
        <v/>
      </c>
      <c r="V194">
        <f>(S194+T194+U194)/3</f>
        <v/>
      </c>
      <c r="W194" s="5" t="n">
        <v>500</v>
      </c>
      <c r="X194">
        <f>IFERROR(V194-W194,"")</f>
        <v/>
      </c>
      <c r="Y194">
        <f>IFERROR(ABS(X194)/MAX(W194,1),"")</f>
        <v/>
      </c>
      <c r="Z194">
        <f>IFERROR((W194-(((E194/100000+F194/100+R194/200)*200*I194*H194)+((E194*F194/25000)*I194*H194))/3)/(((J194/5)*200*I194*H194)+((J194*R194/2.5)*I194*H194)+((E194*F194*J194*R194*I194*H194)/12500000))/3*1000,"")</f>
        <v/>
      </c>
    </row>
    <row r="195">
      <c r="B195" s="6" t="inlineStr">
        <is>
          <t xml:space="preserve">  ↳ RA2CRM60</t>
        </is>
      </c>
      <c r="C195" s="6" t="inlineStr">
        <is>
          <t>Armament@mg</t>
        </is>
      </c>
      <c r="K195" s="5" t="n">
        <v>2000</v>
      </c>
      <c r="L195" s="5" t="n">
        <v>14</v>
      </c>
      <c r="M195" s="5" t="n">
        <v>4</v>
      </c>
      <c r="N195" s="5" t="n">
        <v>2</v>
      </c>
      <c r="O195" s="5" t="n">
        <v>5660</v>
      </c>
      <c r="P195" s="5" t="n">
        <v>1</v>
      </c>
      <c r="Q195">
        <f>L195+IF(M195&gt;1,N(N195)*(M195-1),0)</f>
        <v/>
      </c>
      <c r="R195">
        <f>IFERROR(K195*MAX(M195,1)/Q195*P195,0)</f>
        <v/>
      </c>
      <c r="AA195" s="6" t="inlineStr">
        <is>
          <t>^RA2SmallArms, ^RA2Chaingun</t>
        </is>
      </c>
    </row>
    <row r="196">
      <c r="B196" s="6" t="inlineStr">
        <is>
          <t xml:space="preserve">  ↳ RA2CRM60H</t>
        </is>
      </c>
      <c r="C196" s="6" t="inlineStr">
        <is>
          <t>Armament@hmg</t>
        </is>
      </c>
      <c r="K196" s="5" t="n">
        <v>2000</v>
      </c>
      <c r="L196" s="5" t="n">
        <v>10</v>
      </c>
      <c r="M196" s="5" t="n">
        <v>6</v>
      </c>
      <c r="N196" s="5" t="n">
        <v>2</v>
      </c>
      <c r="O196" s="5" t="n">
        <v>4692</v>
      </c>
      <c r="P196" s="5" t="n">
        <v>1</v>
      </c>
      <c r="Q196">
        <f>L196+IF(M196&gt;1,N(N196)*(M196-1),0)</f>
        <v/>
      </c>
      <c r="R196">
        <f>IFERROR(K196*MAX(M196,1)/Q196*P196,0)</f>
        <v/>
      </c>
      <c r="AA196" s="6" t="inlineStr">
        <is>
          <t>^HeavyCannon, ^RA2Chaingun, ^SniperWeapon</t>
        </is>
      </c>
    </row>
    <row r="197">
      <c r="B197" s="6" t="inlineStr">
        <is>
          <t xml:space="preserve">  ↳ wc_tower_fire</t>
        </is>
      </c>
      <c r="C197" s="6" t="inlineStr">
        <is>
          <t>Armament@archer</t>
        </is>
      </c>
      <c r="K197" s="5" t="n">
        <v>2500</v>
      </c>
      <c r="L197" s="5" t="n">
        <v>40</v>
      </c>
      <c r="M197" s="5" t="n">
        <v>1</v>
      </c>
      <c r="N197" s="5" t="n"/>
      <c r="O197" s="5" t="n">
        <v>8704</v>
      </c>
      <c r="P197" s="5" t="n">
        <v>1</v>
      </c>
      <c r="Q197">
        <f>L197+IF(M197&gt;1,N(N197)*(M197-1),0)</f>
        <v/>
      </c>
      <c r="R197">
        <f>IFERROR(K197*MAX(M197,1)/Q197*P197,0)</f>
        <v/>
      </c>
      <c r="AA197" s="6" t="inlineStr">
        <is>
          <t>bowFire</t>
        </is>
      </c>
    </row>
    <row r="198">
      <c r="B198" s="6" t="inlineStr">
        <is>
          <t xml:space="preserve">  ↳ RA2IFVRepair</t>
        </is>
      </c>
      <c r="C198" s="6" t="inlineStr">
        <is>
          <t>Armament@repair</t>
        </is>
      </c>
      <c r="K198" s="5" t="n">
        <v>-1</v>
      </c>
      <c r="L198" s="5" t="n">
        <v>50</v>
      </c>
      <c r="M198" s="5" t="n">
        <v>10</v>
      </c>
      <c r="N198" s="5" t="n">
        <v>1</v>
      </c>
      <c r="O198" s="5" t="n">
        <v>5000</v>
      </c>
      <c r="P198" s="5" t="n">
        <v>1</v>
      </c>
      <c r="Q198">
        <f>L198+IF(M198&gt;1,N(N198)*(M198-1),0)</f>
        <v/>
      </c>
      <c r="R198">
        <f>IFERROR(K198*MAX(M198,1)/Q198*P198,0)</f>
        <v/>
      </c>
      <c r="AA198" s="6" t="inlineStr">
        <is>
          <t>^RepairWeapon</t>
        </is>
      </c>
    </row>
    <row r="199">
      <c r="B199" s="6" t="inlineStr">
        <is>
          <t xml:space="preserve">  ↳ LightSniper</t>
        </is>
      </c>
      <c r="C199" s="6" t="inlineStr">
        <is>
          <t>Armament@lightsniper</t>
        </is>
      </c>
      <c r="K199" s="5" t="n">
        <v>30000</v>
      </c>
      <c r="L199" s="5" t="n">
        <v>100</v>
      </c>
      <c r="M199" s="5" t="n">
        <v>1</v>
      </c>
      <c r="N199" s="5" t="n"/>
      <c r="O199" s="5" t="n">
        <v>9153</v>
      </c>
      <c r="P199" s="5" t="n">
        <v>1</v>
      </c>
      <c r="Q199">
        <f>L199+IF(M199&gt;1,N(N199)*(M199-1),0)</f>
        <v/>
      </c>
      <c r="R199">
        <f>IFERROR(K199*MAX(M199,1)/Q199*P199,0)</f>
        <v/>
      </c>
      <c r="AA199" s="6" t="inlineStr">
        <is>
          <t>^SniperWeapon</t>
        </is>
      </c>
    </row>
    <row r="200">
      <c r="B200" s="6" t="inlineStr">
        <is>
          <t xml:space="preserve">  ↳ RA2DoublePistolsIFV</t>
        </is>
      </c>
      <c r="C200" s="6" t="inlineStr">
        <is>
          <t>Armament@hero</t>
        </is>
      </c>
      <c r="K200" s="5" t="n">
        <v>14000</v>
      </c>
      <c r="L200" s="5" t="n">
        <v>12</v>
      </c>
      <c r="M200" s="5" t="n">
        <v>2</v>
      </c>
      <c r="N200" s="5" t="n">
        <v>3</v>
      </c>
      <c r="O200" s="5" t="n">
        <v>8000</v>
      </c>
      <c r="P200" s="5" t="n">
        <v>1</v>
      </c>
      <c r="Q200">
        <f>L200+IF(M200&gt;1,N(N200)*(M200-1),0)</f>
        <v/>
      </c>
      <c r="R200">
        <f>IFERROR(K200*MAX(M200,1)/Q200*P200,0)</f>
        <v/>
      </c>
      <c r="AA200" s="6" t="inlineStr">
        <is>
          <t>^SniperWeapon</t>
        </is>
      </c>
    </row>
    <row r="201">
      <c r="B201" s="6" t="inlineStr">
        <is>
          <t xml:space="preserve">  ↳ TTankZap</t>
        </is>
      </c>
      <c r="C201" s="6" t="inlineStr">
        <is>
          <t>Armament@tesla</t>
        </is>
      </c>
      <c r="K201" s="5" t="n">
        <v>40000</v>
      </c>
      <c r="L201" s="5" t="n">
        <v>80</v>
      </c>
      <c r="M201" s="5" t="n">
        <v>1</v>
      </c>
      <c r="N201" s="5" t="n"/>
      <c r="O201" s="5" t="n">
        <v>7300</v>
      </c>
      <c r="P201" s="5" t="n">
        <v>1</v>
      </c>
      <c r="Q201">
        <f>L201+IF(M201&gt;1,N(N201)*(M201-1),0)</f>
        <v/>
      </c>
      <c r="R201">
        <f>IFERROR(K201*MAX(M201,1)/Q201*P201,0)</f>
        <v/>
      </c>
      <c r="AA201" s="6" t="inlineStr">
        <is>
          <t>^TeslaWeapon</t>
        </is>
      </c>
    </row>
    <row r="202">
      <c r="B202" s="6" t="inlineStr">
        <is>
          <t xml:space="preserve">  ↳ DragunovSniper</t>
        </is>
      </c>
      <c r="C202" s="6" t="inlineStr">
        <is>
          <t>Armament@flak</t>
        </is>
      </c>
      <c r="K202" s="5" t="n">
        <v>8000</v>
      </c>
      <c r="L202" s="5" t="n">
        <v>85</v>
      </c>
      <c r="M202" s="5" t="n">
        <v>1</v>
      </c>
      <c r="N202" s="5" t="n"/>
      <c r="O202" s="5" t="n">
        <v>6880</v>
      </c>
      <c r="P202" s="5" t="n">
        <v>1</v>
      </c>
      <c r="Q202">
        <f>L202+IF(M202&gt;1,N(N202)*(M202-1),0)</f>
        <v/>
      </c>
      <c r="R202">
        <f>IFERROR(K202*MAX(M202,1)/Q202*P202,0)</f>
        <v/>
      </c>
      <c r="AA202" s="6" t="inlineStr">
        <is>
          <t>^TankDestroyerCannon, ^RailgunWeapon, ^LightMissile, ^HeavyCannon, ^FlakWeapon</t>
        </is>
      </c>
    </row>
    <row r="203">
      <c r="B203" s="6" t="inlineStr">
        <is>
          <t xml:space="preserve">  ↳ RA2MirageGun</t>
        </is>
      </c>
      <c r="C203" s="6" t="inlineStr">
        <is>
          <t>Armament@cannon</t>
        </is>
      </c>
      <c r="K203" s="5" t="n">
        <v>8000</v>
      </c>
      <c r="L203" s="5" t="n">
        <v>39</v>
      </c>
      <c r="M203" s="5" t="n">
        <v>1</v>
      </c>
      <c r="N203" s="5" t="n"/>
      <c r="O203" s="5" t="n">
        <v>6031</v>
      </c>
      <c r="P203" s="5" t="n">
        <v>1</v>
      </c>
      <c r="Q203">
        <f>L203+IF(M203&gt;1,N(N203)*(M203-1),0)</f>
        <v/>
      </c>
      <c r="R203">
        <f>IFERROR(K203*MAX(M203,1)/Q203*P203,0)</f>
        <v/>
      </c>
      <c r="AA203" s="6" t="inlineStr">
        <is>
          <t>^RailgunWeapon, ^MediumChemicalWeapon, ^RA2TankDestroyerCannon</t>
        </is>
      </c>
    </row>
    <row r="204">
      <c r="B204" s="6" t="inlineStr">
        <is>
          <t xml:space="preserve">  ↳ Grenade</t>
        </is>
      </c>
      <c r="C204" s="6" t="inlineStr">
        <is>
          <t>Armament@grenade</t>
        </is>
      </c>
      <c r="K204" s="5" t="n">
        <v>16000</v>
      </c>
      <c r="L204" s="5" t="n">
        <v>42</v>
      </c>
      <c r="M204" s="5" t="n">
        <v>1</v>
      </c>
      <c r="N204" s="5" t="n"/>
      <c r="O204" s="5" t="n">
        <v>6097</v>
      </c>
      <c r="P204" s="5" t="n">
        <v>1</v>
      </c>
      <c r="Q204">
        <f>L204+IF(M204&gt;1,N(N204)*(M204-1),0)</f>
        <v/>
      </c>
      <c r="R204">
        <f>IFERROR(K204*MAX(M204,1)/Q204*P204,0)</f>
        <v/>
      </c>
      <c r="AA204" s="6" t="inlineStr">
        <is>
          <t>^Grenade</t>
        </is>
      </c>
    </row>
    <row r="205">
      <c r="B205" s="6" t="inlineStr">
        <is>
          <t xml:space="preserve">  ↳ DRPlasmaTankWeapon</t>
        </is>
      </c>
      <c r="C205" s="6" t="inlineStr">
        <is>
          <t>Armament@plasma</t>
        </is>
      </c>
      <c r="K205" s="5" t="n">
        <v>3750</v>
      </c>
      <c r="L205" s="5" t="n">
        <v>21</v>
      </c>
      <c r="M205" s="5" t="n">
        <v>1</v>
      </c>
      <c r="N205" s="5" t="n"/>
      <c r="O205" s="5" t="n">
        <v>5120</v>
      </c>
      <c r="P205" s="5" t="n">
        <v>1</v>
      </c>
      <c r="Q205">
        <f>L205+IF(M205&gt;1,N(N205)*(M205-1),0)</f>
        <v/>
      </c>
      <c r="R205">
        <f>IFERROR(K205*MAX(M205,1)/Q205*P205,0)</f>
        <v/>
      </c>
      <c r="AA205" s="6" t="inlineStr">
        <is>
          <t>^DRPlasmaWeapon</t>
        </is>
      </c>
    </row>
    <row r="206">
      <c r="B206" s="6" t="inlineStr">
        <is>
          <t xml:space="preserve">  ↳ SWLaserG</t>
        </is>
      </c>
      <c r="C206" s="6" t="inlineStr">
        <is>
          <t>Armament@litlaser</t>
        </is>
      </c>
      <c r="K206" s="5" t="n">
        <v>2000</v>
      </c>
      <c r="L206" s="5" t="n">
        <v>30</v>
      </c>
      <c r="M206" s="5" t="n">
        <v>6</v>
      </c>
      <c r="N206" s="5" t="n"/>
      <c r="O206" s="5" t="n">
        <v>6144</v>
      </c>
      <c r="P206" s="5" t="n">
        <v>1</v>
      </c>
      <c r="Q206">
        <f>L206+IF(M206&gt;1,N(N206)*(M206-1),0)</f>
        <v/>
      </c>
      <c r="R206">
        <f>IFERROR(K206*MAX(M206,1)/Q206*P206,0)</f>
        <v/>
      </c>
      <c r="AA206" s="6" t="inlineStr">
        <is>
          <t>^LightMG</t>
        </is>
      </c>
    </row>
    <row r="207">
      <c r="B207" s="6" t="inlineStr">
        <is>
          <t xml:space="preserve">  ↳ USALaserCannonAG</t>
        </is>
      </c>
      <c r="C207" s="6" t="inlineStr">
        <is>
          <t>Armament@medlaser</t>
        </is>
      </c>
      <c r="K207" s="5" t="n">
        <v>4000</v>
      </c>
      <c r="L207" s="5" t="n">
        <v>50</v>
      </c>
      <c r="M207" s="5" t="n">
        <v>3</v>
      </c>
      <c r="N207" s="5" t="n">
        <v>6</v>
      </c>
      <c r="O207" s="5" t="n">
        <v>7168</v>
      </c>
      <c r="P207" s="5" t="n">
        <v>1</v>
      </c>
      <c r="Q207">
        <f>L207+IF(M207&gt;1,N(N207)*(M207-1),0)</f>
        <v/>
      </c>
      <c r="R207">
        <f>IFERROR(K207*MAX(M207,1)/Q207*P207,0)</f>
        <v/>
      </c>
      <c r="AA207" s="6" t="inlineStr">
        <is>
          <t>^AntiGroundMissile</t>
        </is>
      </c>
    </row>
    <row r="208">
      <c r="B208" s="6" t="inlineStr">
        <is>
          <t xml:space="preserve">  ↳ SWGreenLaserG</t>
        </is>
      </c>
      <c r="C208" s="6" t="inlineStr">
        <is>
          <t>Armament@greenlaser</t>
        </is>
      </c>
      <c r="K208" s="5" t="n">
        <v>5000</v>
      </c>
      <c r="L208" s="5" t="n">
        <v>75</v>
      </c>
      <c r="M208" s="5" t="n">
        <v>1</v>
      </c>
      <c r="N208" s="5" t="n"/>
      <c r="O208" s="5" t="n">
        <v>7168</v>
      </c>
      <c r="P208" s="5" t="n">
        <v>1</v>
      </c>
      <c r="Q208">
        <f>L208+IF(M208&gt;1,N(N208)*(M208-1),0)</f>
        <v/>
      </c>
      <c r="R208">
        <f>IFERROR(K208*MAX(M208,1)/Q208*P208,0)</f>
        <v/>
      </c>
      <c r="AA208" s="6" t="inlineStr">
        <is>
          <t>^MissileWeapon</t>
        </is>
      </c>
    </row>
    <row r="209">
      <c r="B209" s="6" t="inlineStr">
        <is>
          <t xml:space="preserve">  ↳ SWGBigRedLaserG</t>
        </is>
      </c>
      <c r="C209" s="6" t="inlineStr">
        <is>
          <t>Armament@misslaser</t>
        </is>
      </c>
      <c r="K209" s="5" t="n">
        <v>4000</v>
      </c>
      <c r="L209" s="5" t="n">
        <v>75</v>
      </c>
      <c r="M209" s="5" t="n">
        <v>1</v>
      </c>
      <c r="N209" s="5" t="n"/>
      <c r="O209" s="5" t="n">
        <v>8192</v>
      </c>
      <c r="P209" s="5" t="n">
        <v>1</v>
      </c>
      <c r="Q209">
        <f>L209+IF(M209&gt;1,N(N209)*(M209-1),0)</f>
        <v/>
      </c>
      <c r="R209">
        <f>IFERROR(K209*MAX(M209,1)/Q209*P209,0)</f>
        <v/>
      </c>
      <c r="AA209" s="6" t="inlineStr">
        <is>
          <t>^MissileWeapon</t>
        </is>
      </c>
    </row>
    <row r="210">
      <c r="B210" s="6" t="inlineStr">
        <is>
          <t xml:space="preserve">  ↳ BigFlamer</t>
        </is>
      </c>
      <c r="C210" s="6" t="inlineStr">
        <is>
          <t>Armament@fire</t>
        </is>
      </c>
      <c r="K210" s="5" t="n">
        <v>14000</v>
      </c>
      <c r="L210" s="5" t="n">
        <v>50</v>
      </c>
      <c r="M210" s="5" t="n">
        <v>2</v>
      </c>
      <c r="N210" s="5" t="n">
        <v>10</v>
      </c>
      <c r="O210" s="5" t="n">
        <v>2390</v>
      </c>
      <c r="P210" s="5" t="n">
        <v>1</v>
      </c>
      <c r="Q210">
        <f>L210+IF(M210&gt;1,N(N210)*(M210-1),0)</f>
        <v/>
      </c>
      <c r="R210">
        <f>IFERROR(K210*MAX(M210,1)/Q210*P210,0)</f>
        <v/>
      </c>
      <c r="AA210" s="6" t="inlineStr">
        <is>
          <t>^MediumFlameWeapon</t>
        </is>
      </c>
    </row>
    <row r="211">
      <c r="B211" s="6" t="inlineStr">
        <is>
          <t xml:space="preserve">  ↳ RA2RadBeamWeapon</t>
        </is>
      </c>
      <c r="C211" s="6" t="inlineStr">
        <is>
          <t>Armament@chem</t>
        </is>
      </c>
      <c r="K211" s="5" t="n">
        <v>30000</v>
      </c>
      <c r="L211" s="5" t="n">
        <v>45</v>
      </c>
      <c r="M211" s="5" t="n">
        <v>1</v>
      </c>
      <c r="N211" s="5" t="n"/>
      <c r="O211" s="5" t="n">
        <v>6444</v>
      </c>
      <c r="P211" s="5" t="n">
        <v>1</v>
      </c>
      <c r="Q211">
        <f>L211+IF(M211&gt;1,N(N211)*(M211-1),0)</f>
        <v/>
      </c>
      <c r="R211">
        <f>IFERROR(K211*MAX(M211,1)/Q211*P211,0)</f>
        <v/>
      </c>
      <c r="AA211" s="6" t="inlineStr">
        <is>
          <t>^MediumChemicalWeapon</t>
        </is>
      </c>
    </row>
    <row r="212">
      <c r="B212" s="6" t="inlineStr">
        <is>
          <t xml:space="preserve">  ↳ RA2RadBeamWeapon</t>
        </is>
      </c>
      <c r="C212" s="6" t="inlineStr">
        <is>
          <t>Armament@thrax</t>
        </is>
      </c>
      <c r="K212" s="5" t="n">
        <v>30000</v>
      </c>
      <c r="L212" s="5" t="n">
        <v>45</v>
      </c>
      <c r="M212" s="5" t="n">
        <v>1</v>
      </c>
      <c r="N212" s="5" t="n"/>
      <c r="O212" s="5" t="n">
        <v>6444</v>
      </c>
      <c r="P212" s="5" t="n">
        <v>1</v>
      </c>
      <c r="Q212">
        <f>L212+IF(M212&gt;1,N(N212)*(M212-1),0)</f>
        <v/>
      </c>
      <c r="R212">
        <f>IFERROR(K212*MAX(M212,1)/Q212*P212,0)</f>
        <v/>
      </c>
      <c r="AA212" s="6" t="inlineStr">
        <is>
          <t>^MediumChemicalWeapon</t>
        </is>
      </c>
    </row>
    <row r="213">
      <c r="B213" s="6" t="inlineStr">
        <is>
          <t xml:space="preserve">  ↳ RA2MultiHoverMissile</t>
        </is>
      </c>
      <c r="C213" s="6" t="inlineStr">
        <is>
          <t>Armament@missile</t>
        </is>
      </c>
      <c r="K213" s="5" t="n">
        <v>2000</v>
      </c>
      <c r="L213" s="5" t="n">
        <v>20</v>
      </c>
      <c r="M213" s="5" t="n">
        <v>4</v>
      </c>
      <c r="N213" s="5" t="n">
        <v>4</v>
      </c>
      <c r="O213" s="5" t="n">
        <v>6170</v>
      </c>
      <c r="P213" s="5" t="n">
        <v>1</v>
      </c>
      <c r="Q213">
        <f>L213+IF(M213&gt;1,N(N213)*(M213-1),0)</f>
        <v/>
      </c>
      <c r="R213">
        <f>IFERROR(K213*MAX(M213,1)/Q213*P213,0)</f>
        <v/>
      </c>
      <c r="AA213" s="6" t="inlineStr">
        <is>
          <t>^MediumCannon, ^MediumChemicalWeapon, ^ArrowWeapon, ^RA2LightMissile</t>
        </is>
      </c>
    </row>
    <row r="214">
      <c r="B214" s="6" t="inlineStr">
        <is>
          <t xml:space="preserve">  ↳ IFVChronoBeam</t>
        </is>
      </c>
      <c r="C214" s="6" t="inlineStr">
        <is>
          <t>Armament@chrono</t>
        </is>
      </c>
      <c r="K214" s="5" t="n"/>
      <c r="L214" s="5" t="n">
        <v>1</v>
      </c>
      <c r="M214" s="5" t="n">
        <v>1</v>
      </c>
      <c r="N214" s="5" t="n"/>
      <c r="O214" s="5" t="n">
        <v>7500</v>
      </c>
      <c r="P214" s="5" t="n">
        <v>1</v>
      </c>
      <c r="Q214">
        <f>L214+IF(M214&gt;1,N(N214)*(M214-1),0)</f>
        <v/>
      </c>
      <c r="R214">
        <f>IFERROR(K214*MAX(M214,1)/Q214*P214,0)</f>
        <v/>
      </c>
      <c r="AA214" s="6" t="inlineStr">
        <is>
          <t>ChronoBeam</t>
        </is>
      </c>
    </row>
    <row r="215">
      <c r="B215" s="6" t="inlineStr">
        <is>
          <t xml:space="preserve">  ↳ IFVChronoSound</t>
        </is>
      </c>
      <c r="C215" s="6" t="inlineStr">
        <is>
          <t>Armament@chronosound</t>
        </is>
      </c>
      <c r="K215" s="5" t="n"/>
      <c r="L215" s="5" t="n">
        <v>180</v>
      </c>
      <c r="M215" s="5" t="n">
        <v>1</v>
      </c>
      <c r="N215" s="5" t="n"/>
      <c r="O215" s="5" t="n">
        <v>8000</v>
      </c>
      <c r="P215" s="5" t="n">
        <v>1</v>
      </c>
      <c r="Q215">
        <f>L215+IF(M215&gt;1,N(N215)*(M215-1),0)</f>
        <v/>
      </c>
      <c r="R215">
        <f>IFERROR(K215*MAX(M215,1)/Q215*P215,0)</f>
        <v/>
      </c>
      <c r="AA215" s="6" t="inlineStr">
        <is>
          <t>RA2ChronoTele</t>
        </is>
      </c>
    </row>
    <row r="216">
      <c r="B216" s="6" t="inlineStr">
        <is>
          <t xml:space="preserve">  ↳ DemoTruckTargeting</t>
        </is>
      </c>
      <c r="C216" s="6" t="inlineStr">
        <is>
          <t>Armament@ivan</t>
        </is>
      </c>
      <c r="K216" s="5" t="n"/>
      <c r="L216" s="5" t="n"/>
      <c r="M216" s="5" t="n">
        <v>1</v>
      </c>
      <c r="N216" s="5" t="n"/>
      <c r="O216" s="5" t="n">
        <v>2000</v>
      </c>
      <c r="P216" s="5" t="n">
        <v>1</v>
      </c>
      <c r="Q216">
        <f>L216+IF(M216&gt;1,N(N216)*(M216-1),0)</f>
        <v/>
      </c>
      <c r="R216">
        <f>IFERROR(K216*MAX(M216,1)/Q216*P216,0)</f>
        <v/>
      </c>
      <c r="AA216" s="6" t="inlineStr"/>
    </row>
    <row r="217">
      <c r="B217" s="6" t="inlineStr">
        <is>
          <t xml:space="preserve">  ↳ Fremen_L</t>
        </is>
      </c>
      <c r="C217" s="6" t="inlineStr">
        <is>
          <t>Armament@fremen</t>
        </is>
      </c>
      <c r="K217" s="5" t="n">
        <v>3000</v>
      </c>
      <c r="L217" s="5" t="n">
        <v>25</v>
      </c>
      <c r="M217" s="5" t="n">
        <v>1</v>
      </c>
      <c r="N217" s="5" t="n"/>
      <c r="O217" s="5" t="n">
        <v>2560</v>
      </c>
      <c r="P217" s="5" t="n">
        <v>1</v>
      </c>
      <c r="Q217">
        <f>L217+IF(M217&gt;1,N(N217)*(M217-1),0)</f>
        <v/>
      </c>
      <c r="R217">
        <f>IFERROR(K217*MAX(M217,1)/Q217*P217,0)</f>
        <v/>
      </c>
      <c r="AA217" s="6" t="inlineStr">
        <is>
          <t>^MG</t>
        </is>
      </c>
    </row>
    <row r="218">
      <c r="B218" s="6" t="inlineStr">
        <is>
          <t xml:space="preserve">  ↳ TSSonicZap</t>
        </is>
      </c>
      <c r="C218" s="6" t="inlineStr">
        <is>
          <t>Armament@sonic</t>
        </is>
      </c>
      <c r="K218" s="5" t="n">
        <v>4000</v>
      </c>
      <c r="L218" s="5" t="n">
        <v>60</v>
      </c>
      <c r="M218" s="5" t="n">
        <v>1</v>
      </c>
      <c r="N218" s="5" t="n"/>
      <c r="O218" s="5" t="n">
        <v>6144</v>
      </c>
      <c r="P218" s="5" t="n">
        <v>1</v>
      </c>
      <c r="Q218">
        <f>L218+IF(M218&gt;1,N(N218)*(M218-1),0)</f>
        <v/>
      </c>
      <c r="R218">
        <f>IFERROR(K218*MAX(M218,1)/Q218*P218,0)</f>
        <v/>
      </c>
      <c r="AA218" s="6" t="inlineStr"/>
    </row>
    <row r="219">
      <c r="B219" s="6" t="inlineStr">
        <is>
          <t xml:space="preserve">  ↳ MedicHeal</t>
        </is>
      </c>
      <c r="C219" s="6" t="inlineStr">
        <is>
          <t>Armament@heal</t>
        </is>
      </c>
      <c r="K219" s="5" t="n">
        <v>-1</v>
      </c>
      <c r="L219" s="5" t="n">
        <v>10</v>
      </c>
      <c r="M219" s="5" t="n">
        <v>1</v>
      </c>
      <c r="N219" s="5" t="n"/>
      <c r="O219" s="5" t="n">
        <v>6000</v>
      </c>
      <c r="P219" s="5" t="n">
        <v>1</v>
      </c>
      <c r="Q219">
        <f>L219+IF(M219&gt;1,N(N219)*(M219-1),0)</f>
        <v/>
      </c>
      <c r="R219">
        <f>IFERROR(K219*MAX(M219,1)/Q219*P219,0)</f>
        <v/>
      </c>
      <c r="AA219" s="6" t="inlineStr">
        <is>
          <t>^HealingWeapon</t>
        </is>
      </c>
    </row>
    <row r="220">
      <c r="B220" s="6" t="inlineStr">
        <is>
          <t xml:space="preserve">  ↳ RA2HoverMissile</t>
        </is>
      </c>
      <c r="C220" s="6" t="inlineStr">
        <is>
          <t>Armament@primary</t>
        </is>
      </c>
      <c r="K220" s="5" t="n">
        <v>6000</v>
      </c>
      <c r="L220" s="5" t="n">
        <v>28</v>
      </c>
      <c r="M220" s="5" t="n">
        <v>2</v>
      </c>
      <c r="N220" s="5" t="n">
        <v>4</v>
      </c>
      <c r="O220" s="5" t="n">
        <v>5760</v>
      </c>
      <c r="P220" s="5" t="n">
        <v>1</v>
      </c>
      <c r="Q220">
        <f>L220+IF(M220&gt;1,N(N220)*(M220-1),0)</f>
        <v/>
      </c>
      <c r="R220">
        <f>IFERROR(K220*MAX(M220,1)/Q220*P220,0)</f>
        <v/>
      </c>
      <c r="AA220" s="6" t="inlineStr">
        <is>
          <t>^ArrowWeapon, ^RA2LightMissile</t>
        </is>
      </c>
    </row>
    <row r="221">
      <c r="B221" s="6" t="inlineStr">
        <is>
          <t xml:space="preserve">  ↳ RA2HoverMissile_elite</t>
        </is>
      </c>
      <c r="C221" s="6" t="inlineStr">
        <is>
          <t>Armament@primaryelite</t>
        </is>
      </c>
      <c r="K221" s="5" t="n">
        <v>6000</v>
      </c>
      <c r="L221" s="5" t="n">
        <v>28</v>
      </c>
      <c r="M221" s="5" t="n">
        <v>4</v>
      </c>
      <c r="N221" s="5" t="n">
        <v>4</v>
      </c>
      <c r="O221" s="5" t="n">
        <v>6760</v>
      </c>
      <c r="P221" s="5" t="n">
        <v>1</v>
      </c>
      <c r="Q221">
        <f>L221+IF(M221&gt;1,N(N221)*(M221-1),0)</f>
        <v/>
      </c>
      <c r="R221">
        <f>IFERROR(K221*MAX(M221,1)/Q221*P221,0)</f>
        <v/>
      </c>
      <c r="AA221" s="6" t="inlineStr">
        <is>
          <t>^ArrowWeapon, ^RA2LightMissile</t>
        </is>
      </c>
    </row>
    <row r="222">
      <c r="B222" s="6" t="inlineStr">
        <is>
          <t xml:space="preserve">  ↳ RA2HoverMissileAA</t>
        </is>
      </c>
      <c r="C222" s="6" t="inlineStr">
        <is>
          <t>Armament@primaryAA</t>
        </is>
      </c>
      <c r="K222" s="5" t="n">
        <v>6000</v>
      </c>
      <c r="L222" s="5" t="n">
        <v>28</v>
      </c>
      <c r="M222" s="5" t="n">
        <v>2</v>
      </c>
      <c r="N222" s="5" t="n">
        <v>4</v>
      </c>
      <c r="O222" s="5" t="n">
        <v>8640</v>
      </c>
      <c r="P222" s="5" t="n">
        <v>1</v>
      </c>
      <c r="Q222">
        <f>L222+IF(M222&gt;1,N(N222)*(M222-1),0)</f>
        <v/>
      </c>
      <c r="R222">
        <f>IFERROR(K222*MAX(M222,1)/Q222*P222,0)</f>
        <v/>
      </c>
      <c r="AA222" s="6" t="inlineStr">
        <is>
          <t>^ArrowWeapon, ^RA2LightMissile</t>
        </is>
      </c>
    </row>
    <row r="223">
      <c r="B223" s="6" t="inlineStr">
        <is>
          <t xml:space="preserve">  ↳ RA2HoverMissileAA_elite</t>
        </is>
      </c>
      <c r="C223" s="6" t="inlineStr">
        <is>
          <t>Armament@primaryeliteAA</t>
        </is>
      </c>
      <c r="K223" s="5" t="n">
        <v>6000</v>
      </c>
      <c r="L223" s="5" t="n">
        <v>28</v>
      </c>
      <c r="M223" s="5" t="n">
        <v>4</v>
      </c>
      <c r="N223" s="5" t="n">
        <v>4</v>
      </c>
      <c r="O223" s="5" t="n">
        <v>9640</v>
      </c>
      <c r="P223" s="5" t="n">
        <v>1</v>
      </c>
      <c r="Q223">
        <f>L223+IF(M223&gt;1,N(N223)*(M223-1),0)</f>
        <v/>
      </c>
      <c r="R223">
        <f>IFERROR(K223*MAX(M223,1)/Q223*P223,0)</f>
        <v/>
      </c>
      <c r="AA223" s="6" t="inlineStr">
        <is>
          <t>^ArrowWeapon, ^RA2LightMissile</t>
        </is>
      </c>
    </row>
    <row r="224">
      <c r="B224" s="6" t="inlineStr">
        <is>
          <t xml:space="preserve">  ↳ RA2ThunderboltMissile</t>
        </is>
      </c>
      <c r="C224" s="6" t="inlineStr">
        <is>
          <t>Armament@primaryThunderbolt</t>
        </is>
      </c>
      <c r="K224" s="5" t="n">
        <v>2000</v>
      </c>
      <c r="L224" s="5" t="n">
        <v>28</v>
      </c>
      <c r="M224" s="5" t="n">
        <v>2</v>
      </c>
      <c r="N224" s="5" t="n">
        <v>4</v>
      </c>
      <c r="O224" s="5" t="n">
        <v>5760</v>
      </c>
      <c r="P224" s="5" t="n">
        <v>1</v>
      </c>
      <c r="Q224">
        <f>L224+IF(M224&gt;1,N(N224)*(M224-1),0)</f>
        <v/>
      </c>
      <c r="R224">
        <f>IFERROR(K224*MAX(M224,1)/Q224*P224,0)</f>
        <v/>
      </c>
      <c r="AA224" s="6" t="inlineStr">
        <is>
          <t>^HeavyMissile, ^HeavyAAWeapon, ^MediumMissile, ^FlakWeapon, ^ArrowWeapon, ^RA2LightMissile</t>
        </is>
      </c>
    </row>
    <row r="225">
      <c r="B225" s="6" t="inlineStr">
        <is>
          <t xml:space="preserve">  ↳ RA2ThunderboltMissile_elite</t>
        </is>
      </c>
      <c r="C225" s="6" t="inlineStr">
        <is>
          <t>Armament@primaryeliteThunderbolt</t>
        </is>
      </c>
      <c r="K225" s="5" t="n">
        <v>2000</v>
      </c>
      <c r="L225" s="5" t="n">
        <v>28</v>
      </c>
      <c r="M225" s="5" t="n">
        <v>4</v>
      </c>
      <c r="N225" s="5" t="n">
        <v>4</v>
      </c>
      <c r="O225" s="5" t="n">
        <v>6760</v>
      </c>
      <c r="P225" s="5" t="n">
        <v>1</v>
      </c>
      <c r="Q225">
        <f>L225+IF(M225&gt;1,N(N225)*(M225-1),0)</f>
        <v/>
      </c>
      <c r="R225">
        <f>IFERROR(K225*MAX(M225,1)/Q225*P225,0)</f>
        <v/>
      </c>
      <c r="AA225" s="6" t="inlineStr">
        <is>
          <t>^HeavyMissile, ^HeavyAAWeapon, ^MediumMissile, ^FlakWeapon, ^ArrowWeapon, ^RA2LightMissile</t>
        </is>
      </c>
    </row>
    <row r="226">
      <c r="B226" s="6" t="inlineStr">
        <is>
          <t xml:space="preserve">  ↳ RA2ThunderboltMissileAA</t>
        </is>
      </c>
      <c r="C226" s="6" t="inlineStr">
        <is>
          <t>Armament@primaryAAThunderbolt</t>
        </is>
      </c>
      <c r="K226" s="5" t="n">
        <v>2000</v>
      </c>
      <c r="L226" s="5" t="n">
        <v>28</v>
      </c>
      <c r="M226" s="5" t="n">
        <v>2</v>
      </c>
      <c r="N226" s="5" t="n">
        <v>4</v>
      </c>
      <c r="O226" s="5" t="n">
        <v>8640</v>
      </c>
      <c r="P226" s="5" t="n">
        <v>1</v>
      </c>
      <c r="Q226">
        <f>L226+IF(M226&gt;1,N(N226)*(M226-1),0)</f>
        <v/>
      </c>
      <c r="R226">
        <f>IFERROR(K226*MAX(M226,1)/Q226*P226,0)</f>
        <v/>
      </c>
      <c r="AA226" s="6" t="inlineStr">
        <is>
          <t>^HeavyMissile, ^HeavyAAWeapon, ^MediumMissile, ^FlakWeapon, ^ArrowWeapon, ^RA2LightMissile</t>
        </is>
      </c>
    </row>
    <row r="227">
      <c r="B227" s="6" t="inlineStr">
        <is>
          <t xml:space="preserve">  ↳ RA2ThunderboltMissileAA_elite</t>
        </is>
      </c>
      <c r="C227" s="6" t="inlineStr">
        <is>
          <t>Armament@primaryeliteAAThunderbolt</t>
        </is>
      </c>
      <c r="K227" s="5" t="n">
        <v>2000</v>
      </c>
      <c r="L227" s="5" t="n">
        <v>28</v>
      </c>
      <c r="M227" s="5" t="n">
        <v>4</v>
      </c>
      <c r="N227" s="5" t="n">
        <v>4</v>
      </c>
      <c r="O227" s="5" t="n">
        <v>9640</v>
      </c>
      <c r="P227" s="5" t="n">
        <v>1</v>
      </c>
      <c r="Q227">
        <f>L227+IF(M227&gt;1,N(N227)*(M227-1),0)</f>
        <v/>
      </c>
      <c r="R227">
        <f>IFERROR(K227*MAX(M227,1)/Q227*P227,0)</f>
        <v/>
      </c>
      <c r="AA227" s="6" t="inlineStr">
        <is>
          <t>^HeavyMissile, ^HeavyAAWeapon, ^MediumMissile, ^FlakWeapon, ^ArrowWeapon, ^RA2LightMissile</t>
        </is>
      </c>
    </row>
    <row r="228">
      <c r="B228" s="6" t="inlineStr">
        <is>
          <t xml:space="preserve">  ↳ RA2MultiHoverMissile_elite</t>
        </is>
      </c>
      <c r="C228" s="6" t="inlineStr">
        <is>
          <t>Armament@missileelite</t>
        </is>
      </c>
      <c r="K228" s="5" t="n">
        <v>2000</v>
      </c>
      <c r="L228" s="5" t="n">
        <v>20</v>
      </c>
      <c r="M228" s="5" t="n">
        <v>4</v>
      </c>
      <c r="N228" s="5" t="n">
        <v>4</v>
      </c>
      <c r="O228" s="5" t="n">
        <v>7170</v>
      </c>
      <c r="P228" s="5" t="n">
        <v>1</v>
      </c>
      <c r="Q228">
        <f>L228+IF(M228&gt;1,N(N228)*(M228-1),0)</f>
        <v/>
      </c>
      <c r="R228">
        <f>IFERROR(K228*MAX(M228,1)/Q228*P228,0)</f>
        <v/>
      </c>
      <c r="AA228" s="6" t="inlineStr">
        <is>
          <t>^MediumCannon, ^MediumChemicalWeapon, ^ArrowWeapon, ^RA2LightMissile</t>
        </is>
      </c>
    </row>
    <row r="229">
      <c r="B229" s="6" t="inlineStr">
        <is>
          <t xml:space="preserve">  ↳ RA2MultiHoverMissileAA</t>
        </is>
      </c>
      <c r="C229" s="6" t="inlineStr">
        <is>
          <t>Armament@missileAA</t>
        </is>
      </c>
      <c r="K229" s="5" t="n">
        <v>2000</v>
      </c>
      <c r="L229" s="5" t="n">
        <v>20</v>
      </c>
      <c r="M229" s="5" t="n">
        <v>4</v>
      </c>
      <c r="N229" s="5" t="n">
        <v>4</v>
      </c>
      <c r="O229" s="5" t="n">
        <v>9255</v>
      </c>
      <c r="P229" s="5" t="n">
        <v>1</v>
      </c>
      <c r="Q229">
        <f>L229+IF(M229&gt;1,N(N229)*(M229-1),0)</f>
        <v/>
      </c>
      <c r="R229">
        <f>IFERROR(K229*MAX(M229,1)/Q229*P229,0)</f>
        <v/>
      </c>
      <c r="AA229" s="6" t="inlineStr">
        <is>
          <t>^MediumCannon, ^MediumChemicalWeapon, ^ArrowWeapon, ^RA2LightMissile</t>
        </is>
      </c>
    </row>
    <row r="230">
      <c r="B230" s="6" t="inlineStr">
        <is>
          <t xml:space="preserve">  ↳ RA2MultiHoverMissileAA_elite</t>
        </is>
      </c>
      <c r="C230" s="6" t="inlineStr">
        <is>
          <t>Armament@missileeliteAA</t>
        </is>
      </c>
      <c r="K230" s="5" t="n">
        <v>2000</v>
      </c>
      <c r="L230" s="5" t="n">
        <v>20</v>
      </c>
      <c r="M230" s="5" t="n">
        <v>4</v>
      </c>
      <c r="N230" s="5" t="n">
        <v>4</v>
      </c>
      <c r="O230" s="5" t="n">
        <v>10255</v>
      </c>
      <c r="P230" s="5" t="n">
        <v>1</v>
      </c>
      <c r="Q230">
        <f>L230+IF(M230&gt;1,N(N230)*(M230-1),0)</f>
        <v/>
      </c>
      <c r="R230">
        <f>IFERROR(K230*MAX(M230,1)/Q230*P230,0)</f>
        <v/>
      </c>
      <c r="AA230" s="6" t="inlineStr">
        <is>
          <t>^MediumCannon, ^MediumChemicalWeapon, ^ArrowWeapon, ^RA2LightMissile</t>
        </is>
      </c>
    </row>
    <row r="231">
      <c r="B231" s="6" t="inlineStr">
        <is>
          <t xml:space="preserve">  ↳ RA2MultiThunderboltMissile</t>
        </is>
      </c>
      <c r="C231" s="6" t="inlineStr">
        <is>
          <t>Armament@missileThunderbolt</t>
        </is>
      </c>
      <c r="K231" s="5" t="n">
        <v>2000</v>
      </c>
      <c r="L231" s="5" t="n">
        <v>20</v>
      </c>
      <c r="M231" s="5" t="n">
        <v>4</v>
      </c>
      <c r="N231" s="5" t="n">
        <v>4</v>
      </c>
      <c r="O231" s="5" t="n">
        <v>6170</v>
      </c>
      <c r="P231" s="5" t="n">
        <v>1</v>
      </c>
      <c r="Q231">
        <f>L231+IF(M231&gt;1,N(N231)*(M231-1),0)</f>
        <v/>
      </c>
      <c r="R231">
        <f>IFERROR(K231*MAX(M231,1)/Q231*P231,0)</f>
        <v/>
      </c>
      <c r="AA231" s="6" t="inlineStr">
        <is>
          <t>^HeavyMissile, ^HeavyAAWeapon, ^MediumMissile, ^FlakWeapon, ^MediumCannon, ^MediumChemicalWeapon, ^ArrowWeapon, ^RA2LightMissile</t>
        </is>
      </c>
    </row>
    <row r="232">
      <c r="B232" s="6" t="inlineStr">
        <is>
          <t xml:space="preserve">  ↳ RA2MultiThunderboltMissile_elite</t>
        </is>
      </c>
      <c r="C232" s="6" t="inlineStr">
        <is>
          <t>Armament@missileeliteThunderbolt</t>
        </is>
      </c>
      <c r="K232" s="5" t="n">
        <v>2000</v>
      </c>
      <c r="L232" s="5" t="n">
        <v>20</v>
      </c>
      <c r="M232" s="5" t="n">
        <v>4</v>
      </c>
      <c r="N232" s="5" t="n">
        <v>4</v>
      </c>
      <c r="O232" s="5" t="n">
        <v>7170</v>
      </c>
      <c r="P232" s="5" t="n">
        <v>1</v>
      </c>
      <c r="Q232">
        <f>L232+IF(M232&gt;1,N(N232)*(M232-1),0)</f>
        <v/>
      </c>
      <c r="R232">
        <f>IFERROR(K232*MAX(M232,1)/Q232*P232,0)</f>
        <v/>
      </c>
      <c r="AA232" s="6" t="inlineStr">
        <is>
          <t>^HeavyMissile, ^HeavyAAWeapon, ^MediumMissile, ^FlakWeapon, ^MediumCannon, ^MediumChemicalWeapon, ^ArrowWeapon, ^RA2LightMissile</t>
        </is>
      </c>
    </row>
    <row r="233">
      <c r="B233" s="6" t="inlineStr">
        <is>
          <t xml:space="preserve">  ↳ RA2MultiThunderboltMissileAA</t>
        </is>
      </c>
      <c r="C233" s="6" t="inlineStr">
        <is>
          <t>Armament@missileAAThunderbolt</t>
        </is>
      </c>
      <c r="K233" s="5" t="n">
        <v>2000</v>
      </c>
      <c r="L233" s="5" t="n">
        <v>20</v>
      </c>
      <c r="M233" s="5" t="n">
        <v>4</v>
      </c>
      <c r="N233" s="5" t="n">
        <v>4</v>
      </c>
      <c r="O233" s="5" t="n">
        <v>9255</v>
      </c>
      <c r="P233" s="5" t="n">
        <v>1</v>
      </c>
      <c r="Q233">
        <f>L233+IF(M233&gt;1,N(N233)*(M233-1),0)</f>
        <v/>
      </c>
      <c r="R233">
        <f>IFERROR(K233*MAX(M233,1)/Q233*P233,0)</f>
        <v/>
      </c>
      <c r="AA233" s="6" t="inlineStr">
        <is>
          <t>^HeavyMissile, ^HeavyAAWeapon, ^MediumMissile, ^FlakWeapon, ^MediumCannon, ^MediumChemicalWeapon, ^ArrowWeapon, ^RA2LightMissile</t>
        </is>
      </c>
    </row>
    <row r="234">
      <c r="B234" s="6" t="inlineStr">
        <is>
          <t xml:space="preserve">  ↳ RA2MultiThunderboltMissileAA_elite</t>
        </is>
      </c>
      <c r="C234" s="6" t="inlineStr">
        <is>
          <t>Armament@missileeliteAAThunderbolt</t>
        </is>
      </c>
      <c r="K234" s="5" t="n">
        <v>2000</v>
      </c>
      <c r="L234" s="5" t="n">
        <v>20</v>
      </c>
      <c r="M234" s="5" t="n">
        <v>4</v>
      </c>
      <c r="N234" s="5" t="n">
        <v>4</v>
      </c>
      <c r="O234" s="5" t="n">
        <v>10255</v>
      </c>
      <c r="P234" s="5" t="n">
        <v>1</v>
      </c>
      <c r="Q234">
        <f>L234+IF(M234&gt;1,N(N234)*(M234-1),0)</f>
        <v/>
      </c>
      <c r="R234">
        <f>IFERROR(K234*MAX(M234,1)/Q234*P234,0)</f>
        <v/>
      </c>
      <c r="AA234" s="6" t="inlineStr">
        <is>
          <t>^HeavyMissile, ^HeavyAAWeapon, ^MediumMissile, ^FlakWeapon, ^MediumCannon, ^MediumChemicalWeapon, ^ArrowWeapon, ^RA2LightMissile</t>
        </is>
      </c>
    </row>
    <row r="235">
      <c r="B235" s="6" t="inlineStr">
        <is>
          <t xml:space="preserve">  ↳ MedicHeal</t>
        </is>
      </c>
      <c r="C235" s="6" t="inlineStr">
        <is>
          <t>Armament@healer</t>
        </is>
      </c>
      <c r="K235" s="5" t="n">
        <v>-1</v>
      </c>
      <c r="L235" s="5" t="n">
        <v>10</v>
      </c>
      <c r="M235" s="5" t="n">
        <v>1</v>
      </c>
      <c r="N235" s="5" t="n"/>
      <c r="O235" s="5" t="n">
        <v>6000</v>
      </c>
      <c r="P235" s="5" t="n">
        <v>1</v>
      </c>
      <c r="Q235">
        <f>L235+IF(M235&gt;1,N(N235)*(M235-1),0)</f>
        <v/>
      </c>
      <c r="R235">
        <f>IFERROR(K235*MAX(M235,1)/Q235*P235,0)</f>
        <v/>
      </c>
      <c r="AA235" s="6" t="inlineStr">
        <is>
          <t>^HealingWeapon</t>
        </is>
      </c>
    </row>
    <row r="236">
      <c r="B236" s="6" t="inlineStr">
        <is>
          <t xml:space="preserve">  ↳ RA2AWP</t>
        </is>
      </c>
      <c r="C236" s="6" t="inlineStr">
        <is>
          <t>Armament@ra1_allies_alliedsniper</t>
        </is>
      </c>
      <c r="K236" s="5" t="n">
        <v>44000</v>
      </c>
      <c r="L236" s="5" t="n">
        <v>54</v>
      </c>
      <c r="M236" s="5" t="n">
        <v>1</v>
      </c>
      <c r="N236" s="5" t="n"/>
      <c r="O236" s="5" t="n">
        <v>10000</v>
      </c>
      <c r="P236" s="5" t="n">
        <v>1</v>
      </c>
      <c r="Q236">
        <f>L236+IF(M236&gt;1,N(N236)*(M236-1),0)</f>
        <v/>
      </c>
      <c r="R236">
        <f>IFERROR(K236*MAX(M236,1)/Q236*P236,0)</f>
        <v/>
      </c>
      <c r="AA236" s="6" t="inlineStr">
        <is>
          <t>^SniperWeapon</t>
        </is>
      </c>
    </row>
    <row r="237">
      <c r="A237" t="inlineStr">
        <is>
          <t>redalert2</t>
        </is>
      </c>
      <c r="B237" t="inlineStr">
        <is>
          <t>ra2_allies_ifv_missile</t>
        </is>
      </c>
      <c r="C237" t="inlineStr">
        <is>
          <t>actor_fv.name</t>
        </is>
      </c>
      <c r="D237" t="inlineStr"/>
      <c r="E237" s="5" t="n">
        <v>25000</v>
      </c>
      <c r="F237" s="5" t="n">
        <v>150</v>
      </c>
      <c r="G237" t="inlineStr">
        <is>
          <t>Scout</t>
        </is>
      </c>
      <c r="H237" s="5" t="n">
        <v>1</v>
      </c>
      <c r="I237" s="5" t="n">
        <v>1</v>
      </c>
      <c r="J237" s="5" t="n">
        <v>1</v>
      </c>
      <c r="O237">
        <f>MAX(O238,O239,O240,O241,O242,O243,O244,O245,O246,O247,O248,O249,O250,O251,O252,O253,O254,O255,O256,O257,O258,O259,O260,O261,O262,O263,O264,O265,O266,O267,O268,O269,O270,O271,O272,O273,O274,O275,O276,O277,O278,O279)</f>
        <v/>
      </c>
      <c r="R237">
        <f>R238+R239+R240+R241+R242+R243+R244+R245+R246+R247+R248+R249+R250+R251+R252+R253+R254+R255+R256+R257+R258+R259+R260+R261+R262+R263+R264+R265+R266+R267+R268+R269+R270+R271+R272+R273+R274+R275+R276+R277+R278+R279</f>
        <v/>
      </c>
      <c r="S237">
        <f>(E237/100000+F237/100+(O237/1000)*J237/5+R237/200)*200*I237*H237</f>
        <v/>
      </c>
      <c r="T237">
        <f>((E237*F237/25000)+((O237/1000)*J237*R237/2.5))*I237*H237</f>
        <v/>
      </c>
      <c r="U237">
        <f>(E237*F237*(O237/1000)*J237*R237*I237*H237)/12500000</f>
        <v/>
      </c>
      <c r="V237">
        <f>(S237+T237+U237)/3</f>
        <v/>
      </c>
      <c r="W237" s="5" t="n">
        <v>500</v>
      </c>
      <c r="X237">
        <f>IFERROR(V237-W237,"")</f>
        <v/>
      </c>
      <c r="Y237">
        <f>IFERROR(ABS(X237)/MAX(W237,1),"")</f>
        <v/>
      </c>
      <c r="Z237">
        <f>IFERROR((W237-(((E237/100000+F237/100+R237/200)*200*I237*H237)+((E237*F237/25000)*I237*H237))/3)/(((J237/5)*200*I237*H237)+((J237*R237/2.5)*I237*H237)+((E237*F237*J237*R237*I237*H237)/12500000))/3*1000,"")</f>
        <v/>
      </c>
    </row>
    <row r="238">
      <c r="B238" s="6" t="inlineStr">
        <is>
          <t xml:space="preserve">  ↳ RA2CRM60</t>
        </is>
      </c>
      <c r="C238" s="6" t="inlineStr">
        <is>
          <t>Armament@mg</t>
        </is>
      </c>
      <c r="K238" s="5" t="n">
        <v>2000</v>
      </c>
      <c r="L238" s="5" t="n">
        <v>14</v>
      </c>
      <c r="M238" s="5" t="n">
        <v>4</v>
      </c>
      <c r="N238" s="5" t="n">
        <v>2</v>
      </c>
      <c r="O238" s="5" t="n">
        <v>5660</v>
      </c>
      <c r="P238" s="5" t="n">
        <v>1</v>
      </c>
      <c r="Q238">
        <f>L238+IF(M238&gt;1,N(N238)*(M238-1),0)</f>
        <v/>
      </c>
      <c r="R238">
        <f>IFERROR(K238*MAX(M238,1)/Q238*P238,0)</f>
        <v/>
      </c>
      <c r="AA238" s="6" t="inlineStr">
        <is>
          <t>^RA2SmallArms, ^RA2Chaingun</t>
        </is>
      </c>
    </row>
    <row r="239">
      <c r="B239" s="6" t="inlineStr">
        <is>
          <t xml:space="preserve">  ↳ RA2CRM60H</t>
        </is>
      </c>
      <c r="C239" s="6" t="inlineStr">
        <is>
          <t>Armament@hmg</t>
        </is>
      </c>
      <c r="K239" s="5" t="n">
        <v>2000</v>
      </c>
      <c r="L239" s="5" t="n">
        <v>10</v>
      </c>
      <c r="M239" s="5" t="n">
        <v>6</v>
      </c>
      <c r="N239" s="5" t="n">
        <v>2</v>
      </c>
      <c r="O239" s="5" t="n">
        <v>4692</v>
      </c>
      <c r="P239" s="5" t="n">
        <v>1</v>
      </c>
      <c r="Q239">
        <f>L239+IF(M239&gt;1,N(N239)*(M239-1),0)</f>
        <v/>
      </c>
      <c r="R239">
        <f>IFERROR(K239*MAX(M239,1)/Q239*P239,0)</f>
        <v/>
      </c>
      <c r="AA239" s="6" t="inlineStr">
        <is>
          <t>^HeavyCannon, ^RA2Chaingun, ^SniperWeapon</t>
        </is>
      </c>
    </row>
    <row r="240">
      <c r="B240" s="6" t="inlineStr">
        <is>
          <t xml:space="preserve">  ↳ wc_tower_fire</t>
        </is>
      </c>
      <c r="C240" s="6" t="inlineStr">
        <is>
          <t>Armament@archer</t>
        </is>
      </c>
      <c r="K240" s="5" t="n">
        <v>2500</v>
      </c>
      <c r="L240" s="5" t="n">
        <v>40</v>
      </c>
      <c r="M240" s="5" t="n">
        <v>1</v>
      </c>
      <c r="N240" s="5" t="n"/>
      <c r="O240" s="5" t="n">
        <v>8704</v>
      </c>
      <c r="P240" s="5" t="n">
        <v>1</v>
      </c>
      <c r="Q240">
        <f>L240+IF(M240&gt;1,N(N240)*(M240-1),0)</f>
        <v/>
      </c>
      <c r="R240">
        <f>IFERROR(K240*MAX(M240,1)/Q240*P240,0)</f>
        <v/>
      </c>
      <c r="AA240" s="6" t="inlineStr">
        <is>
          <t>bowFire</t>
        </is>
      </c>
    </row>
    <row r="241">
      <c r="B241" s="6" t="inlineStr">
        <is>
          <t xml:space="preserve">  ↳ RA2IFVRepair</t>
        </is>
      </c>
      <c r="C241" s="6" t="inlineStr">
        <is>
          <t>Armament@repair</t>
        </is>
      </c>
      <c r="K241" s="5" t="n">
        <v>-1</v>
      </c>
      <c r="L241" s="5" t="n">
        <v>50</v>
      </c>
      <c r="M241" s="5" t="n">
        <v>10</v>
      </c>
      <c r="N241" s="5" t="n">
        <v>1</v>
      </c>
      <c r="O241" s="5" t="n">
        <v>5000</v>
      </c>
      <c r="P241" s="5" t="n">
        <v>1</v>
      </c>
      <c r="Q241">
        <f>L241+IF(M241&gt;1,N(N241)*(M241-1),0)</f>
        <v/>
      </c>
      <c r="R241">
        <f>IFERROR(K241*MAX(M241,1)/Q241*P241,0)</f>
        <v/>
      </c>
      <c r="AA241" s="6" t="inlineStr">
        <is>
          <t>^RepairWeapon</t>
        </is>
      </c>
    </row>
    <row r="242">
      <c r="B242" s="6" t="inlineStr">
        <is>
          <t xml:space="preserve">  ↳ LightSniper</t>
        </is>
      </c>
      <c r="C242" s="6" t="inlineStr">
        <is>
          <t>Armament@lightsniper</t>
        </is>
      </c>
      <c r="K242" s="5" t="n">
        <v>30000</v>
      </c>
      <c r="L242" s="5" t="n">
        <v>100</v>
      </c>
      <c r="M242" s="5" t="n">
        <v>1</v>
      </c>
      <c r="N242" s="5" t="n"/>
      <c r="O242" s="5" t="n">
        <v>9153</v>
      </c>
      <c r="P242" s="5" t="n">
        <v>1</v>
      </c>
      <c r="Q242">
        <f>L242+IF(M242&gt;1,N(N242)*(M242-1),0)</f>
        <v/>
      </c>
      <c r="R242">
        <f>IFERROR(K242*MAX(M242,1)/Q242*P242,0)</f>
        <v/>
      </c>
      <c r="AA242" s="6" t="inlineStr">
        <is>
          <t>^SniperWeapon</t>
        </is>
      </c>
    </row>
    <row r="243">
      <c r="B243" s="6" t="inlineStr">
        <is>
          <t xml:space="preserve">  ↳ RA2DoublePistolsIFV</t>
        </is>
      </c>
      <c r="C243" s="6" t="inlineStr">
        <is>
          <t>Armament@hero</t>
        </is>
      </c>
      <c r="K243" s="5" t="n">
        <v>14000</v>
      </c>
      <c r="L243" s="5" t="n">
        <v>12</v>
      </c>
      <c r="M243" s="5" t="n">
        <v>2</v>
      </c>
      <c r="N243" s="5" t="n">
        <v>3</v>
      </c>
      <c r="O243" s="5" t="n">
        <v>8000</v>
      </c>
      <c r="P243" s="5" t="n">
        <v>1</v>
      </c>
      <c r="Q243">
        <f>L243+IF(M243&gt;1,N(N243)*(M243-1),0)</f>
        <v/>
      </c>
      <c r="R243">
        <f>IFERROR(K243*MAX(M243,1)/Q243*P243,0)</f>
        <v/>
      </c>
      <c r="AA243" s="6" t="inlineStr">
        <is>
          <t>^SniperWeapon</t>
        </is>
      </c>
    </row>
    <row r="244">
      <c r="B244" s="6" t="inlineStr">
        <is>
          <t xml:space="preserve">  ↳ TTankZap</t>
        </is>
      </c>
      <c r="C244" s="6" t="inlineStr">
        <is>
          <t>Armament@tesla</t>
        </is>
      </c>
      <c r="K244" s="5" t="n">
        <v>40000</v>
      </c>
      <c r="L244" s="5" t="n">
        <v>80</v>
      </c>
      <c r="M244" s="5" t="n">
        <v>1</v>
      </c>
      <c r="N244" s="5" t="n"/>
      <c r="O244" s="5" t="n">
        <v>7300</v>
      </c>
      <c r="P244" s="5" t="n">
        <v>1</v>
      </c>
      <c r="Q244">
        <f>L244+IF(M244&gt;1,N(N244)*(M244-1),0)</f>
        <v/>
      </c>
      <c r="R244">
        <f>IFERROR(K244*MAX(M244,1)/Q244*P244,0)</f>
        <v/>
      </c>
      <c r="AA244" s="6" t="inlineStr">
        <is>
          <t>^TeslaWeapon</t>
        </is>
      </c>
    </row>
    <row r="245">
      <c r="B245" s="6" t="inlineStr">
        <is>
          <t xml:space="preserve">  ↳ DragunovSniper</t>
        </is>
      </c>
      <c r="C245" s="6" t="inlineStr">
        <is>
          <t>Armament@flak</t>
        </is>
      </c>
      <c r="K245" s="5" t="n">
        <v>8000</v>
      </c>
      <c r="L245" s="5" t="n">
        <v>85</v>
      </c>
      <c r="M245" s="5" t="n">
        <v>1</v>
      </c>
      <c r="N245" s="5" t="n"/>
      <c r="O245" s="5" t="n">
        <v>6880</v>
      </c>
      <c r="P245" s="5" t="n">
        <v>1</v>
      </c>
      <c r="Q245">
        <f>L245+IF(M245&gt;1,N(N245)*(M245-1),0)</f>
        <v/>
      </c>
      <c r="R245">
        <f>IFERROR(K245*MAX(M245,1)/Q245*P245,0)</f>
        <v/>
      </c>
      <c r="AA245" s="6" t="inlineStr">
        <is>
          <t>^TankDestroyerCannon, ^RailgunWeapon, ^LightMissile, ^HeavyCannon, ^FlakWeapon</t>
        </is>
      </c>
    </row>
    <row r="246">
      <c r="B246" s="6" t="inlineStr">
        <is>
          <t xml:space="preserve">  ↳ RA2MirageGun</t>
        </is>
      </c>
      <c r="C246" s="6" t="inlineStr">
        <is>
          <t>Armament@cannon</t>
        </is>
      </c>
      <c r="K246" s="5" t="n">
        <v>8000</v>
      </c>
      <c r="L246" s="5" t="n">
        <v>39</v>
      </c>
      <c r="M246" s="5" t="n">
        <v>1</v>
      </c>
      <c r="N246" s="5" t="n"/>
      <c r="O246" s="5" t="n">
        <v>6031</v>
      </c>
      <c r="P246" s="5" t="n">
        <v>1</v>
      </c>
      <c r="Q246">
        <f>L246+IF(M246&gt;1,N(N246)*(M246-1),0)</f>
        <v/>
      </c>
      <c r="R246">
        <f>IFERROR(K246*MAX(M246,1)/Q246*P246,0)</f>
        <v/>
      </c>
      <c r="AA246" s="6" t="inlineStr">
        <is>
          <t>^RailgunWeapon, ^MediumChemicalWeapon, ^RA2TankDestroyerCannon</t>
        </is>
      </c>
    </row>
    <row r="247">
      <c r="B247" s="6" t="inlineStr">
        <is>
          <t xml:space="preserve">  ↳ Grenade</t>
        </is>
      </c>
      <c r="C247" s="6" t="inlineStr">
        <is>
          <t>Armament@grenade</t>
        </is>
      </c>
      <c r="K247" s="5" t="n">
        <v>16000</v>
      </c>
      <c r="L247" s="5" t="n">
        <v>42</v>
      </c>
      <c r="M247" s="5" t="n">
        <v>1</v>
      </c>
      <c r="N247" s="5" t="n"/>
      <c r="O247" s="5" t="n">
        <v>6097</v>
      </c>
      <c r="P247" s="5" t="n">
        <v>1</v>
      </c>
      <c r="Q247">
        <f>L247+IF(M247&gt;1,N(N247)*(M247-1),0)</f>
        <v/>
      </c>
      <c r="R247">
        <f>IFERROR(K247*MAX(M247,1)/Q247*P247,0)</f>
        <v/>
      </c>
      <c r="AA247" s="6" t="inlineStr">
        <is>
          <t>^Grenade</t>
        </is>
      </c>
    </row>
    <row r="248">
      <c r="B248" s="6" t="inlineStr">
        <is>
          <t xml:space="preserve">  ↳ DRPlasmaTankWeapon</t>
        </is>
      </c>
      <c r="C248" s="6" t="inlineStr">
        <is>
          <t>Armament@plasma</t>
        </is>
      </c>
      <c r="K248" s="5" t="n">
        <v>3750</v>
      </c>
      <c r="L248" s="5" t="n">
        <v>21</v>
      </c>
      <c r="M248" s="5" t="n">
        <v>1</v>
      </c>
      <c r="N248" s="5" t="n"/>
      <c r="O248" s="5" t="n">
        <v>5120</v>
      </c>
      <c r="P248" s="5" t="n">
        <v>1</v>
      </c>
      <c r="Q248">
        <f>L248+IF(M248&gt;1,N(N248)*(M248-1),0)</f>
        <v/>
      </c>
      <c r="R248">
        <f>IFERROR(K248*MAX(M248,1)/Q248*P248,0)</f>
        <v/>
      </c>
      <c r="AA248" s="6" t="inlineStr">
        <is>
          <t>^DRPlasmaWeapon</t>
        </is>
      </c>
    </row>
    <row r="249">
      <c r="B249" s="6" t="inlineStr">
        <is>
          <t xml:space="preserve">  ↳ SWLaserG</t>
        </is>
      </c>
      <c r="C249" s="6" t="inlineStr">
        <is>
          <t>Armament@litlaser</t>
        </is>
      </c>
      <c r="K249" s="5" t="n">
        <v>2000</v>
      </c>
      <c r="L249" s="5" t="n">
        <v>30</v>
      </c>
      <c r="M249" s="5" t="n">
        <v>6</v>
      </c>
      <c r="N249" s="5" t="n"/>
      <c r="O249" s="5" t="n">
        <v>6144</v>
      </c>
      <c r="P249" s="5" t="n">
        <v>1</v>
      </c>
      <c r="Q249">
        <f>L249+IF(M249&gt;1,N(N249)*(M249-1),0)</f>
        <v/>
      </c>
      <c r="R249">
        <f>IFERROR(K249*MAX(M249,1)/Q249*P249,0)</f>
        <v/>
      </c>
      <c r="AA249" s="6" t="inlineStr">
        <is>
          <t>^LightMG</t>
        </is>
      </c>
    </row>
    <row r="250">
      <c r="B250" s="6" t="inlineStr">
        <is>
          <t xml:space="preserve">  ↳ USALaserCannonAG</t>
        </is>
      </c>
      <c r="C250" s="6" t="inlineStr">
        <is>
          <t>Armament@medlaser</t>
        </is>
      </c>
      <c r="K250" s="5" t="n">
        <v>4000</v>
      </c>
      <c r="L250" s="5" t="n">
        <v>50</v>
      </c>
      <c r="M250" s="5" t="n">
        <v>3</v>
      </c>
      <c r="N250" s="5" t="n">
        <v>6</v>
      </c>
      <c r="O250" s="5" t="n">
        <v>7168</v>
      </c>
      <c r="P250" s="5" t="n">
        <v>1</v>
      </c>
      <c r="Q250">
        <f>L250+IF(M250&gt;1,N(N250)*(M250-1),0)</f>
        <v/>
      </c>
      <c r="R250">
        <f>IFERROR(K250*MAX(M250,1)/Q250*P250,0)</f>
        <v/>
      </c>
      <c r="AA250" s="6" t="inlineStr">
        <is>
          <t>^AntiGroundMissile</t>
        </is>
      </c>
    </row>
    <row r="251">
      <c r="B251" s="6" t="inlineStr">
        <is>
          <t xml:space="preserve">  ↳ SWGreenLaserG</t>
        </is>
      </c>
      <c r="C251" s="6" t="inlineStr">
        <is>
          <t>Armament@greenlaser</t>
        </is>
      </c>
      <c r="K251" s="5" t="n">
        <v>5000</v>
      </c>
      <c r="L251" s="5" t="n">
        <v>75</v>
      </c>
      <c r="M251" s="5" t="n">
        <v>1</v>
      </c>
      <c r="N251" s="5" t="n"/>
      <c r="O251" s="5" t="n">
        <v>7168</v>
      </c>
      <c r="P251" s="5" t="n">
        <v>1</v>
      </c>
      <c r="Q251">
        <f>L251+IF(M251&gt;1,N(N251)*(M251-1),0)</f>
        <v/>
      </c>
      <c r="R251">
        <f>IFERROR(K251*MAX(M251,1)/Q251*P251,0)</f>
        <v/>
      </c>
      <c r="AA251" s="6" t="inlineStr">
        <is>
          <t>^MissileWeapon</t>
        </is>
      </c>
    </row>
    <row r="252">
      <c r="B252" s="6" t="inlineStr">
        <is>
          <t xml:space="preserve">  ↳ SWGBigRedLaserG</t>
        </is>
      </c>
      <c r="C252" s="6" t="inlineStr">
        <is>
          <t>Armament@misslaser</t>
        </is>
      </c>
      <c r="K252" s="5" t="n">
        <v>4000</v>
      </c>
      <c r="L252" s="5" t="n">
        <v>75</v>
      </c>
      <c r="M252" s="5" t="n">
        <v>1</v>
      </c>
      <c r="N252" s="5" t="n"/>
      <c r="O252" s="5" t="n">
        <v>8192</v>
      </c>
      <c r="P252" s="5" t="n">
        <v>1</v>
      </c>
      <c r="Q252">
        <f>L252+IF(M252&gt;1,N(N252)*(M252-1),0)</f>
        <v/>
      </c>
      <c r="R252">
        <f>IFERROR(K252*MAX(M252,1)/Q252*P252,0)</f>
        <v/>
      </c>
      <c r="AA252" s="6" t="inlineStr">
        <is>
          <t>^MissileWeapon</t>
        </is>
      </c>
    </row>
    <row r="253">
      <c r="B253" s="6" t="inlineStr">
        <is>
          <t xml:space="preserve">  ↳ BigFlamer</t>
        </is>
      </c>
      <c r="C253" s="6" t="inlineStr">
        <is>
          <t>Armament@fire</t>
        </is>
      </c>
      <c r="K253" s="5" t="n">
        <v>14000</v>
      </c>
      <c r="L253" s="5" t="n">
        <v>50</v>
      </c>
      <c r="M253" s="5" t="n">
        <v>2</v>
      </c>
      <c r="N253" s="5" t="n">
        <v>10</v>
      </c>
      <c r="O253" s="5" t="n">
        <v>2390</v>
      </c>
      <c r="P253" s="5" t="n">
        <v>1</v>
      </c>
      <c r="Q253">
        <f>L253+IF(M253&gt;1,N(N253)*(M253-1),0)</f>
        <v/>
      </c>
      <c r="R253">
        <f>IFERROR(K253*MAX(M253,1)/Q253*P253,0)</f>
        <v/>
      </c>
      <c r="AA253" s="6" t="inlineStr">
        <is>
          <t>^MediumFlameWeapon</t>
        </is>
      </c>
    </row>
    <row r="254">
      <c r="B254" s="6" t="inlineStr">
        <is>
          <t xml:space="preserve">  ↳ RA2RadBeamWeapon</t>
        </is>
      </c>
      <c r="C254" s="6" t="inlineStr">
        <is>
          <t>Armament@chem</t>
        </is>
      </c>
      <c r="K254" s="5" t="n">
        <v>30000</v>
      </c>
      <c r="L254" s="5" t="n">
        <v>45</v>
      </c>
      <c r="M254" s="5" t="n">
        <v>1</v>
      </c>
      <c r="N254" s="5" t="n"/>
      <c r="O254" s="5" t="n">
        <v>6444</v>
      </c>
      <c r="P254" s="5" t="n">
        <v>1</v>
      </c>
      <c r="Q254">
        <f>L254+IF(M254&gt;1,N(N254)*(M254-1),0)</f>
        <v/>
      </c>
      <c r="R254">
        <f>IFERROR(K254*MAX(M254,1)/Q254*P254,0)</f>
        <v/>
      </c>
      <c r="AA254" s="6" t="inlineStr">
        <is>
          <t>^MediumChemicalWeapon</t>
        </is>
      </c>
    </row>
    <row r="255">
      <c r="B255" s="6" t="inlineStr">
        <is>
          <t xml:space="preserve">  ↳ RA2RadBeamWeapon</t>
        </is>
      </c>
      <c r="C255" s="6" t="inlineStr">
        <is>
          <t>Armament@thrax</t>
        </is>
      </c>
      <c r="K255" s="5" t="n">
        <v>30000</v>
      </c>
      <c r="L255" s="5" t="n">
        <v>45</v>
      </c>
      <c r="M255" s="5" t="n">
        <v>1</v>
      </c>
      <c r="N255" s="5" t="n"/>
      <c r="O255" s="5" t="n">
        <v>6444</v>
      </c>
      <c r="P255" s="5" t="n">
        <v>1</v>
      </c>
      <c r="Q255">
        <f>L255+IF(M255&gt;1,N(N255)*(M255-1),0)</f>
        <v/>
      </c>
      <c r="R255">
        <f>IFERROR(K255*MAX(M255,1)/Q255*P255,0)</f>
        <v/>
      </c>
      <c r="AA255" s="6" t="inlineStr">
        <is>
          <t>^MediumChemicalWeapon</t>
        </is>
      </c>
    </row>
    <row r="256">
      <c r="B256" s="6" t="inlineStr">
        <is>
          <t xml:space="preserve">  ↳ RA2MultiHoverMissile</t>
        </is>
      </c>
      <c r="C256" s="6" t="inlineStr">
        <is>
          <t>Armament@missile</t>
        </is>
      </c>
      <c r="K256" s="5" t="n">
        <v>2000</v>
      </c>
      <c r="L256" s="5" t="n">
        <v>20</v>
      </c>
      <c r="M256" s="5" t="n">
        <v>4</v>
      </c>
      <c r="N256" s="5" t="n">
        <v>4</v>
      </c>
      <c r="O256" s="5" t="n">
        <v>6170</v>
      </c>
      <c r="P256" s="5" t="n">
        <v>1</v>
      </c>
      <c r="Q256">
        <f>L256+IF(M256&gt;1,N(N256)*(M256-1),0)</f>
        <v/>
      </c>
      <c r="R256">
        <f>IFERROR(K256*MAX(M256,1)/Q256*P256,0)</f>
        <v/>
      </c>
      <c r="AA256" s="6" t="inlineStr">
        <is>
          <t>^MediumCannon, ^MediumChemicalWeapon, ^ArrowWeapon, ^RA2LightMissile</t>
        </is>
      </c>
    </row>
    <row r="257">
      <c r="B257" s="6" t="inlineStr">
        <is>
          <t xml:space="preserve">  ↳ IFVChronoBeam</t>
        </is>
      </c>
      <c r="C257" s="6" t="inlineStr">
        <is>
          <t>Armament@chrono</t>
        </is>
      </c>
      <c r="K257" s="5" t="n"/>
      <c r="L257" s="5" t="n">
        <v>1</v>
      </c>
      <c r="M257" s="5" t="n">
        <v>1</v>
      </c>
      <c r="N257" s="5" t="n"/>
      <c r="O257" s="5" t="n">
        <v>7500</v>
      </c>
      <c r="P257" s="5" t="n">
        <v>1</v>
      </c>
      <c r="Q257">
        <f>L257+IF(M257&gt;1,N(N257)*(M257-1),0)</f>
        <v/>
      </c>
      <c r="R257">
        <f>IFERROR(K257*MAX(M257,1)/Q257*P257,0)</f>
        <v/>
      </c>
      <c r="AA257" s="6" t="inlineStr">
        <is>
          <t>ChronoBeam</t>
        </is>
      </c>
    </row>
    <row r="258">
      <c r="B258" s="6" t="inlineStr">
        <is>
          <t xml:space="preserve">  ↳ IFVChronoSound</t>
        </is>
      </c>
      <c r="C258" s="6" t="inlineStr">
        <is>
          <t>Armament@chronosound</t>
        </is>
      </c>
      <c r="K258" s="5" t="n"/>
      <c r="L258" s="5" t="n">
        <v>180</v>
      </c>
      <c r="M258" s="5" t="n">
        <v>1</v>
      </c>
      <c r="N258" s="5" t="n"/>
      <c r="O258" s="5" t="n">
        <v>8000</v>
      </c>
      <c r="P258" s="5" t="n">
        <v>1</v>
      </c>
      <c r="Q258">
        <f>L258+IF(M258&gt;1,N(N258)*(M258-1),0)</f>
        <v/>
      </c>
      <c r="R258">
        <f>IFERROR(K258*MAX(M258,1)/Q258*P258,0)</f>
        <v/>
      </c>
      <c r="AA258" s="6" t="inlineStr">
        <is>
          <t>RA2ChronoTele</t>
        </is>
      </c>
    </row>
    <row r="259">
      <c r="B259" s="6" t="inlineStr">
        <is>
          <t xml:space="preserve">  ↳ DemoTruckTargeting</t>
        </is>
      </c>
      <c r="C259" s="6" t="inlineStr">
        <is>
          <t>Armament@ivan</t>
        </is>
      </c>
      <c r="K259" s="5" t="n"/>
      <c r="L259" s="5" t="n"/>
      <c r="M259" s="5" t="n">
        <v>1</v>
      </c>
      <c r="N259" s="5" t="n"/>
      <c r="O259" s="5" t="n">
        <v>2000</v>
      </c>
      <c r="P259" s="5" t="n">
        <v>1</v>
      </c>
      <c r="Q259">
        <f>L259+IF(M259&gt;1,N(N259)*(M259-1),0)</f>
        <v/>
      </c>
      <c r="R259">
        <f>IFERROR(K259*MAX(M259,1)/Q259*P259,0)</f>
        <v/>
      </c>
      <c r="AA259" s="6" t="inlineStr"/>
    </row>
    <row r="260">
      <c r="B260" s="6" t="inlineStr">
        <is>
          <t xml:space="preserve">  ↳ Fremen_L</t>
        </is>
      </c>
      <c r="C260" s="6" t="inlineStr">
        <is>
          <t>Armament@fremen</t>
        </is>
      </c>
      <c r="K260" s="5" t="n">
        <v>3000</v>
      </c>
      <c r="L260" s="5" t="n">
        <v>25</v>
      </c>
      <c r="M260" s="5" t="n">
        <v>1</v>
      </c>
      <c r="N260" s="5" t="n"/>
      <c r="O260" s="5" t="n">
        <v>2560</v>
      </c>
      <c r="P260" s="5" t="n">
        <v>1</v>
      </c>
      <c r="Q260">
        <f>L260+IF(M260&gt;1,N(N260)*(M260-1),0)</f>
        <v/>
      </c>
      <c r="R260">
        <f>IFERROR(K260*MAX(M260,1)/Q260*P260,0)</f>
        <v/>
      </c>
      <c r="AA260" s="6" t="inlineStr">
        <is>
          <t>^MG</t>
        </is>
      </c>
    </row>
    <row r="261">
      <c r="B261" s="6" t="inlineStr">
        <is>
          <t xml:space="preserve">  ↳ TSSonicZap</t>
        </is>
      </c>
      <c r="C261" s="6" t="inlineStr">
        <is>
          <t>Armament@sonic</t>
        </is>
      </c>
      <c r="K261" s="5" t="n">
        <v>4000</v>
      </c>
      <c r="L261" s="5" t="n">
        <v>60</v>
      </c>
      <c r="M261" s="5" t="n">
        <v>1</v>
      </c>
      <c r="N261" s="5" t="n"/>
      <c r="O261" s="5" t="n">
        <v>6144</v>
      </c>
      <c r="P261" s="5" t="n">
        <v>1</v>
      </c>
      <c r="Q261">
        <f>L261+IF(M261&gt;1,N(N261)*(M261-1),0)</f>
        <v/>
      </c>
      <c r="R261">
        <f>IFERROR(K261*MAX(M261,1)/Q261*P261,0)</f>
        <v/>
      </c>
      <c r="AA261" s="6" t="inlineStr"/>
    </row>
    <row r="262">
      <c r="B262" s="6" t="inlineStr">
        <is>
          <t xml:space="preserve">  ↳ MedicHeal</t>
        </is>
      </c>
      <c r="C262" s="6" t="inlineStr">
        <is>
          <t>Armament@heal</t>
        </is>
      </c>
      <c r="K262" s="5" t="n">
        <v>-1</v>
      </c>
      <c r="L262" s="5" t="n">
        <v>10</v>
      </c>
      <c r="M262" s="5" t="n">
        <v>1</v>
      </c>
      <c r="N262" s="5" t="n"/>
      <c r="O262" s="5" t="n">
        <v>6000</v>
      </c>
      <c r="P262" s="5" t="n">
        <v>1</v>
      </c>
      <c r="Q262">
        <f>L262+IF(M262&gt;1,N(N262)*(M262-1),0)</f>
        <v/>
      </c>
      <c r="R262">
        <f>IFERROR(K262*MAX(M262,1)/Q262*P262,0)</f>
        <v/>
      </c>
      <c r="AA262" s="6" t="inlineStr">
        <is>
          <t>^HealingWeapon</t>
        </is>
      </c>
    </row>
    <row r="263">
      <c r="B263" s="6" t="inlineStr">
        <is>
          <t xml:space="preserve">  ↳ RA2HoverMissile</t>
        </is>
      </c>
      <c r="C263" s="6" t="inlineStr">
        <is>
          <t>Armament@primary</t>
        </is>
      </c>
      <c r="K263" s="5" t="n">
        <v>6000</v>
      </c>
      <c r="L263" s="5" t="n">
        <v>28</v>
      </c>
      <c r="M263" s="5" t="n">
        <v>2</v>
      </c>
      <c r="N263" s="5" t="n">
        <v>4</v>
      </c>
      <c r="O263" s="5" t="n">
        <v>5760</v>
      </c>
      <c r="P263" s="5" t="n">
        <v>1</v>
      </c>
      <c r="Q263">
        <f>L263+IF(M263&gt;1,N(N263)*(M263-1),0)</f>
        <v/>
      </c>
      <c r="R263">
        <f>IFERROR(K263*MAX(M263,1)/Q263*P263,0)</f>
        <v/>
      </c>
      <c r="AA263" s="6" t="inlineStr">
        <is>
          <t>^ArrowWeapon, ^RA2LightMissile</t>
        </is>
      </c>
    </row>
    <row r="264">
      <c r="B264" s="6" t="inlineStr">
        <is>
          <t xml:space="preserve">  ↳ RA2HoverMissile_elite</t>
        </is>
      </c>
      <c r="C264" s="6" t="inlineStr">
        <is>
          <t>Armament@primaryelite</t>
        </is>
      </c>
      <c r="K264" s="5" t="n">
        <v>6000</v>
      </c>
      <c r="L264" s="5" t="n">
        <v>28</v>
      </c>
      <c r="M264" s="5" t="n">
        <v>4</v>
      </c>
      <c r="N264" s="5" t="n">
        <v>4</v>
      </c>
      <c r="O264" s="5" t="n">
        <v>6760</v>
      </c>
      <c r="P264" s="5" t="n">
        <v>1</v>
      </c>
      <c r="Q264">
        <f>L264+IF(M264&gt;1,N(N264)*(M264-1),0)</f>
        <v/>
      </c>
      <c r="R264">
        <f>IFERROR(K264*MAX(M264,1)/Q264*P264,0)</f>
        <v/>
      </c>
      <c r="AA264" s="6" t="inlineStr">
        <is>
          <t>^ArrowWeapon, ^RA2LightMissile</t>
        </is>
      </c>
    </row>
    <row r="265">
      <c r="B265" s="6" t="inlineStr">
        <is>
          <t xml:space="preserve">  ↳ RA2HoverMissileAA</t>
        </is>
      </c>
      <c r="C265" s="6" t="inlineStr">
        <is>
          <t>Armament@primaryAA</t>
        </is>
      </c>
      <c r="K265" s="5" t="n">
        <v>6000</v>
      </c>
      <c r="L265" s="5" t="n">
        <v>28</v>
      </c>
      <c r="M265" s="5" t="n">
        <v>2</v>
      </c>
      <c r="N265" s="5" t="n">
        <v>4</v>
      </c>
      <c r="O265" s="5" t="n">
        <v>8640</v>
      </c>
      <c r="P265" s="5" t="n">
        <v>1</v>
      </c>
      <c r="Q265">
        <f>L265+IF(M265&gt;1,N(N265)*(M265-1),0)</f>
        <v/>
      </c>
      <c r="R265">
        <f>IFERROR(K265*MAX(M265,1)/Q265*P265,0)</f>
        <v/>
      </c>
      <c r="AA265" s="6" t="inlineStr">
        <is>
          <t>^ArrowWeapon, ^RA2LightMissile</t>
        </is>
      </c>
    </row>
    <row r="266">
      <c r="B266" s="6" t="inlineStr">
        <is>
          <t xml:space="preserve">  ↳ RA2HoverMissileAA_elite</t>
        </is>
      </c>
      <c r="C266" s="6" t="inlineStr">
        <is>
          <t>Armament@primaryeliteAA</t>
        </is>
      </c>
      <c r="K266" s="5" t="n">
        <v>6000</v>
      </c>
      <c r="L266" s="5" t="n">
        <v>28</v>
      </c>
      <c r="M266" s="5" t="n">
        <v>4</v>
      </c>
      <c r="N266" s="5" t="n">
        <v>4</v>
      </c>
      <c r="O266" s="5" t="n">
        <v>9640</v>
      </c>
      <c r="P266" s="5" t="n">
        <v>1</v>
      </c>
      <c r="Q266">
        <f>L266+IF(M266&gt;1,N(N266)*(M266-1),0)</f>
        <v/>
      </c>
      <c r="R266">
        <f>IFERROR(K266*MAX(M266,1)/Q266*P266,0)</f>
        <v/>
      </c>
      <c r="AA266" s="6" t="inlineStr">
        <is>
          <t>^ArrowWeapon, ^RA2LightMissile</t>
        </is>
      </c>
    </row>
    <row r="267">
      <c r="B267" s="6" t="inlineStr">
        <is>
          <t xml:space="preserve">  ↳ RA2ThunderboltMissile</t>
        </is>
      </c>
      <c r="C267" s="6" t="inlineStr">
        <is>
          <t>Armament@primaryThunderbolt</t>
        </is>
      </c>
      <c r="K267" s="5" t="n">
        <v>2000</v>
      </c>
      <c r="L267" s="5" t="n">
        <v>28</v>
      </c>
      <c r="M267" s="5" t="n">
        <v>2</v>
      </c>
      <c r="N267" s="5" t="n">
        <v>4</v>
      </c>
      <c r="O267" s="5" t="n">
        <v>5760</v>
      </c>
      <c r="P267" s="5" t="n">
        <v>1</v>
      </c>
      <c r="Q267">
        <f>L267+IF(M267&gt;1,N(N267)*(M267-1),0)</f>
        <v/>
      </c>
      <c r="R267">
        <f>IFERROR(K267*MAX(M267,1)/Q267*P267,0)</f>
        <v/>
      </c>
      <c r="AA267" s="6" t="inlineStr">
        <is>
          <t>^HeavyMissile, ^HeavyAAWeapon, ^MediumMissile, ^FlakWeapon, ^ArrowWeapon, ^RA2LightMissile</t>
        </is>
      </c>
    </row>
    <row r="268">
      <c r="B268" s="6" t="inlineStr">
        <is>
          <t xml:space="preserve">  ↳ RA2ThunderboltMissile_elite</t>
        </is>
      </c>
      <c r="C268" s="6" t="inlineStr">
        <is>
          <t>Armament@primaryeliteThunderbolt</t>
        </is>
      </c>
      <c r="K268" s="5" t="n">
        <v>2000</v>
      </c>
      <c r="L268" s="5" t="n">
        <v>28</v>
      </c>
      <c r="M268" s="5" t="n">
        <v>4</v>
      </c>
      <c r="N268" s="5" t="n">
        <v>4</v>
      </c>
      <c r="O268" s="5" t="n">
        <v>6760</v>
      </c>
      <c r="P268" s="5" t="n">
        <v>1</v>
      </c>
      <c r="Q268">
        <f>L268+IF(M268&gt;1,N(N268)*(M268-1),0)</f>
        <v/>
      </c>
      <c r="R268">
        <f>IFERROR(K268*MAX(M268,1)/Q268*P268,0)</f>
        <v/>
      </c>
      <c r="AA268" s="6" t="inlineStr">
        <is>
          <t>^HeavyMissile, ^HeavyAAWeapon, ^MediumMissile, ^FlakWeapon, ^ArrowWeapon, ^RA2LightMissile</t>
        </is>
      </c>
    </row>
    <row r="269">
      <c r="B269" s="6" t="inlineStr">
        <is>
          <t xml:space="preserve">  ↳ RA2ThunderboltMissileAA</t>
        </is>
      </c>
      <c r="C269" s="6" t="inlineStr">
        <is>
          <t>Armament@primaryAAThunderbolt</t>
        </is>
      </c>
      <c r="K269" s="5" t="n">
        <v>2000</v>
      </c>
      <c r="L269" s="5" t="n">
        <v>28</v>
      </c>
      <c r="M269" s="5" t="n">
        <v>2</v>
      </c>
      <c r="N269" s="5" t="n">
        <v>4</v>
      </c>
      <c r="O269" s="5" t="n">
        <v>8640</v>
      </c>
      <c r="P269" s="5" t="n">
        <v>1</v>
      </c>
      <c r="Q269">
        <f>L269+IF(M269&gt;1,N(N269)*(M269-1),0)</f>
        <v/>
      </c>
      <c r="R269">
        <f>IFERROR(K269*MAX(M269,1)/Q269*P269,0)</f>
        <v/>
      </c>
      <c r="AA269" s="6" t="inlineStr">
        <is>
          <t>^HeavyMissile, ^HeavyAAWeapon, ^MediumMissile, ^FlakWeapon, ^ArrowWeapon, ^RA2LightMissile</t>
        </is>
      </c>
    </row>
    <row r="270">
      <c r="B270" s="6" t="inlineStr">
        <is>
          <t xml:space="preserve">  ↳ RA2ThunderboltMissileAA_elite</t>
        </is>
      </c>
      <c r="C270" s="6" t="inlineStr">
        <is>
          <t>Armament@primaryeliteAAThunderbolt</t>
        </is>
      </c>
      <c r="K270" s="5" t="n">
        <v>2000</v>
      </c>
      <c r="L270" s="5" t="n">
        <v>28</v>
      </c>
      <c r="M270" s="5" t="n">
        <v>4</v>
      </c>
      <c r="N270" s="5" t="n">
        <v>4</v>
      </c>
      <c r="O270" s="5" t="n">
        <v>9640</v>
      </c>
      <c r="P270" s="5" t="n">
        <v>1</v>
      </c>
      <c r="Q270">
        <f>L270+IF(M270&gt;1,N(N270)*(M270-1),0)</f>
        <v/>
      </c>
      <c r="R270">
        <f>IFERROR(K270*MAX(M270,1)/Q270*P270,0)</f>
        <v/>
      </c>
      <c r="AA270" s="6" t="inlineStr">
        <is>
          <t>^HeavyMissile, ^HeavyAAWeapon, ^MediumMissile, ^FlakWeapon, ^ArrowWeapon, ^RA2LightMissile</t>
        </is>
      </c>
    </row>
    <row r="271">
      <c r="B271" s="6" t="inlineStr">
        <is>
          <t xml:space="preserve">  ↳ RA2MultiHoverMissile_elite</t>
        </is>
      </c>
      <c r="C271" s="6" t="inlineStr">
        <is>
          <t>Armament@missileelite</t>
        </is>
      </c>
      <c r="K271" s="5" t="n">
        <v>2000</v>
      </c>
      <c r="L271" s="5" t="n">
        <v>20</v>
      </c>
      <c r="M271" s="5" t="n">
        <v>4</v>
      </c>
      <c r="N271" s="5" t="n">
        <v>4</v>
      </c>
      <c r="O271" s="5" t="n">
        <v>7170</v>
      </c>
      <c r="P271" s="5" t="n">
        <v>1</v>
      </c>
      <c r="Q271">
        <f>L271+IF(M271&gt;1,N(N271)*(M271-1),0)</f>
        <v/>
      </c>
      <c r="R271">
        <f>IFERROR(K271*MAX(M271,1)/Q271*P271,0)</f>
        <v/>
      </c>
      <c r="AA271" s="6" t="inlineStr">
        <is>
          <t>^MediumCannon, ^MediumChemicalWeapon, ^ArrowWeapon, ^RA2LightMissile</t>
        </is>
      </c>
    </row>
    <row r="272">
      <c r="B272" s="6" t="inlineStr">
        <is>
          <t xml:space="preserve">  ↳ RA2MultiHoverMissileAA</t>
        </is>
      </c>
      <c r="C272" s="6" t="inlineStr">
        <is>
          <t>Armament@missileAA</t>
        </is>
      </c>
      <c r="K272" s="5" t="n">
        <v>2000</v>
      </c>
      <c r="L272" s="5" t="n">
        <v>20</v>
      </c>
      <c r="M272" s="5" t="n">
        <v>4</v>
      </c>
      <c r="N272" s="5" t="n">
        <v>4</v>
      </c>
      <c r="O272" s="5" t="n">
        <v>9255</v>
      </c>
      <c r="P272" s="5" t="n">
        <v>1</v>
      </c>
      <c r="Q272">
        <f>L272+IF(M272&gt;1,N(N272)*(M272-1),0)</f>
        <v/>
      </c>
      <c r="R272">
        <f>IFERROR(K272*MAX(M272,1)/Q272*P272,0)</f>
        <v/>
      </c>
      <c r="AA272" s="6" t="inlineStr">
        <is>
          <t>^MediumCannon, ^MediumChemicalWeapon, ^ArrowWeapon, ^RA2LightMissile</t>
        </is>
      </c>
    </row>
    <row r="273">
      <c r="B273" s="6" t="inlineStr">
        <is>
          <t xml:space="preserve">  ↳ RA2MultiHoverMissileAA_elite</t>
        </is>
      </c>
      <c r="C273" s="6" t="inlineStr">
        <is>
          <t>Armament@missileeliteAA</t>
        </is>
      </c>
      <c r="K273" s="5" t="n">
        <v>2000</v>
      </c>
      <c r="L273" s="5" t="n">
        <v>20</v>
      </c>
      <c r="M273" s="5" t="n">
        <v>4</v>
      </c>
      <c r="N273" s="5" t="n">
        <v>4</v>
      </c>
      <c r="O273" s="5" t="n">
        <v>10255</v>
      </c>
      <c r="P273" s="5" t="n">
        <v>1</v>
      </c>
      <c r="Q273">
        <f>L273+IF(M273&gt;1,N(N273)*(M273-1),0)</f>
        <v/>
      </c>
      <c r="R273">
        <f>IFERROR(K273*MAX(M273,1)/Q273*P273,0)</f>
        <v/>
      </c>
      <c r="AA273" s="6" t="inlineStr">
        <is>
          <t>^MediumCannon, ^MediumChemicalWeapon, ^ArrowWeapon, ^RA2LightMissile</t>
        </is>
      </c>
    </row>
    <row r="274">
      <c r="B274" s="6" t="inlineStr">
        <is>
          <t xml:space="preserve">  ↳ RA2MultiThunderboltMissile</t>
        </is>
      </c>
      <c r="C274" s="6" t="inlineStr">
        <is>
          <t>Armament@missileThunderbolt</t>
        </is>
      </c>
      <c r="K274" s="5" t="n">
        <v>2000</v>
      </c>
      <c r="L274" s="5" t="n">
        <v>20</v>
      </c>
      <c r="M274" s="5" t="n">
        <v>4</v>
      </c>
      <c r="N274" s="5" t="n">
        <v>4</v>
      </c>
      <c r="O274" s="5" t="n">
        <v>6170</v>
      </c>
      <c r="P274" s="5" t="n">
        <v>1</v>
      </c>
      <c r="Q274">
        <f>L274+IF(M274&gt;1,N(N274)*(M274-1),0)</f>
        <v/>
      </c>
      <c r="R274">
        <f>IFERROR(K274*MAX(M274,1)/Q274*P274,0)</f>
        <v/>
      </c>
      <c r="AA274" s="6" t="inlineStr">
        <is>
          <t>^HeavyMissile, ^HeavyAAWeapon, ^MediumMissile, ^FlakWeapon, ^MediumCannon, ^MediumChemicalWeapon, ^ArrowWeapon, ^RA2LightMissile</t>
        </is>
      </c>
    </row>
    <row r="275">
      <c r="B275" s="6" t="inlineStr">
        <is>
          <t xml:space="preserve">  ↳ RA2MultiThunderboltMissile_elite</t>
        </is>
      </c>
      <c r="C275" s="6" t="inlineStr">
        <is>
          <t>Armament@missileeliteThunderbolt</t>
        </is>
      </c>
      <c r="K275" s="5" t="n">
        <v>2000</v>
      </c>
      <c r="L275" s="5" t="n">
        <v>20</v>
      </c>
      <c r="M275" s="5" t="n">
        <v>4</v>
      </c>
      <c r="N275" s="5" t="n">
        <v>4</v>
      </c>
      <c r="O275" s="5" t="n">
        <v>7170</v>
      </c>
      <c r="P275" s="5" t="n">
        <v>1</v>
      </c>
      <c r="Q275">
        <f>L275+IF(M275&gt;1,N(N275)*(M275-1),0)</f>
        <v/>
      </c>
      <c r="R275">
        <f>IFERROR(K275*MAX(M275,1)/Q275*P275,0)</f>
        <v/>
      </c>
      <c r="AA275" s="6" t="inlineStr">
        <is>
          <t>^HeavyMissile, ^HeavyAAWeapon, ^MediumMissile, ^FlakWeapon, ^MediumCannon, ^MediumChemicalWeapon, ^ArrowWeapon, ^RA2LightMissile</t>
        </is>
      </c>
    </row>
    <row r="276">
      <c r="B276" s="6" t="inlineStr">
        <is>
          <t xml:space="preserve">  ↳ RA2MultiThunderboltMissileAA</t>
        </is>
      </c>
      <c r="C276" s="6" t="inlineStr">
        <is>
          <t>Armament@missileAAThunderbolt</t>
        </is>
      </c>
      <c r="K276" s="5" t="n">
        <v>2000</v>
      </c>
      <c r="L276" s="5" t="n">
        <v>20</v>
      </c>
      <c r="M276" s="5" t="n">
        <v>4</v>
      </c>
      <c r="N276" s="5" t="n">
        <v>4</v>
      </c>
      <c r="O276" s="5" t="n">
        <v>9255</v>
      </c>
      <c r="P276" s="5" t="n">
        <v>1</v>
      </c>
      <c r="Q276">
        <f>L276+IF(M276&gt;1,N(N276)*(M276-1),0)</f>
        <v/>
      </c>
      <c r="R276">
        <f>IFERROR(K276*MAX(M276,1)/Q276*P276,0)</f>
        <v/>
      </c>
      <c r="AA276" s="6" t="inlineStr">
        <is>
          <t>^HeavyMissile, ^HeavyAAWeapon, ^MediumMissile, ^FlakWeapon, ^MediumCannon, ^MediumChemicalWeapon, ^ArrowWeapon, ^RA2LightMissile</t>
        </is>
      </c>
    </row>
    <row r="277">
      <c r="B277" s="6" t="inlineStr">
        <is>
          <t xml:space="preserve">  ↳ RA2MultiThunderboltMissileAA_elite</t>
        </is>
      </c>
      <c r="C277" s="6" t="inlineStr">
        <is>
          <t>Armament@missileeliteAAThunderbolt</t>
        </is>
      </c>
      <c r="K277" s="5" t="n">
        <v>2000</v>
      </c>
      <c r="L277" s="5" t="n">
        <v>20</v>
      </c>
      <c r="M277" s="5" t="n">
        <v>4</v>
      </c>
      <c r="N277" s="5" t="n">
        <v>4</v>
      </c>
      <c r="O277" s="5" t="n">
        <v>10255</v>
      </c>
      <c r="P277" s="5" t="n">
        <v>1</v>
      </c>
      <c r="Q277">
        <f>L277+IF(M277&gt;1,N(N277)*(M277-1),0)</f>
        <v/>
      </c>
      <c r="R277">
        <f>IFERROR(K277*MAX(M277,1)/Q277*P277,0)</f>
        <v/>
      </c>
      <c r="AA277" s="6" t="inlineStr">
        <is>
          <t>^HeavyMissile, ^HeavyAAWeapon, ^MediumMissile, ^FlakWeapon, ^MediumCannon, ^MediumChemicalWeapon, ^ArrowWeapon, ^RA2LightMissile</t>
        </is>
      </c>
    </row>
    <row r="278">
      <c r="B278" s="6" t="inlineStr">
        <is>
          <t xml:space="preserve">  ↳ MedicHeal</t>
        </is>
      </c>
      <c r="C278" s="6" t="inlineStr">
        <is>
          <t>Armament@healer</t>
        </is>
      </c>
      <c r="K278" s="5" t="n">
        <v>-1</v>
      </c>
      <c r="L278" s="5" t="n">
        <v>10</v>
      </c>
      <c r="M278" s="5" t="n">
        <v>1</v>
      </c>
      <c r="N278" s="5" t="n"/>
      <c r="O278" s="5" t="n">
        <v>6000</v>
      </c>
      <c r="P278" s="5" t="n">
        <v>1</v>
      </c>
      <c r="Q278">
        <f>L278+IF(M278&gt;1,N(N278)*(M278-1),0)</f>
        <v/>
      </c>
      <c r="R278">
        <f>IFERROR(K278*MAX(M278,1)/Q278*P278,0)</f>
        <v/>
      </c>
      <c r="AA278" s="6" t="inlineStr">
        <is>
          <t>^HealingWeapon</t>
        </is>
      </c>
    </row>
    <row r="279">
      <c r="B279" s="6" t="inlineStr">
        <is>
          <t xml:space="preserve">  ↳ RA2AWP</t>
        </is>
      </c>
      <c r="C279" s="6" t="inlineStr">
        <is>
          <t>Armament@ra1_allies_alliedsniper</t>
        </is>
      </c>
      <c r="K279" s="5" t="n">
        <v>44000</v>
      </c>
      <c r="L279" s="5" t="n">
        <v>54</v>
      </c>
      <c r="M279" s="5" t="n">
        <v>1</v>
      </c>
      <c r="N279" s="5" t="n"/>
      <c r="O279" s="5" t="n">
        <v>10000</v>
      </c>
      <c r="P279" s="5" t="n">
        <v>1</v>
      </c>
      <c r="Q279">
        <f>L279+IF(M279&gt;1,N(N279)*(M279-1),0)</f>
        <v/>
      </c>
      <c r="R279">
        <f>IFERROR(K279*MAX(M279,1)/Q279*P279,0)</f>
        <v/>
      </c>
      <c r="AA279" s="6" t="inlineStr">
        <is>
          <t>^SniperWeapon</t>
        </is>
      </c>
    </row>
    <row r="280">
      <c r="A280" t="inlineStr">
        <is>
          <t>redalert2</t>
        </is>
      </c>
      <c r="B280" t="inlineStr">
        <is>
          <t>ra2_allies_ifv_repair</t>
        </is>
      </c>
      <c r="C280" t="inlineStr">
        <is>
          <t>actor_fv.name</t>
        </is>
      </c>
      <c r="D280" t="inlineStr"/>
      <c r="E280" s="5" t="n">
        <v>25000</v>
      </c>
      <c r="F280" s="5" t="n">
        <v>150</v>
      </c>
      <c r="G280" t="inlineStr">
        <is>
          <t>Scout</t>
        </is>
      </c>
      <c r="H280" s="5" t="n">
        <v>1</v>
      </c>
      <c r="I280" s="5" t="n">
        <v>1</v>
      </c>
      <c r="J280" s="5" t="n">
        <v>1</v>
      </c>
      <c r="O280">
        <f>MAX(O281,O282,O283,O284,O285,O286,O287,O288,O289,O290,O291,O292,O293,O294,O295,O296,O297,O298,O299,O300,O301,O302,O303,O304,O305,O306,O307,O308,O309,O310,O311,O312,O313,O314,O315,O316,O317,O318,O319,O320,O321,O322)</f>
        <v/>
      </c>
      <c r="R280">
        <f>R281+R282+R283+R284+R285+R286+R287+R288+R289+R290+R291+R292+R293+R294+R295+R296+R297+R298+R299+R300+R301+R302+R303+R304+R305+R306+R307+R308+R309+R310+R311+R312+R313+R314+R315+R316+R317+R318+R319+R320+R321+R322</f>
        <v/>
      </c>
      <c r="S280">
        <f>(E280/100000+F280/100+(O280/1000)*J280/5+R280/200)*200*I280*H280</f>
        <v/>
      </c>
      <c r="T280">
        <f>((E280*F280/25000)+((O280/1000)*J280*R280/2.5))*I280*H280</f>
        <v/>
      </c>
      <c r="U280">
        <f>(E280*F280*(O280/1000)*J280*R280*I280*H280)/12500000</f>
        <v/>
      </c>
      <c r="V280">
        <f>(S280+T280+U280)/3</f>
        <v/>
      </c>
      <c r="W280" s="5" t="n">
        <v>500</v>
      </c>
      <c r="X280">
        <f>IFERROR(V280-W280,"")</f>
        <v/>
      </c>
      <c r="Y280">
        <f>IFERROR(ABS(X280)/MAX(W280,1),"")</f>
        <v/>
      </c>
      <c r="Z280">
        <f>IFERROR((W280-(((E280/100000+F280/100+R280/200)*200*I280*H280)+((E280*F280/25000)*I280*H280))/3)/(((J280/5)*200*I280*H280)+((J280*R280/2.5)*I280*H280)+((E280*F280*J280*R280*I280*H280)/12500000))/3*1000,"")</f>
        <v/>
      </c>
    </row>
    <row r="281">
      <c r="B281" s="6" t="inlineStr">
        <is>
          <t xml:space="preserve">  ↳ RA2CRM60</t>
        </is>
      </c>
      <c r="C281" s="6" t="inlineStr">
        <is>
          <t>Armament@mg</t>
        </is>
      </c>
      <c r="K281" s="5" t="n">
        <v>2000</v>
      </c>
      <c r="L281" s="5" t="n">
        <v>14</v>
      </c>
      <c r="M281" s="5" t="n">
        <v>4</v>
      </c>
      <c r="N281" s="5" t="n">
        <v>2</v>
      </c>
      <c r="O281" s="5" t="n">
        <v>5660</v>
      </c>
      <c r="P281" s="5" t="n">
        <v>1</v>
      </c>
      <c r="Q281">
        <f>L281+IF(M281&gt;1,N(N281)*(M281-1),0)</f>
        <v/>
      </c>
      <c r="R281">
        <f>IFERROR(K281*MAX(M281,1)/Q281*P281,0)</f>
        <v/>
      </c>
      <c r="AA281" s="6" t="inlineStr">
        <is>
          <t>^RA2SmallArms, ^RA2Chaingun</t>
        </is>
      </c>
    </row>
    <row r="282">
      <c r="B282" s="6" t="inlineStr">
        <is>
          <t xml:space="preserve">  ↳ RA2CRM60H</t>
        </is>
      </c>
      <c r="C282" s="6" t="inlineStr">
        <is>
          <t>Armament@hmg</t>
        </is>
      </c>
      <c r="K282" s="5" t="n">
        <v>2000</v>
      </c>
      <c r="L282" s="5" t="n">
        <v>10</v>
      </c>
      <c r="M282" s="5" t="n">
        <v>6</v>
      </c>
      <c r="N282" s="5" t="n">
        <v>2</v>
      </c>
      <c r="O282" s="5" t="n">
        <v>4692</v>
      </c>
      <c r="P282" s="5" t="n">
        <v>1</v>
      </c>
      <c r="Q282">
        <f>L282+IF(M282&gt;1,N(N282)*(M282-1),0)</f>
        <v/>
      </c>
      <c r="R282">
        <f>IFERROR(K282*MAX(M282,1)/Q282*P282,0)</f>
        <v/>
      </c>
      <c r="AA282" s="6" t="inlineStr">
        <is>
          <t>^HeavyCannon, ^RA2Chaingun, ^SniperWeapon</t>
        </is>
      </c>
    </row>
    <row r="283">
      <c r="B283" s="6" t="inlineStr">
        <is>
          <t xml:space="preserve">  ↳ wc_tower_fire</t>
        </is>
      </c>
      <c r="C283" s="6" t="inlineStr">
        <is>
          <t>Armament@archer</t>
        </is>
      </c>
      <c r="K283" s="5" t="n">
        <v>2500</v>
      </c>
      <c r="L283" s="5" t="n">
        <v>40</v>
      </c>
      <c r="M283" s="5" t="n">
        <v>1</v>
      </c>
      <c r="N283" s="5" t="n"/>
      <c r="O283" s="5" t="n">
        <v>8704</v>
      </c>
      <c r="P283" s="5" t="n">
        <v>1</v>
      </c>
      <c r="Q283">
        <f>L283+IF(M283&gt;1,N(N283)*(M283-1),0)</f>
        <v/>
      </c>
      <c r="R283">
        <f>IFERROR(K283*MAX(M283,1)/Q283*P283,0)</f>
        <v/>
      </c>
      <c r="AA283" s="6" t="inlineStr">
        <is>
          <t>bowFire</t>
        </is>
      </c>
    </row>
    <row r="284">
      <c r="B284" s="6" t="inlineStr">
        <is>
          <t xml:space="preserve">  ↳ RA2IFVRepair</t>
        </is>
      </c>
      <c r="C284" s="6" t="inlineStr">
        <is>
          <t>Armament@repair</t>
        </is>
      </c>
      <c r="K284" s="5" t="n">
        <v>-1</v>
      </c>
      <c r="L284" s="5" t="n">
        <v>50</v>
      </c>
      <c r="M284" s="5" t="n">
        <v>10</v>
      </c>
      <c r="N284" s="5" t="n">
        <v>1</v>
      </c>
      <c r="O284" s="5" t="n">
        <v>5000</v>
      </c>
      <c r="P284" s="5" t="n">
        <v>1</v>
      </c>
      <c r="Q284">
        <f>L284+IF(M284&gt;1,N(N284)*(M284-1),0)</f>
        <v/>
      </c>
      <c r="R284">
        <f>IFERROR(K284*MAX(M284,1)/Q284*P284,0)</f>
        <v/>
      </c>
      <c r="AA284" s="6" t="inlineStr">
        <is>
          <t>^RepairWeapon</t>
        </is>
      </c>
    </row>
    <row r="285">
      <c r="B285" s="6" t="inlineStr">
        <is>
          <t xml:space="preserve">  ↳ LightSniper</t>
        </is>
      </c>
      <c r="C285" s="6" t="inlineStr">
        <is>
          <t>Armament@lightsniper</t>
        </is>
      </c>
      <c r="K285" s="5" t="n">
        <v>30000</v>
      </c>
      <c r="L285" s="5" t="n">
        <v>100</v>
      </c>
      <c r="M285" s="5" t="n">
        <v>1</v>
      </c>
      <c r="N285" s="5" t="n"/>
      <c r="O285" s="5" t="n">
        <v>9153</v>
      </c>
      <c r="P285" s="5" t="n">
        <v>1</v>
      </c>
      <c r="Q285">
        <f>L285+IF(M285&gt;1,N(N285)*(M285-1),0)</f>
        <v/>
      </c>
      <c r="R285">
        <f>IFERROR(K285*MAX(M285,1)/Q285*P285,0)</f>
        <v/>
      </c>
      <c r="AA285" s="6" t="inlineStr">
        <is>
          <t>^SniperWeapon</t>
        </is>
      </c>
    </row>
    <row r="286">
      <c r="B286" s="6" t="inlineStr">
        <is>
          <t xml:space="preserve">  ↳ RA2DoublePistolsIFV</t>
        </is>
      </c>
      <c r="C286" s="6" t="inlineStr">
        <is>
          <t>Armament@hero</t>
        </is>
      </c>
      <c r="K286" s="5" t="n">
        <v>14000</v>
      </c>
      <c r="L286" s="5" t="n">
        <v>12</v>
      </c>
      <c r="M286" s="5" t="n">
        <v>2</v>
      </c>
      <c r="N286" s="5" t="n">
        <v>3</v>
      </c>
      <c r="O286" s="5" t="n">
        <v>8000</v>
      </c>
      <c r="P286" s="5" t="n">
        <v>1</v>
      </c>
      <c r="Q286">
        <f>L286+IF(M286&gt;1,N(N286)*(M286-1),0)</f>
        <v/>
      </c>
      <c r="R286">
        <f>IFERROR(K286*MAX(M286,1)/Q286*P286,0)</f>
        <v/>
      </c>
      <c r="AA286" s="6" t="inlineStr">
        <is>
          <t>^SniperWeapon</t>
        </is>
      </c>
    </row>
    <row r="287">
      <c r="B287" s="6" t="inlineStr">
        <is>
          <t xml:space="preserve">  ↳ TTankZap</t>
        </is>
      </c>
      <c r="C287" s="6" t="inlineStr">
        <is>
          <t>Armament@tesla</t>
        </is>
      </c>
      <c r="K287" s="5" t="n">
        <v>40000</v>
      </c>
      <c r="L287" s="5" t="n">
        <v>80</v>
      </c>
      <c r="M287" s="5" t="n">
        <v>1</v>
      </c>
      <c r="N287" s="5" t="n"/>
      <c r="O287" s="5" t="n">
        <v>7300</v>
      </c>
      <c r="P287" s="5" t="n">
        <v>1</v>
      </c>
      <c r="Q287">
        <f>L287+IF(M287&gt;1,N(N287)*(M287-1),0)</f>
        <v/>
      </c>
      <c r="R287">
        <f>IFERROR(K287*MAX(M287,1)/Q287*P287,0)</f>
        <v/>
      </c>
      <c r="AA287" s="6" t="inlineStr">
        <is>
          <t>^TeslaWeapon</t>
        </is>
      </c>
    </row>
    <row r="288">
      <c r="B288" s="6" t="inlineStr">
        <is>
          <t xml:space="preserve">  ↳ DragunovSniper</t>
        </is>
      </c>
      <c r="C288" s="6" t="inlineStr">
        <is>
          <t>Armament@flak</t>
        </is>
      </c>
      <c r="K288" s="5" t="n">
        <v>8000</v>
      </c>
      <c r="L288" s="5" t="n">
        <v>85</v>
      </c>
      <c r="M288" s="5" t="n">
        <v>1</v>
      </c>
      <c r="N288" s="5" t="n"/>
      <c r="O288" s="5" t="n">
        <v>6880</v>
      </c>
      <c r="P288" s="5" t="n">
        <v>1</v>
      </c>
      <c r="Q288">
        <f>L288+IF(M288&gt;1,N(N288)*(M288-1),0)</f>
        <v/>
      </c>
      <c r="R288">
        <f>IFERROR(K288*MAX(M288,1)/Q288*P288,0)</f>
        <v/>
      </c>
      <c r="AA288" s="6" t="inlineStr">
        <is>
          <t>^TankDestroyerCannon, ^RailgunWeapon, ^LightMissile, ^HeavyCannon, ^FlakWeapon</t>
        </is>
      </c>
    </row>
    <row r="289">
      <c r="B289" s="6" t="inlineStr">
        <is>
          <t xml:space="preserve">  ↳ RA2MirageGun</t>
        </is>
      </c>
      <c r="C289" s="6" t="inlineStr">
        <is>
          <t>Armament@cannon</t>
        </is>
      </c>
      <c r="K289" s="5" t="n">
        <v>8000</v>
      </c>
      <c r="L289" s="5" t="n">
        <v>39</v>
      </c>
      <c r="M289" s="5" t="n">
        <v>1</v>
      </c>
      <c r="N289" s="5" t="n"/>
      <c r="O289" s="5" t="n">
        <v>6031</v>
      </c>
      <c r="P289" s="5" t="n">
        <v>1</v>
      </c>
      <c r="Q289">
        <f>L289+IF(M289&gt;1,N(N289)*(M289-1),0)</f>
        <v/>
      </c>
      <c r="R289">
        <f>IFERROR(K289*MAX(M289,1)/Q289*P289,0)</f>
        <v/>
      </c>
      <c r="AA289" s="6" t="inlineStr">
        <is>
          <t>^RailgunWeapon, ^MediumChemicalWeapon, ^RA2TankDestroyerCannon</t>
        </is>
      </c>
    </row>
    <row r="290">
      <c r="B290" s="6" t="inlineStr">
        <is>
          <t xml:space="preserve">  ↳ Grenade</t>
        </is>
      </c>
      <c r="C290" s="6" t="inlineStr">
        <is>
          <t>Armament@grenade</t>
        </is>
      </c>
      <c r="K290" s="5" t="n">
        <v>16000</v>
      </c>
      <c r="L290" s="5" t="n">
        <v>42</v>
      </c>
      <c r="M290" s="5" t="n">
        <v>1</v>
      </c>
      <c r="N290" s="5" t="n"/>
      <c r="O290" s="5" t="n">
        <v>6097</v>
      </c>
      <c r="P290" s="5" t="n">
        <v>1</v>
      </c>
      <c r="Q290">
        <f>L290+IF(M290&gt;1,N(N290)*(M290-1),0)</f>
        <v/>
      </c>
      <c r="R290">
        <f>IFERROR(K290*MAX(M290,1)/Q290*P290,0)</f>
        <v/>
      </c>
      <c r="AA290" s="6" t="inlineStr">
        <is>
          <t>^Grenade</t>
        </is>
      </c>
    </row>
    <row r="291">
      <c r="B291" s="6" t="inlineStr">
        <is>
          <t xml:space="preserve">  ↳ DRPlasmaTankWeapon</t>
        </is>
      </c>
      <c r="C291" s="6" t="inlineStr">
        <is>
          <t>Armament@plasma</t>
        </is>
      </c>
      <c r="K291" s="5" t="n">
        <v>3750</v>
      </c>
      <c r="L291" s="5" t="n">
        <v>21</v>
      </c>
      <c r="M291" s="5" t="n">
        <v>1</v>
      </c>
      <c r="N291" s="5" t="n"/>
      <c r="O291" s="5" t="n">
        <v>5120</v>
      </c>
      <c r="P291" s="5" t="n">
        <v>1</v>
      </c>
      <c r="Q291">
        <f>L291+IF(M291&gt;1,N(N291)*(M291-1),0)</f>
        <v/>
      </c>
      <c r="R291">
        <f>IFERROR(K291*MAX(M291,1)/Q291*P291,0)</f>
        <v/>
      </c>
      <c r="AA291" s="6" t="inlineStr">
        <is>
          <t>^DRPlasmaWeapon</t>
        </is>
      </c>
    </row>
    <row r="292">
      <c r="B292" s="6" t="inlineStr">
        <is>
          <t xml:space="preserve">  ↳ SWLaserG</t>
        </is>
      </c>
      <c r="C292" s="6" t="inlineStr">
        <is>
          <t>Armament@litlaser</t>
        </is>
      </c>
      <c r="K292" s="5" t="n">
        <v>2000</v>
      </c>
      <c r="L292" s="5" t="n">
        <v>30</v>
      </c>
      <c r="M292" s="5" t="n">
        <v>6</v>
      </c>
      <c r="N292" s="5" t="n"/>
      <c r="O292" s="5" t="n">
        <v>6144</v>
      </c>
      <c r="P292" s="5" t="n">
        <v>1</v>
      </c>
      <c r="Q292">
        <f>L292+IF(M292&gt;1,N(N292)*(M292-1),0)</f>
        <v/>
      </c>
      <c r="R292">
        <f>IFERROR(K292*MAX(M292,1)/Q292*P292,0)</f>
        <v/>
      </c>
      <c r="AA292" s="6" t="inlineStr">
        <is>
          <t>^LightMG</t>
        </is>
      </c>
    </row>
    <row r="293">
      <c r="B293" s="6" t="inlineStr">
        <is>
          <t xml:space="preserve">  ↳ USALaserCannonAG</t>
        </is>
      </c>
      <c r="C293" s="6" t="inlineStr">
        <is>
          <t>Armament@medlaser</t>
        </is>
      </c>
      <c r="K293" s="5" t="n">
        <v>4000</v>
      </c>
      <c r="L293" s="5" t="n">
        <v>50</v>
      </c>
      <c r="M293" s="5" t="n">
        <v>3</v>
      </c>
      <c r="N293" s="5" t="n">
        <v>6</v>
      </c>
      <c r="O293" s="5" t="n">
        <v>7168</v>
      </c>
      <c r="P293" s="5" t="n">
        <v>1</v>
      </c>
      <c r="Q293">
        <f>L293+IF(M293&gt;1,N(N293)*(M293-1),0)</f>
        <v/>
      </c>
      <c r="R293">
        <f>IFERROR(K293*MAX(M293,1)/Q293*P293,0)</f>
        <v/>
      </c>
      <c r="AA293" s="6" t="inlineStr">
        <is>
          <t>^AntiGroundMissile</t>
        </is>
      </c>
    </row>
    <row r="294">
      <c r="B294" s="6" t="inlineStr">
        <is>
          <t xml:space="preserve">  ↳ SWGreenLaserG</t>
        </is>
      </c>
      <c r="C294" s="6" t="inlineStr">
        <is>
          <t>Armament@greenlaser</t>
        </is>
      </c>
      <c r="K294" s="5" t="n">
        <v>5000</v>
      </c>
      <c r="L294" s="5" t="n">
        <v>75</v>
      </c>
      <c r="M294" s="5" t="n">
        <v>1</v>
      </c>
      <c r="N294" s="5" t="n"/>
      <c r="O294" s="5" t="n">
        <v>7168</v>
      </c>
      <c r="P294" s="5" t="n">
        <v>1</v>
      </c>
      <c r="Q294">
        <f>L294+IF(M294&gt;1,N(N294)*(M294-1),0)</f>
        <v/>
      </c>
      <c r="R294">
        <f>IFERROR(K294*MAX(M294,1)/Q294*P294,0)</f>
        <v/>
      </c>
      <c r="AA294" s="6" t="inlineStr">
        <is>
          <t>^MissileWeapon</t>
        </is>
      </c>
    </row>
    <row r="295">
      <c r="B295" s="6" t="inlineStr">
        <is>
          <t xml:space="preserve">  ↳ SWGBigRedLaserG</t>
        </is>
      </c>
      <c r="C295" s="6" t="inlineStr">
        <is>
          <t>Armament@misslaser</t>
        </is>
      </c>
      <c r="K295" s="5" t="n">
        <v>4000</v>
      </c>
      <c r="L295" s="5" t="n">
        <v>75</v>
      </c>
      <c r="M295" s="5" t="n">
        <v>1</v>
      </c>
      <c r="N295" s="5" t="n"/>
      <c r="O295" s="5" t="n">
        <v>8192</v>
      </c>
      <c r="P295" s="5" t="n">
        <v>1</v>
      </c>
      <c r="Q295">
        <f>L295+IF(M295&gt;1,N(N295)*(M295-1),0)</f>
        <v/>
      </c>
      <c r="R295">
        <f>IFERROR(K295*MAX(M295,1)/Q295*P295,0)</f>
        <v/>
      </c>
      <c r="AA295" s="6" t="inlineStr">
        <is>
          <t>^MissileWeapon</t>
        </is>
      </c>
    </row>
    <row r="296">
      <c r="B296" s="6" t="inlineStr">
        <is>
          <t xml:space="preserve">  ↳ BigFlamer</t>
        </is>
      </c>
      <c r="C296" s="6" t="inlineStr">
        <is>
          <t>Armament@fire</t>
        </is>
      </c>
      <c r="K296" s="5" t="n">
        <v>14000</v>
      </c>
      <c r="L296" s="5" t="n">
        <v>50</v>
      </c>
      <c r="M296" s="5" t="n">
        <v>2</v>
      </c>
      <c r="N296" s="5" t="n">
        <v>10</v>
      </c>
      <c r="O296" s="5" t="n">
        <v>2390</v>
      </c>
      <c r="P296" s="5" t="n">
        <v>1</v>
      </c>
      <c r="Q296">
        <f>L296+IF(M296&gt;1,N(N296)*(M296-1),0)</f>
        <v/>
      </c>
      <c r="R296">
        <f>IFERROR(K296*MAX(M296,1)/Q296*P296,0)</f>
        <v/>
      </c>
      <c r="AA296" s="6" t="inlineStr">
        <is>
          <t>^MediumFlameWeapon</t>
        </is>
      </c>
    </row>
    <row r="297">
      <c r="B297" s="6" t="inlineStr">
        <is>
          <t xml:space="preserve">  ↳ RA2RadBeamWeapon</t>
        </is>
      </c>
      <c r="C297" s="6" t="inlineStr">
        <is>
          <t>Armament@chem</t>
        </is>
      </c>
      <c r="K297" s="5" t="n">
        <v>30000</v>
      </c>
      <c r="L297" s="5" t="n">
        <v>45</v>
      </c>
      <c r="M297" s="5" t="n">
        <v>1</v>
      </c>
      <c r="N297" s="5" t="n"/>
      <c r="O297" s="5" t="n">
        <v>6444</v>
      </c>
      <c r="P297" s="5" t="n">
        <v>1</v>
      </c>
      <c r="Q297">
        <f>L297+IF(M297&gt;1,N(N297)*(M297-1),0)</f>
        <v/>
      </c>
      <c r="R297">
        <f>IFERROR(K297*MAX(M297,1)/Q297*P297,0)</f>
        <v/>
      </c>
      <c r="AA297" s="6" t="inlineStr">
        <is>
          <t>^MediumChemicalWeapon</t>
        </is>
      </c>
    </row>
    <row r="298">
      <c r="B298" s="6" t="inlineStr">
        <is>
          <t xml:space="preserve">  ↳ RA2RadBeamWeapon</t>
        </is>
      </c>
      <c r="C298" s="6" t="inlineStr">
        <is>
          <t>Armament@thrax</t>
        </is>
      </c>
      <c r="K298" s="5" t="n">
        <v>30000</v>
      </c>
      <c r="L298" s="5" t="n">
        <v>45</v>
      </c>
      <c r="M298" s="5" t="n">
        <v>1</v>
      </c>
      <c r="N298" s="5" t="n"/>
      <c r="O298" s="5" t="n">
        <v>6444</v>
      </c>
      <c r="P298" s="5" t="n">
        <v>1</v>
      </c>
      <c r="Q298">
        <f>L298+IF(M298&gt;1,N(N298)*(M298-1),0)</f>
        <v/>
      </c>
      <c r="R298">
        <f>IFERROR(K298*MAX(M298,1)/Q298*P298,0)</f>
        <v/>
      </c>
      <c r="AA298" s="6" t="inlineStr">
        <is>
          <t>^MediumChemicalWeapon</t>
        </is>
      </c>
    </row>
    <row r="299">
      <c r="B299" s="6" t="inlineStr">
        <is>
          <t xml:space="preserve">  ↳ RA2MultiHoverMissile</t>
        </is>
      </c>
      <c r="C299" s="6" t="inlineStr">
        <is>
          <t>Armament@missile</t>
        </is>
      </c>
      <c r="K299" s="5" t="n">
        <v>2000</v>
      </c>
      <c r="L299" s="5" t="n">
        <v>20</v>
      </c>
      <c r="M299" s="5" t="n">
        <v>4</v>
      </c>
      <c r="N299" s="5" t="n">
        <v>4</v>
      </c>
      <c r="O299" s="5" t="n">
        <v>6170</v>
      </c>
      <c r="P299" s="5" t="n">
        <v>1</v>
      </c>
      <c r="Q299">
        <f>L299+IF(M299&gt;1,N(N299)*(M299-1),0)</f>
        <v/>
      </c>
      <c r="R299">
        <f>IFERROR(K299*MAX(M299,1)/Q299*P299,0)</f>
        <v/>
      </c>
      <c r="AA299" s="6" t="inlineStr">
        <is>
          <t>^MediumCannon, ^MediumChemicalWeapon, ^ArrowWeapon, ^RA2LightMissile</t>
        </is>
      </c>
    </row>
    <row r="300">
      <c r="B300" s="6" t="inlineStr">
        <is>
          <t xml:space="preserve">  ↳ IFVChronoBeam</t>
        </is>
      </c>
      <c r="C300" s="6" t="inlineStr">
        <is>
          <t>Armament@chrono</t>
        </is>
      </c>
      <c r="K300" s="5" t="n"/>
      <c r="L300" s="5" t="n">
        <v>1</v>
      </c>
      <c r="M300" s="5" t="n">
        <v>1</v>
      </c>
      <c r="N300" s="5" t="n"/>
      <c r="O300" s="5" t="n">
        <v>7500</v>
      </c>
      <c r="P300" s="5" t="n">
        <v>1</v>
      </c>
      <c r="Q300">
        <f>L300+IF(M300&gt;1,N(N300)*(M300-1),0)</f>
        <v/>
      </c>
      <c r="R300">
        <f>IFERROR(K300*MAX(M300,1)/Q300*P300,0)</f>
        <v/>
      </c>
      <c r="AA300" s="6" t="inlineStr">
        <is>
          <t>ChronoBeam</t>
        </is>
      </c>
    </row>
    <row r="301">
      <c r="B301" s="6" t="inlineStr">
        <is>
          <t xml:space="preserve">  ↳ IFVChronoSound</t>
        </is>
      </c>
      <c r="C301" s="6" t="inlineStr">
        <is>
          <t>Armament@chronosound</t>
        </is>
      </c>
      <c r="K301" s="5" t="n"/>
      <c r="L301" s="5" t="n">
        <v>180</v>
      </c>
      <c r="M301" s="5" t="n">
        <v>1</v>
      </c>
      <c r="N301" s="5" t="n"/>
      <c r="O301" s="5" t="n">
        <v>8000</v>
      </c>
      <c r="P301" s="5" t="n">
        <v>1</v>
      </c>
      <c r="Q301">
        <f>L301+IF(M301&gt;1,N(N301)*(M301-1),0)</f>
        <v/>
      </c>
      <c r="R301">
        <f>IFERROR(K301*MAX(M301,1)/Q301*P301,0)</f>
        <v/>
      </c>
      <c r="AA301" s="6" t="inlineStr">
        <is>
          <t>RA2ChronoTele</t>
        </is>
      </c>
    </row>
    <row r="302">
      <c r="B302" s="6" t="inlineStr">
        <is>
          <t xml:space="preserve">  ↳ DemoTruckTargeting</t>
        </is>
      </c>
      <c r="C302" s="6" t="inlineStr">
        <is>
          <t>Armament@ivan</t>
        </is>
      </c>
      <c r="K302" s="5" t="n"/>
      <c r="L302" s="5" t="n"/>
      <c r="M302" s="5" t="n">
        <v>1</v>
      </c>
      <c r="N302" s="5" t="n"/>
      <c r="O302" s="5" t="n">
        <v>2000</v>
      </c>
      <c r="P302" s="5" t="n">
        <v>1</v>
      </c>
      <c r="Q302">
        <f>L302+IF(M302&gt;1,N(N302)*(M302-1),0)</f>
        <v/>
      </c>
      <c r="R302">
        <f>IFERROR(K302*MAX(M302,1)/Q302*P302,0)</f>
        <v/>
      </c>
      <c r="AA302" s="6" t="inlineStr"/>
    </row>
    <row r="303">
      <c r="B303" s="6" t="inlineStr">
        <is>
          <t xml:space="preserve">  ↳ Fremen_L</t>
        </is>
      </c>
      <c r="C303" s="6" t="inlineStr">
        <is>
          <t>Armament@fremen</t>
        </is>
      </c>
      <c r="K303" s="5" t="n">
        <v>3000</v>
      </c>
      <c r="L303" s="5" t="n">
        <v>25</v>
      </c>
      <c r="M303" s="5" t="n">
        <v>1</v>
      </c>
      <c r="N303" s="5" t="n"/>
      <c r="O303" s="5" t="n">
        <v>2560</v>
      </c>
      <c r="P303" s="5" t="n">
        <v>1</v>
      </c>
      <c r="Q303">
        <f>L303+IF(M303&gt;1,N(N303)*(M303-1),0)</f>
        <v/>
      </c>
      <c r="R303">
        <f>IFERROR(K303*MAX(M303,1)/Q303*P303,0)</f>
        <v/>
      </c>
      <c r="AA303" s="6" t="inlineStr">
        <is>
          <t>^MG</t>
        </is>
      </c>
    </row>
    <row r="304">
      <c r="B304" s="6" t="inlineStr">
        <is>
          <t xml:space="preserve">  ↳ TSSonicZap</t>
        </is>
      </c>
      <c r="C304" s="6" t="inlineStr">
        <is>
          <t>Armament@sonic</t>
        </is>
      </c>
      <c r="K304" s="5" t="n">
        <v>4000</v>
      </c>
      <c r="L304" s="5" t="n">
        <v>60</v>
      </c>
      <c r="M304" s="5" t="n">
        <v>1</v>
      </c>
      <c r="N304" s="5" t="n"/>
      <c r="O304" s="5" t="n">
        <v>6144</v>
      </c>
      <c r="P304" s="5" t="n">
        <v>1</v>
      </c>
      <c r="Q304">
        <f>L304+IF(M304&gt;1,N(N304)*(M304-1),0)</f>
        <v/>
      </c>
      <c r="R304">
        <f>IFERROR(K304*MAX(M304,1)/Q304*P304,0)</f>
        <v/>
      </c>
      <c r="AA304" s="6" t="inlineStr"/>
    </row>
    <row r="305">
      <c r="B305" s="6" t="inlineStr">
        <is>
          <t xml:space="preserve">  ↳ MedicHeal</t>
        </is>
      </c>
      <c r="C305" s="6" t="inlineStr">
        <is>
          <t>Armament@heal</t>
        </is>
      </c>
      <c r="K305" s="5" t="n">
        <v>-1</v>
      </c>
      <c r="L305" s="5" t="n">
        <v>10</v>
      </c>
      <c r="M305" s="5" t="n">
        <v>1</v>
      </c>
      <c r="N305" s="5" t="n"/>
      <c r="O305" s="5" t="n">
        <v>6000</v>
      </c>
      <c r="P305" s="5" t="n">
        <v>1</v>
      </c>
      <c r="Q305">
        <f>L305+IF(M305&gt;1,N(N305)*(M305-1),0)</f>
        <v/>
      </c>
      <c r="R305">
        <f>IFERROR(K305*MAX(M305,1)/Q305*P305,0)</f>
        <v/>
      </c>
      <c r="AA305" s="6" t="inlineStr">
        <is>
          <t>^HealingWeapon</t>
        </is>
      </c>
    </row>
    <row r="306">
      <c r="B306" s="6" t="inlineStr">
        <is>
          <t xml:space="preserve">  ↳ RA2HoverMissile</t>
        </is>
      </c>
      <c r="C306" s="6" t="inlineStr">
        <is>
          <t>Armament@primary</t>
        </is>
      </c>
      <c r="K306" s="5" t="n">
        <v>6000</v>
      </c>
      <c r="L306" s="5" t="n">
        <v>28</v>
      </c>
      <c r="M306" s="5" t="n">
        <v>2</v>
      </c>
      <c r="N306" s="5" t="n">
        <v>4</v>
      </c>
      <c r="O306" s="5" t="n">
        <v>5760</v>
      </c>
      <c r="P306" s="5" t="n">
        <v>1</v>
      </c>
      <c r="Q306">
        <f>L306+IF(M306&gt;1,N(N306)*(M306-1),0)</f>
        <v/>
      </c>
      <c r="R306">
        <f>IFERROR(K306*MAX(M306,1)/Q306*P306,0)</f>
        <v/>
      </c>
      <c r="AA306" s="6" t="inlineStr">
        <is>
          <t>^ArrowWeapon, ^RA2LightMissile</t>
        </is>
      </c>
    </row>
    <row r="307">
      <c r="B307" s="6" t="inlineStr">
        <is>
          <t xml:space="preserve">  ↳ RA2HoverMissile_elite</t>
        </is>
      </c>
      <c r="C307" s="6" t="inlineStr">
        <is>
          <t>Armament@primaryelite</t>
        </is>
      </c>
      <c r="K307" s="5" t="n">
        <v>6000</v>
      </c>
      <c r="L307" s="5" t="n">
        <v>28</v>
      </c>
      <c r="M307" s="5" t="n">
        <v>4</v>
      </c>
      <c r="N307" s="5" t="n">
        <v>4</v>
      </c>
      <c r="O307" s="5" t="n">
        <v>6760</v>
      </c>
      <c r="P307" s="5" t="n">
        <v>1</v>
      </c>
      <c r="Q307">
        <f>L307+IF(M307&gt;1,N(N307)*(M307-1),0)</f>
        <v/>
      </c>
      <c r="R307">
        <f>IFERROR(K307*MAX(M307,1)/Q307*P307,0)</f>
        <v/>
      </c>
      <c r="AA307" s="6" t="inlineStr">
        <is>
          <t>^ArrowWeapon, ^RA2LightMissile</t>
        </is>
      </c>
    </row>
    <row r="308">
      <c r="B308" s="6" t="inlineStr">
        <is>
          <t xml:space="preserve">  ↳ RA2HoverMissileAA</t>
        </is>
      </c>
      <c r="C308" s="6" t="inlineStr">
        <is>
          <t>Armament@primaryAA</t>
        </is>
      </c>
      <c r="K308" s="5" t="n">
        <v>6000</v>
      </c>
      <c r="L308" s="5" t="n">
        <v>28</v>
      </c>
      <c r="M308" s="5" t="n">
        <v>2</v>
      </c>
      <c r="N308" s="5" t="n">
        <v>4</v>
      </c>
      <c r="O308" s="5" t="n">
        <v>8640</v>
      </c>
      <c r="P308" s="5" t="n">
        <v>1</v>
      </c>
      <c r="Q308">
        <f>L308+IF(M308&gt;1,N(N308)*(M308-1),0)</f>
        <v/>
      </c>
      <c r="R308">
        <f>IFERROR(K308*MAX(M308,1)/Q308*P308,0)</f>
        <v/>
      </c>
      <c r="AA308" s="6" t="inlineStr">
        <is>
          <t>^ArrowWeapon, ^RA2LightMissile</t>
        </is>
      </c>
    </row>
    <row r="309">
      <c r="B309" s="6" t="inlineStr">
        <is>
          <t xml:space="preserve">  ↳ RA2HoverMissileAA_elite</t>
        </is>
      </c>
      <c r="C309" s="6" t="inlineStr">
        <is>
          <t>Armament@primaryeliteAA</t>
        </is>
      </c>
      <c r="K309" s="5" t="n">
        <v>6000</v>
      </c>
      <c r="L309" s="5" t="n">
        <v>28</v>
      </c>
      <c r="M309" s="5" t="n">
        <v>4</v>
      </c>
      <c r="N309" s="5" t="n">
        <v>4</v>
      </c>
      <c r="O309" s="5" t="n">
        <v>9640</v>
      </c>
      <c r="P309" s="5" t="n">
        <v>1</v>
      </c>
      <c r="Q309">
        <f>L309+IF(M309&gt;1,N(N309)*(M309-1),0)</f>
        <v/>
      </c>
      <c r="R309">
        <f>IFERROR(K309*MAX(M309,1)/Q309*P309,0)</f>
        <v/>
      </c>
      <c r="AA309" s="6" t="inlineStr">
        <is>
          <t>^ArrowWeapon, ^RA2LightMissile</t>
        </is>
      </c>
    </row>
    <row r="310">
      <c r="B310" s="6" t="inlineStr">
        <is>
          <t xml:space="preserve">  ↳ RA2ThunderboltMissile</t>
        </is>
      </c>
      <c r="C310" s="6" t="inlineStr">
        <is>
          <t>Armament@primaryThunderbolt</t>
        </is>
      </c>
      <c r="K310" s="5" t="n">
        <v>2000</v>
      </c>
      <c r="L310" s="5" t="n">
        <v>28</v>
      </c>
      <c r="M310" s="5" t="n">
        <v>2</v>
      </c>
      <c r="N310" s="5" t="n">
        <v>4</v>
      </c>
      <c r="O310" s="5" t="n">
        <v>5760</v>
      </c>
      <c r="P310" s="5" t="n">
        <v>1</v>
      </c>
      <c r="Q310">
        <f>L310+IF(M310&gt;1,N(N310)*(M310-1),0)</f>
        <v/>
      </c>
      <c r="R310">
        <f>IFERROR(K310*MAX(M310,1)/Q310*P310,0)</f>
        <v/>
      </c>
      <c r="AA310" s="6" t="inlineStr">
        <is>
          <t>^HeavyMissile, ^HeavyAAWeapon, ^MediumMissile, ^FlakWeapon, ^ArrowWeapon, ^RA2LightMissile</t>
        </is>
      </c>
    </row>
    <row r="311">
      <c r="B311" s="6" t="inlineStr">
        <is>
          <t xml:space="preserve">  ↳ RA2ThunderboltMissile_elite</t>
        </is>
      </c>
      <c r="C311" s="6" t="inlineStr">
        <is>
          <t>Armament@primaryeliteThunderbolt</t>
        </is>
      </c>
      <c r="K311" s="5" t="n">
        <v>2000</v>
      </c>
      <c r="L311" s="5" t="n">
        <v>28</v>
      </c>
      <c r="M311" s="5" t="n">
        <v>4</v>
      </c>
      <c r="N311" s="5" t="n">
        <v>4</v>
      </c>
      <c r="O311" s="5" t="n">
        <v>6760</v>
      </c>
      <c r="P311" s="5" t="n">
        <v>1</v>
      </c>
      <c r="Q311">
        <f>L311+IF(M311&gt;1,N(N311)*(M311-1),0)</f>
        <v/>
      </c>
      <c r="R311">
        <f>IFERROR(K311*MAX(M311,1)/Q311*P311,0)</f>
        <v/>
      </c>
      <c r="AA311" s="6" t="inlineStr">
        <is>
          <t>^HeavyMissile, ^HeavyAAWeapon, ^MediumMissile, ^FlakWeapon, ^ArrowWeapon, ^RA2LightMissile</t>
        </is>
      </c>
    </row>
    <row r="312">
      <c r="B312" s="6" t="inlineStr">
        <is>
          <t xml:space="preserve">  ↳ RA2ThunderboltMissileAA</t>
        </is>
      </c>
      <c r="C312" s="6" t="inlineStr">
        <is>
          <t>Armament@primaryAAThunderbolt</t>
        </is>
      </c>
      <c r="K312" s="5" t="n">
        <v>2000</v>
      </c>
      <c r="L312" s="5" t="n">
        <v>28</v>
      </c>
      <c r="M312" s="5" t="n">
        <v>2</v>
      </c>
      <c r="N312" s="5" t="n">
        <v>4</v>
      </c>
      <c r="O312" s="5" t="n">
        <v>8640</v>
      </c>
      <c r="P312" s="5" t="n">
        <v>1</v>
      </c>
      <c r="Q312">
        <f>L312+IF(M312&gt;1,N(N312)*(M312-1),0)</f>
        <v/>
      </c>
      <c r="R312">
        <f>IFERROR(K312*MAX(M312,1)/Q312*P312,0)</f>
        <v/>
      </c>
      <c r="AA312" s="6" t="inlineStr">
        <is>
          <t>^HeavyMissile, ^HeavyAAWeapon, ^MediumMissile, ^FlakWeapon, ^ArrowWeapon, ^RA2LightMissile</t>
        </is>
      </c>
    </row>
    <row r="313">
      <c r="B313" s="6" t="inlineStr">
        <is>
          <t xml:space="preserve">  ↳ RA2ThunderboltMissileAA_elite</t>
        </is>
      </c>
      <c r="C313" s="6" t="inlineStr">
        <is>
          <t>Armament@primaryeliteAAThunderbolt</t>
        </is>
      </c>
      <c r="K313" s="5" t="n">
        <v>2000</v>
      </c>
      <c r="L313" s="5" t="n">
        <v>28</v>
      </c>
      <c r="M313" s="5" t="n">
        <v>4</v>
      </c>
      <c r="N313" s="5" t="n">
        <v>4</v>
      </c>
      <c r="O313" s="5" t="n">
        <v>9640</v>
      </c>
      <c r="P313" s="5" t="n">
        <v>1</v>
      </c>
      <c r="Q313">
        <f>L313+IF(M313&gt;1,N(N313)*(M313-1),0)</f>
        <v/>
      </c>
      <c r="R313">
        <f>IFERROR(K313*MAX(M313,1)/Q313*P313,0)</f>
        <v/>
      </c>
      <c r="AA313" s="6" t="inlineStr">
        <is>
          <t>^HeavyMissile, ^HeavyAAWeapon, ^MediumMissile, ^FlakWeapon, ^ArrowWeapon, ^RA2LightMissile</t>
        </is>
      </c>
    </row>
    <row r="314">
      <c r="B314" s="6" t="inlineStr">
        <is>
          <t xml:space="preserve">  ↳ RA2MultiHoverMissile_elite</t>
        </is>
      </c>
      <c r="C314" s="6" t="inlineStr">
        <is>
          <t>Armament@missileelite</t>
        </is>
      </c>
      <c r="K314" s="5" t="n">
        <v>2000</v>
      </c>
      <c r="L314" s="5" t="n">
        <v>20</v>
      </c>
      <c r="M314" s="5" t="n">
        <v>4</v>
      </c>
      <c r="N314" s="5" t="n">
        <v>4</v>
      </c>
      <c r="O314" s="5" t="n">
        <v>7170</v>
      </c>
      <c r="P314" s="5" t="n">
        <v>1</v>
      </c>
      <c r="Q314">
        <f>L314+IF(M314&gt;1,N(N314)*(M314-1),0)</f>
        <v/>
      </c>
      <c r="R314">
        <f>IFERROR(K314*MAX(M314,1)/Q314*P314,0)</f>
        <v/>
      </c>
      <c r="AA314" s="6" t="inlineStr">
        <is>
          <t>^MediumCannon, ^MediumChemicalWeapon, ^ArrowWeapon, ^RA2LightMissile</t>
        </is>
      </c>
    </row>
    <row r="315">
      <c r="B315" s="6" t="inlineStr">
        <is>
          <t xml:space="preserve">  ↳ RA2MultiHoverMissileAA</t>
        </is>
      </c>
      <c r="C315" s="6" t="inlineStr">
        <is>
          <t>Armament@missileAA</t>
        </is>
      </c>
      <c r="K315" s="5" t="n">
        <v>2000</v>
      </c>
      <c r="L315" s="5" t="n">
        <v>20</v>
      </c>
      <c r="M315" s="5" t="n">
        <v>4</v>
      </c>
      <c r="N315" s="5" t="n">
        <v>4</v>
      </c>
      <c r="O315" s="5" t="n">
        <v>9255</v>
      </c>
      <c r="P315" s="5" t="n">
        <v>1</v>
      </c>
      <c r="Q315">
        <f>L315+IF(M315&gt;1,N(N315)*(M315-1),0)</f>
        <v/>
      </c>
      <c r="R315">
        <f>IFERROR(K315*MAX(M315,1)/Q315*P315,0)</f>
        <v/>
      </c>
      <c r="AA315" s="6" t="inlineStr">
        <is>
          <t>^MediumCannon, ^MediumChemicalWeapon, ^ArrowWeapon, ^RA2LightMissile</t>
        </is>
      </c>
    </row>
    <row r="316">
      <c r="B316" s="6" t="inlineStr">
        <is>
          <t xml:space="preserve">  ↳ RA2MultiHoverMissileAA_elite</t>
        </is>
      </c>
      <c r="C316" s="6" t="inlineStr">
        <is>
          <t>Armament@missileeliteAA</t>
        </is>
      </c>
      <c r="K316" s="5" t="n">
        <v>2000</v>
      </c>
      <c r="L316" s="5" t="n">
        <v>20</v>
      </c>
      <c r="M316" s="5" t="n">
        <v>4</v>
      </c>
      <c r="N316" s="5" t="n">
        <v>4</v>
      </c>
      <c r="O316" s="5" t="n">
        <v>10255</v>
      </c>
      <c r="P316" s="5" t="n">
        <v>1</v>
      </c>
      <c r="Q316">
        <f>L316+IF(M316&gt;1,N(N316)*(M316-1),0)</f>
        <v/>
      </c>
      <c r="R316">
        <f>IFERROR(K316*MAX(M316,1)/Q316*P316,0)</f>
        <v/>
      </c>
      <c r="AA316" s="6" t="inlineStr">
        <is>
          <t>^MediumCannon, ^MediumChemicalWeapon, ^ArrowWeapon, ^RA2LightMissile</t>
        </is>
      </c>
    </row>
    <row r="317">
      <c r="B317" s="6" t="inlineStr">
        <is>
          <t xml:space="preserve">  ↳ RA2MultiThunderboltMissile</t>
        </is>
      </c>
      <c r="C317" s="6" t="inlineStr">
        <is>
          <t>Armament@missileThunderbolt</t>
        </is>
      </c>
      <c r="K317" s="5" t="n">
        <v>2000</v>
      </c>
      <c r="L317" s="5" t="n">
        <v>20</v>
      </c>
      <c r="M317" s="5" t="n">
        <v>4</v>
      </c>
      <c r="N317" s="5" t="n">
        <v>4</v>
      </c>
      <c r="O317" s="5" t="n">
        <v>6170</v>
      </c>
      <c r="P317" s="5" t="n">
        <v>1</v>
      </c>
      <c r="Q317">
        <f>L317+IF(M317&gt;1,N(N317)*(M317-1),0)</f>
        <v/>
      </c>
      <c r="R317">
        <f>IFERROR(K317*MAX(M317,1)/Q317*P317,0)</f>
        <v/>
      </c>
      <c r="AA317" s="6" t="inlineStr">
        <is>
          <t>^HeavyMissile, ^HeavyAAWeapon, ^MediumMissile, ^FlakWeapon, ^MediumCannon, ^MediumChemicalWeapon, ^ArrowWeapon, ^RA2LightMissile</t>
        </is>
      </c>
    </row>
    <row r="318">
      <c r="B318" s="6" t="inlineStr">
        <is>
          <t xml:space="preserve">  ↳ RA2MultiThunderboltMissile_elite</t>
        </is>
      </c>
      <c r="C318" s="6" t="inlineStr">
        <is>
          <t>Armament@missileeliteThunderbolt</t>
        </is>
      </c>
      <c r="K318" s="5" t="n">
        <v>2000</v>
      </c>
      <c r="L318" s="5" t="n">
        <v>20</v>
      </c>
      <c r="M318" s="5" t="n">
        <v>4</v>
      </c>
      <c r="N318" s="5" t="n">
        <v>4</v>
      </c>
      <c r="O318" s="5" t="n">
        <v>7170</v>
      </c>
      <c r="P318" s="5" t="n">
        <v>1</v>
      </c>
      <c r="Q318">
        <f>L318+IF(M318&gt;1,N(N318)*(M318-1),0)</f>
        <v/>
      </c>
      <c r="R318">
        <f>IFERROR(K318*MAX(M318,1)/Q318*P318,0)</f>
        <v/>
      </c>
      <c r="AA318" s="6" t="inlineStr">
        <is>
          <t>^HeavyMissile, ^HeavyAAWeapon, ^MediumMissile, ^FlakWeapon, ^MediumCannon, ^MediumChemicalWeapon, ^ArrowWeapon, ^RA2LightMissile</t>
        </is>
      </c>
    </row>
    <row r="319">
      <c r="B319" s="6" t="inlineStr">
        <is>
          <t xml:space="preserve">  ↳ RA2MultiThunderboltMissileAA</t>
        </is>
      </c>
      <c r="C319" s="6" t="inlineStr">
        <is>
          <t>Armament@missileAAThunderbolt</t>
        </is>
      </c>
      <c r="K319" s="5" t="n">
        <v>2000</v>
      </c>
      <c r="L319" s="5" t="n">
        <v>20</v>
      </c>
      <c r="M319" s="5" t="n">
        <v>4</v>
      </c>
      <c r="N319" s="5" t="n">
        <v>4</v>
      </c>
      <c r="O319" s="5" t="n">
        <v>9255</v>
      </c>
      <c r="P319" s="5" t="n">
        <v>1</v>
      </c>
      <c r="Q319">
        <f>L319+IF(M319&gt;1,N(N319)*(M319-1),0)</f>
        <v/>
      </c>
      <c r="R319">
        <f>IFERROR(K319*MAX(M319,1)/Q319*P319,0)</f>
        <v/>
      </c>
      <c r="AA319" s="6" t="inlineStr">
        <is>
          <t>^HeavyMissile, ^HeavyAAWeapon, ^MediumMissile, ^FlakWeapon, ^MediumCannon, ^MediumChemicalWeapon, ^ArrowWeapon, ^RA2LightMissile</t>
        </is>
      </c>
    </row>
    <row r="320">
      <c r="B320" s="6" t="inlineStr">
        <is>
          <t xml:space="preserve">  ↳ RA2MultiThunderboltMissileAA_elite</t>
        </is>
      </c>
      <c r="C320" s="6" t="inlineStr">
        <is>
          <t>Armament@missileeliteAAThunderbolt</t>
        </is>
      </c>
      <c r="K320" s="5" t="n">
        <v>2000</v>
      </c>
      <c r="L320" s="5" t="n">
        <v>20</v>
      </c>
      <c r="M320" s="5" t="n">
        <v>4</v>
      </c>
      <c r="N320" s="5" t="n">
        <v>4</v>
      </c>
      <c r="O320" s="5" t="n">
        <v>10255</v>
      </c>
      <c r="P320" s="5" t="n">
        <v>1</v>
      </c>
      <c r="Q320">
        <f>L320+IF(M320&gt;1,N(N320)*(M320-1),0)</f>
        <v/>
      </c>
      <c r="R320">
        <f>IFERROR(K320*MAX(M320,1)/Q320*P320,0)</f>
        <v/>
      </c>
      <c r="AA320" s="6" t="inlineStr">
        <is>
          <t>^HeavyMissile, ^HeavyAAWeapon, ^MediumMissile, ^FlakWeapon, ^MediumCannon, ^MediumChemicalWeapon, ^ArrowWeapon, ^RA2LightMissile</t>
        </is>
      </c>
    </row>
    <row r="321">
      <c r="B321" s="6" t="inlineStr">
        <is>
          <t xml:space="preserve">  ↳ MedicHeal</t>
        </is>
      </c>
      <c r="C321" s="6" t="inlineStr">
        <is>
          <t>Armament@healer</t>
        </is>
      </c>
      <c r="K321" s="5" t="n">
        <v>-1</v>
      </c>
      <c r="L321" s="5" t="n">
        <v>10</v>
      </c>
      <c r="M321" s="5" t="n">
        <v>1</v>
      </c>
      <c r="N321" s="5" t="n"/>
      <c r="O321" s="5" t="n">
        <v>6000</v>
      </c>
      <c r="P321" s="5" t="n">
        <v>1</v>
      </c>
      <c r="Q321">
        <f>L321+IF(M321&gt;1,N(N321)*(M321-1),0)</f>
        <v/>
      </c>
      <c r="R321">
        <f>IFERROR(K321*MAX(M321,1)/Q321*P321,0)</f>
        <v/>
      </c>
      <c r="AA321" s="6" t="inlineStr">
        <is>
          <t>^HealingWeapon</t>
        </is>
      </c>
    </row>
    <row r="322">
      <c r="B322" s="6" t="inlineStr">
        <is>
          <t xml:space="preserve">  ↳ RA2AWP</t>
        </is>
      </c>
      <c r="C322" s="6" t="inlineStr">
        <is>
          <t>Armament@ra1_allies_alliedsniper</t>
        </is>
      </c>
      <c r="K322" s="5" t="n">
        <v>44000</v>
      </c>
      <c r="L322" s="5" t="n">
        <v>54</v>
      </c>
      <c r="M322" s="5" t="n">
        <v>1</v>
      </c>
      <c r="N322" s="5" t="n"/>
      <c r="O322" s="5" t="n">
        <v>10000</v>
      </c>
      <c r="P322" s="5" t="n">
        <v>1</v>
      </c>
      <c r="Q322">
        <f>L322+IF(M322&gt;1,N(N322)*(M322-1),0)</f>
        <v/>
      </c>
      <c r="R322">
        <f>IFERROR(K322*MAX(M322,1)/Q322*P322,0)</f>
        <v/>
      </c>
      <c r="AA322" s="6" t="inlineStr">
        <is>
          <t>^SniperWeapon</t>
        </is>
      </c>
    </row>
    <row r="323">
      <c r="A323" t="inlineStr">
        <is>
          <t>redalert2</t>
        </is>
      </c>
      <c r="B323" t="inlineStr">
        <is>
          <t>ra2_allies_miragetank</t>
        </is>
      </c>
      <c r="C323" t="inlineStr">
        <is>
          <t>Mirage Tank</t>
        </is>
      </c>
      <c r="D323" t="inlineStr"/>
      <c r="E323" s="5" t="n">
        <v>120000</v>
      </c>
      <c r="F323" s="5" t="n">
        <v>90</v>
      </c>
      <c r="G323" t="inlineStr">
        <is>
          <t>Medium</t>
        </is>
      </c>
      <c r="H323" s="5" t="n">
        <v>0.75</v>
      </c>
      <c r="I323" s="5" t="n">
        <v>1</v>
      </c>
      <c r="J323" s="5" t="n">
        <v>1</v>
      </c>
      <c r="O323">
        <f>MAX(O324,O325)</f>
        <v/>
      </c>
      <c r="R323">
        <f>R324+R325</f>
        <v/>
      </c>
      <c r="S323">
        <f>(E323/100000+F323/100+(O323/1000)*J323/5+R323/200)*200*I323*H323</f>
        <v/>
      </c>
      <c r="T323">
        <f>((E323*F323/25000)+((O323/1000)*J323*R323/2.5))*I323*H323</f>
        <v/>
      </c>
      <c r="U323">
        <f>(E323*F323*(O323/1000)*J323*R323*I323*H323)/12500000</f>
        <v/>
      </c>
      <c r="V323">
        <f>(S323+T323+U323)/3</f>
        <v/>
      </c>
      <c r="W323" s="5" t="n">
        <v>1600</v>
      </c>
      <c r="X323">
        <f>IFERROR(V323-W323,"")</f>
        <v/>
      </c>
      <c r="Y323">
        <f>IFERROR(ABS(X323)/MAX(W323,1),"")</f>
        <v/>
      </c>
      <c r="Z323">
        <f>IFERROR((W323-(((E323/100000+F323/100+R323/200)*200*I323*H323)+((E323*F323/25000)*I323*H323))/3)/(((J323/5)*200*I323*H323)+((J323*R323/2.5)*I323*H323)+((E323*F323*J323*R323*I323*H323)/12500000))/3*1000,"")</f>
        <v/>
      </c>
    </row>
    <row r="324">
      <c r="B324" s="6" t="inlineStr">
        <is>
          <t xml:space="preserve">  ↳ RA2MirageGun</t>
        </is>
      </c>
      <c r="C324" s="6" t="inlineStr">
        <is>
          <t>Armament</t>
        </is>
      </c>
      <c r="K324" s="5" t="n">
        <v>8000</v>
      </c>
      <c r="L324" s="5" t="n">
        <v>39</v>
      </c>
      <c r="M324" s="5" t="n">
        <v>1</v>
      </c>
      <c r="N324" s="5" t="n"/>
      <c r="O324" s="5" t="n">
        <v>6031</v>
      </c>
      <c r="P324" s="5" t="n">
        <v>1</v>
      </c>
      <c r="Q324">
        <f>L324+IF(M324&gt;1,N(N324)*(M324-1),0)</f>
        <v/>
      </c>
      <c r="R324">
        <f>IFERROR(K324*MAX(M324,1)/Q324*P324,0)</f>
        <v/>
      </c>
      <c r="AA324" s="6" t="inlineStr">
        <is>
          <t>^RailgunWeapon, ^MediumChemicalWeapon, ^RA2TankDestroyerCannon</t>
        </is>
      </c>
    </row>
    <row r="325">
      <c r="B325" s="6" t="inlineStr">
        <is>
          <t xml:space="preserve">  ↳ RA2MirageGun_elite</t>
        </is>
      </c>
      <c r="C325" s="6" t="inlineStr">
        <is>
          <t>Armament@elite</t>
        </is>
      </c>
      <c r="K325" s="5" t="n">
        <v>8000</v>
      </c>
      <c r="L325" s="5" t="n">
        <v>39</v>
      </c>
      <c r="M325" s="5" t="n">
        <v>2</v>
      </c>
      <c r="N325" s="5" t="n">
        <v>3</v>
      </c>
      <c r="O325" s="5" t="n">
        <v>7031</v>
      </c>
      <c r="P325" s="5" t="n">
        <v>1</v>
      </c>
      <c r="Q325">
        <f>L325+IF(M325&gt;1,N(N325)*(M325-1),0)</f>
        <v/>
      </c>
      <c r="R325">
        <f>IFERROR(K325*MAX(M325,1)/Q325*P325,0)</f>
        <v/>
      </c>
      <c r="AA325" s="6" t="inlineStr">
        <is>
          <t>^RailgunWeapon, ^MediumChemicalWeapon, ^RA2TankDestroyerCannon, ^RA2EliteEffects</t>
        </is>
      </c>
    </row>
    <row r="326">
      <c r="A326" t="inlineStr">
        <is>
          <t>redalert2</t>
        </is>
      </c>
      <c r="B326" t="inlineStr">
        <is>
          <t>ra2_allies_prismtank</t>
        </is>
      </c>
      <c r="C326" t="inlineStr">
        <is>
          <t>Prism Tank</t>
        </is>
      </c>
      <c r="D326" t="inlineStr"/>
      <c r="E326" s="5" t="n">
        <v>60000</v>
      </c>
      <c r="F326" s="5" t="n">
        <v>60</v>
      </c>
      <c r="G326" t="inlineStr">
        <is>
          <t>Light</t>
        </is>
      </c>
      <c r="H326" s="5" t="n">
        <v>1</v>
      </c>
      <c r="I326" s="5" t="n">
        <v>1</v>
      </c>
      <c r="J326" s="5" t="n">
        <v>1.25</v>
      </c>
      <c r="O326">
        <f>MAX(O327,O328,O329,O330)</f>
        <v/>
      </c>
      <c r="R326">
        <f>R327+R328+R329+R330</f>
        <v/>
      </c>
      <c r="S326">
        <f>(E326/100000+F326/100+(O326/1000)*J326/5+R326/200)*200*I326*H326</f>
        <v/>
      </c>
      <c r="T326">
        <f>((E326*F326/25000)+((O326/1000)*J326*R326/2.5))*I326*H326</f>
        <v/>
      </c>
      <c r="U326">
        <f>(E326*F326*(O326/1000)*J326*R326*I326*H326)/12500000</f>
        <v/>
      </c>
      <c r="V326">
        <f>(S326+T326+U326)/3</f>
        <v/>
      </c>
      <c r="W326" s="5" t="n">
        <v>2000</v>
      </c>
      <c r="X326">
        <f>IFERROR(V326-W326,"")</f>
        <v/>
      </c>
      <c r="Y326">
        <f>IFERROR(ABS(X326)/MAX(W326,1),"")</f>
        <v/>
      </c>
      <c r="Z326">
        <f>IFERROR((W326-(((E326/100000+F326/100+R326/200)*200*I326*H326)+((E326*F326/25000)*I326*H326))/3)/(((J326/5)*200*I326*H326)+((J326*R326/2.5)*I326*H326)+((E326*F326*J326*R326*I326*H326)/12500000))/3*1000,"")</f>
        <v/>
      </c>
    </row>
    <row r="327">
      <c r="B327" s="6" t="inlineStr">
        <is>
          <t xml:space="preserve">  ↳ PrismTankCharge</t>
        </is>
      </c>
      <c r="C327" s="6" t="inlineStr">
        <is>
          <t>Armament@Charge</t>
        </is>
      </c>
      <c r="K327" s="5" t="n"/>
      <c r="L327" s="5" t="n">
        <v>100</v>
      </c>
      <c r="M327" s="5" t="n">
        <v>1</v>
      </c>
      <c r="N327" s="5" t="n"/>
      <c r="O327" s="5" t="n">
        <v>10000</v>
      </c>
      <c r="P327" s="5" t="n">
        <v>1</v>
      </c>
      <c r="Q327">
        <f>L327+IF(M327&gt;1,N(N327)*(M327-1),0)</f>
        <v/>
      </c>
      <c r="R327">
        <f>IFERROR(K327*MAX(M327,1)/Q327*P327,0)</f>
        <v/>
      </c>
      <c r="AA327" s="6" t="inlineStr">
        <is>
          <t>PrismCharge</t>
        </is>
      </c>
    </row>
    <row r="328">
      <c r="B328" s="6" t="inlineStr">
        <is>
          <t xml:space="preserve">  ↳ PrismTankChargeE</t>
        </is>
      </c>
      <c r="C328" s="6" t="inlineStr">
        <is>
          <t>Armament@EliteCharge</t>
        </is>
      </c>
      <c r="K328" s="5" t="n"/>
      <c r="L328" s="5" t="n">
        <v>100</v>
      </c>
      <c r="M328" s="5" t="n">
        <v>1</v>
      </c>
      <c r="N328" s="5" t="n"/>
      <c r="O328" s="5" t="n">
        <v>11111</v>
      </c>
      <c r="P328" s="5" t="n">
        <v>1</v>
      </c>
      <c r="Q328">
        <f>L328+IF(M328&gt;1,N(N328)*(M328-1),0)</f>
        <v/>
      </c>
      <c r="R328">
        <f>IFERROR(K328*MAX(M328,1)/Q328*P328,0)</f>
        <v/>
      </c>
      <c r="AA328" s="6" t="inlineStr">
        <is>
          <t>PrismTankCharge</t>
        </is>
      </c>
    </row>
    <row r="329">
      <c r="B329" s="6" t="inlineStr">
        <is>
          <t xml:space="preserve">  ↳ RA2Comet</t>
        </is>
      </c>
      <c r="C329" s="6" t="inlineStr">
        <is>
          <t>Armament</t>
        </is>
      </c>
      <c r="K329" s="5" t="n">
        <v>20000</v>
      </c>
      <c r="L329" s="5" t="n">
        <v>125</v>
      </c>
      <c r="M329" s="5" t="n">
        <v>1</v>
      </c>
      <c r="N329" s="5" t="n"/>
      <c r="O329" s="5" t="n">
        <v>11111</v>
      </c>
      <c r="P329" s="5" t="n">
        <v>1</v>
      </c>
      <c r="Q329">
        <f>L329+IF(M329&gt;1,N(N329)*(M329-1),0)</f>
        <v/>
      </c>
      <c r="R329">
        <f>IFERROR(K329*MAX(M329,1)/Q329*P329,0)</f>
        <v/>
      </c>
      <c r="AA329" s="6" t="inlineStr">
        <is>
          <t>^Grenade, ^MediumFlameWeapon, ^RA2LaserWeapon</t>
        </is>
      </c>
    </row>
    <row r="330">
      <c r="B330" s="6" t="inlineStr">
        <is>
          <t xml:space="preserve">  ↳ RA2Comet_elite</t>
        </is>
      </c>
      <c r="C330" s="6" t="inlineStr">
        <is>
          <t>Armament@elite</t>
        </is>
      </c>
      <c r="K330" s="5" t="n">
        <v>20000</v>
      </c>
      <c r="L330" s="5" t="n">
        <v>125</v>
      </c>
      <c r="M330" s="5" t="n">
        <v>1</v>
      </c>
      <c r="N330" s="5" t="n"/>
      <c r="O330" s="5" t="n">
        <v>12345</v>
      </c>
      <c r="P330" s="5" t="n">
        <v>1</v>
      </c>
      <c r="Q330">
        <f>L330+IF(M330&gt;1,N(N330)*(M330-1),0)</f>
        <v/>
      </c>
      <c r="R330">
        <f>IFERROR(K330*MAX(M330,1)/Q330*P330,0)</f>
        <v/>
      </c>
      <c r="AA330" s="6" t="inlineStr">
        <is>
          <t>^Grenade, ^MediumFlameWeapon, ^RA2LaserWeapon</t>
        </is>
      </c>
    </row>
    <row r="331">
      <c r="A331" t="inlineStr">
        <is>
          <t>redalert2</t>
        </is>
      </c>
      <c r="B331" t="inlineStr">
        <is>
          <t>ra2_allies_tankdestroyer</t>
        </is>
      </c>
      <c r="C331" t="inlineStr">
        <is>
          <t>Tank Destroyer</t>
        </is>
      </c>
      <c r="D331" t="inlineStr"/>
      <c r="E331" s="5" t="n">
        <v>145000</v>
      </c>
      <c r="F331" s="5" t="n">
        <v>65</v>
      </c>
      <c r="G331" t="inlineStr">
        <is>
          <t>Heavy</t>
        </is>
      </c>
      <c r="H331" s="5" t="n">
        <v>1</v>
      </c>
      <c r="I331" s="5" t="n">
        <v>1</v>
      </c>
      <c r="J331" s="5" t="n">
        <v>1</v>
      </c>
      <c r="O331">
        <f>MAX(O332,O333)</f>
        <v/>
      </c>
      <c r="R331">
        <f>R332+R333</f>
        <v/>
      </c>
      <c r="S331">
        <f>(E331/100000+F331/100+(O331/1000)*J331/5+R331/200)*200*I331*H331</f>
        <v/>
      </c>
      <c r="T331">
        <f>((E331*F331/25000)+((O331/1000)*J331*R331/2.5))*I331*H331</f>
        <v/>
      </c>
      <c r="U331">
        <f>(E331*F331*(O331/1000)*J331*R331*I331*H331)/12500000</f>
        <v/>
      </c>
      <c r="V331">
        <f>(S331+T331+U331)/3</f>
        <v/>
      </c>
      <c r="W331" s="5" t="n">
        <v>1500</v>
      </c>
      <c r="X331">
        <f>IFERROR(V331-W331,"")</f>
        <v/>
      </c>
      <c r="Y331">
        <f>IFERROR(ABS(X331)/MAX(W331,1),"")</f>
        <v/>
      </c>
      <c r="Z331">
        <f>IFERROR((W331-(((E331/100000+F331/100+R331/200)*200*I331*H331)+((E331*F331/25000)*I331*H331))/3)/(((J331/5)*200*I331*H331)+((J331*R331/2.5)*I331*H331)+((E331*F331*J331*R331*I331*H331)/12500000))/3*1000,"")</f>
        <v/>
      </c>
    </row>
    <row r="332">
      <c r="B332" s="6" t="inlineStr">
        <is>
          <t xml:space="preserve">  ↳ RA2sabot</t>
        </is>
      </c>
      <c r="C332" s="6" t="inlineStr">
        <is>
          <t>Armament</t>
        </is>
      </c>
      <c r="K332" s="5" t="n">
        <v>80000</v>
      </c>
      <c r="L332" s="5" t="n">
        <v>160</v>
      </c>
      <c r="M332" s="5" t="n">
        <v>1</v>
      </c>
      <c r="N332" s="5" t="n"/>
      <c r="O332" s="5" t="n">
        <v>7040</v>
      </c>
      <c r="P332" s="5" t="n">
        <v>1</v>
      </c>
      <c r="Q332">
        <f>L332+IF(M332&gt;1,N(N332)*(M332-1),0)</f>
        <v/>
      </c>
      <c r="R332">
        <f>IFERROR(K332*MAX(M332,1)/Q332*P332,0)</f>
        <v/>
      </c>
      <c r="AA332" s="6" t="inlineStr">
        <is>
          <t>^RA2TankDestroyerCannon</t>
        </is>
      </c>
    </row>
    <row r="333">
      <c r="B333" s="6" t="inlineStr">
        <is>
          <t xml:space="preserve">  ↳ RA2sabot_elite</t>
        </is>
      </c>
      <c r="C333" s="6" t="inlineStr">
        <is>
          <t>Armament@elite</t>
        </is>
      </c>
      <c r="K333" s="5" t="n">
        <v>160000</v>
      </c>
      <c r="L333" s="5" t="n">
        <v>160</v>
      </c>
      <c r="M333" s="5" t="n">
        <v>1</v>
      </c>
      <c r="N333" s="5" t="n"/>
      <c r="O333" s="5" t="n">
        <v>8040</v>
      </c>
      <c r="P333" s="5" t="n">
        <v>1</v>
      </c>
      <c r="Q333">
        <f>L333+IF(M333&gt;1,N(N333)*(M333-1),0)</f>
        <v/>
      </c>
      <c r="R333">
        <f>IFERROR(K333*MAX(M333,1)/Q333*P333,0)</f>
        <v/>
      </c>
      <c r="AA333" s="6" t="inlineStr">
        <is>
          <t>^RA2TankDestroyerCannon, ^RA2EliteEffects</t>
        </is>
      </c>
    </row>
    <row r="334">
      <c r="A334" s="3" t="inlineStr">
        <is>
          <t>AIRCRAFT</t>
        </is>
      </c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</row>
    <row r="335">
      <c r="A335" t="inlineStr">
        <is>
          <t>redalert2</t>
        </is>
      </c>
      <c r="B335" t="inlineStr">
        <is>
          <t>ra2_allies_blackeagle</t>
        </is>
      </c>
      <c r="C335" t="inlineStr">
        <is>
          <t>Black Eagle</t>
        </is>
      </c>
      <c r="D335" t="inlineStr"/>
      <c r="E335" s="5" t="n">
        <v>85000</v>
      </c>
      <c r="F335" s="5" t="n">
        <v>150</v>
      </c>
      <c r="G335" t="inlineStr">
        <is>
          <t>Bomber</t>
        </is>
      </c>
      <c r="H335" s="5" t="n">
        <v>0.75</v>
      </c>
      <c r="I335" s="5" t="n">
        <v>1</v>
      </c>
      <c r="J335" s="5" t="n">
        <v>1</v>
      </c>
      <c r="O335">
        <f>MAX(O336,O337,O338,O339)</f>
        <v/>
      </c>
      <c r="R335">
        <f>R336+R337+R338+R339</f>
        <v/>
      </c>
      <c r="S335">
        <f>(E335/100000+F335/100+(O335/1000)*J335/5+R335/200)*200*I335*H335</f>
        <v/>
      </c>
      <c r="T335">
        <f>((E335*F335/25000)+((O335/1000)*J335*R335/2.5))*I335*H335</f>
        <v/>
      </c>
      <c r="U335">
        <f>(E335*F335*(O335/1000)*J335*R335*I335*H335)/12500000</f>
        <v/>
      </c>
      <c r="V335">
        <f>(S335+T335+U335)/3</f>
        <v/>
      </c>
      <c r="W335" s="5" t="n">
        <v>3000</v>
      </c>
      <c r="X335">
        <f>IFERROR(V335-W335,"")</f>
        <v/>
      </c>
      <c r="Y335">
        <f>IFERROR(ABS(X335)/MAX(W335,1),"")</f>
        <v/>
      </c>
      <c r="Z335">
        <f>IFERROR((W335-(((E335/100000+F335/100+R335/200)*200*I335*H335)+((E335*F335/25000)*I335*H335))/3)/(((J335/5)*200*I335*H335)+((J335*R335/2.5)*I335*H335)+((E335*F335*J335*R335*I335*H335)/12500000))/3*1000,"")</f>
        <v/>
      </c>
    </row>
    <row r="336">
      <c r="B336" s="6" t="inlineStr">
        <is>
          <t xml:space="preserve">  ↳ BlackEagleMissiles</t>
        </is>
      </c>
      <c r="C336" s="6" t="inlineStr">
        <is>
          <t>Armament@PRIMARY</t>
        </is>
      </c>
      <c r="K336" s="5" t="n">
        <v>16000</v>
      </c>
      <c r="L336" s="5" t="n">
        <v>50</v>
      </c>
      <c r="M336" s="5" t="n">
        <v>4</v>
      </c>
      <c r="N336" s="5" t="n">
        <v>2</v>
      </c>
      <c r="O336" s="5" t="n">
        <v>9000</v>
      </c>
      <c r="P336" s="5" t="n">
        <v>1</v>
      </c>
      <c r="Q336">
        <f>L336+IF(M336&gt;1,N(N336)*(M336-1),0)</f>
        <v/>
      </c>
      <c r="R336">
        <f>IFERROR(K336*MAX(M336,1)/Q336*P336,0)</f>
        <v/>
      </c>
      <c r="AA336" s="6" t="inlineStr">
        <is>
          <t>^Grenade, ^HeavyBomb, ^RA2MediumMissile</t>
        </is>
      </c>
    </row>
    <row r="337">
      <c r="B337" s="6" t="inlineStr">
        <is>
          <t xml:space="preserve">  ↳ BlackEagleMissiles_elite</t>
        </is>
      </c>
      <c r="C337" s="6" t="inlineStr">
        <is>
          <t>Armament@PRIMARYELITE</t>
        </is>
      </c>
      <c r="K337" s="5" t="n">
        <v>16000</v>
      </c>
      <c r="L337" s="5" t="n">
        <v>50</v>
      </c>
      <c r="M337" s="5" t="n">
        <v>8</v>
      </c>
      <c r="N337" s="5" t="n">
        <v>2</v>
      </c>
      <c r="O337" s="5" t="n">
        <v>10000</v>
      </c>
      <c r="P337" s="5" t="n">
        <v>1</v>
      </c>
      <c r="Q337">
        <f>L337+IF(M337&gt;1,N(N337)*(M337-1),0)</f>
        <v/>
      </c>
      <c r="R337">
        <f>IFERROR(K337*MAX(M337,1)/Q337*P337,0)</f>
        <v/>
      </c>
      <c r="AA337" s="6" t="inlineStr">
        <is>
          <t>^Grenade, ^HeavyBomb, ^RA2MediumMissile</t>
        </is>
      </c>
    </row>
    <row r="338">
      <c r="B338" s="6" t="inlineStr">
        <is>
          <t xml:space="preserve">  ↳ BlackEagleThunderboltMissiles</t>
        </is>
      </c>
      <c r="C338" s="6" t="inlineStr">
        <is>
          <t>Armament@PRIMARYUPGRADE</t>
        </is>
      </c>
      <c r="K338" s="5" t="n">
        <v>6000</v>
      </c>
      <c r="L338" s="5" t="n">
        <v>50</v>
      </c>
      <c r="M338" s="5" t="n">
        <v>4</v>
      </c>
      <c r="N338" s="5" t="n">
        <v>2</v>
      </c>
      <c r="O338" s="5" t="n">
        <v>9000</v>
      </c>
      <c r="P338" s="5" t="n">
        <v>1</v>
      </c>
      <c r="Q338">
        <f>L338+IF(M338&gt;1,N(N338)*(M338-1),0)</f>
        <v/>
      </c>
      <c r="R338">
        <f>IFERROR(K338*MAX(M338,1)/Q338*P338,0)</f>
        <v/>
      </c>
      <c r="AA338" s="6" t="inlineStr">
        <is>
          <t>^Grenade, ^ShrapnelWeapon, ^HeavyBomb, ^HeavyMissile, ^HeavyAAWeapon, ^MediumMissile, ^FlakWeapon, ^ArrowWeapon, ^RA2LightMissile</t>
        </is>
      </c>
    </row>
    <row r="339">
      <c r="B339" s="6" t="inlineStr">
        <is>
          <t xml:space="preserve">  ↳ BlackEagleThunderboltMissiles_elite</t>
        </is>
      </c>
      <c r="C339" s="6" t="inlineStr">
        <is>
          <t>Armament@PRIMARYELITEUpgrade</t>
        </is>
      </c>
      <c r="K339" s="5" t="n">
        <v>6000</v>
      </c>
      <c r="L339" s="5" t="n">
        <v>50</v>
      </c>
      <c r="M339" s="5" t="n">
        <v>8</v>
      </c>
      <c r="N339" s="5" t="n">
        <v>2</v>
      </c>
      <c r="O339" s="5" t="n">
        <v>10000</v>
      </c>
      <c r="P339" s="5" t="n">
        <v>1</v>
      </c>
      <c r="Q339">
        <f>L339+IF(M339&gt;1,N(N339)*(M339-1),0)</f>
        <v/>
      </c>
      <c r="R339">
        <f>IFERROR(K339*MAX(M339,1)/Q339*P339,0)</f>
        <v/>
      </c>
      <c r="AA339" s="6" t="inlineStr">
        <is>
          <t>^Grenade, ^ShrapnelWeapon, ^HeavyBomb, ^HeavyMissile, ^HeavyAAWeapon, ^MediumMissile, ^FlakWeapon, ^ArrowWeapon, ^RA2LightMissile</t>
        </is>
      </c>
    </row>
    <row r="340">
      <c r="A340" t="inlineStr">
        <is>
          <t>redalert2</t>
        </is>
      </c>
      <c r="B340" t="inlineStr">
        <is>
          <t>ra2_allies_harrier</t>
        </is>
      </c>
      <c r="C340" t="inlineStr">
        <is>
          <t>Harrier</t>
        </is>
      </c>
      <c r="D340" t="inlineStr"/>
      <c r="E340" s="5" t="n">
        <v>72000</v>
      </c>
      <c r="F340" s="5" t="n">
        <v>180</v>
      </c>
      <c r="G340" t="inlineStr">
        <is>
          <t>Fighter</t>
        </is>
      </c>
      <c r="H340" s="5" t="n">
        <v>1</v>
      </c>
      <c r="I340" s="5" t="n">
        <v>1</v>
      </c>
      <c r="J340" s="5" t="n">
        <v>1</v>
      </c>
      <c r="O340">
        <f>MAX(O341,O342)</f>
        <v/>
      </c>
      <c r="R340">
        <f>R341+R342</f>
        <v/>
      </c>
      <c r="S340">
        <f>(E340/100000+F340/100+(O340/1000)*J340/5+R340/200)*200*I340*H340</f>
        <v/>
      </c>
      <c r="T340">
        <f>((E340*F340/25000)+((O340/1000)*J340*R340/2.5))*I340*H340</f>
        <v/>
      </c>
      <c r="U340">
        <f>(E340*F340*(O340/1000)*J340*R340*I340*H340)/12500000</f>
        <v/>
      </c>
      <c r="V340">
        <f>(S340+T340+U340)/3</f>
        <v/>
      </c>
      <c r="W340" s="5" t="n">
        <v>2100</v>
      </c>
      <c r="X340">
        <f>IFERROR(V340-W340,"")</f>
        <v/>
      </c>
      <c r="Y340">
        <f>IFERROR(ABS(X340)/MAX(W340,1),"")</f>
        <v/>
      </c>
      <c r="Z340">
        <f>IFERROR((W340-(((E340/100000+F340/100+R340/200)*200*I340*H340)+((E340*F340/25000)*I340*H340))/3)/(((J340/5)*200*I340*H340)+((J340*R340/2.5)*I340*H340)+((E340*F340*J340*R340*I340*H340)/12500000))/3*1000,"")</f>
        <v/>
      </c>
    </row>
    <row r="341">
      <c r="B341" s="6" t="inlineStr">
        <is>
          <t xml:space="preserve">  ↳ HarrierMissiles</t>
        </is>
      </c>
      <c r="C341" s="6" t="inlineStr">
        <is>
          <t>Armament@PRIMARY</t>
        </is>
      </c>
      <c r="K341" s="5" t="n">
        <v>4000</v>
      </c>
      <c r="L341" s="5" t="n">
        <v>104</v>
      </c>
      <c r="M341" s="5" t="n">
        <v>4</v>
      </c>
      <c r="N341" s="5" t="n">
        <v>2</v>
      </c>
      <c r="O341" s="5" t="n">
        <v>5555</v>
      </c>
      <c r="P341" s="5" t="n">
        <v>1</v>
      </c>
      <c r="Q341">
        <f>L341+IF(M341&gt;1,N(N341)*(M341-1),0)</f>
        <v/>
      </c>
      <c r="R341">
        <f>IFERROR(K341*MAX(M341,1)/Q341*P341,0)</f>
        <v/>
      </c>
      <c r="AA341" s="6" t="inlineStr">
        <is>
          <t>^LightFlameWeapon, ^Grenade, ^HeavyChemicalWeapon, ^HeavyAAWeapon, ^FlakWeapon, ^RA2MediumMissile</t>
        </is>
      </c>
    </row>
    <row r="342">
      <c r="B342" s="6" t="inlineStr">
        <is>
          <t xml:space="preserve">  ↳ HarrierMissiles_elite</t>
        </is>
      </c>
      <c r="C342" s="6" t="inlineStr">
        <is>
          <t>Armament@PRIMARYELITE</t>
        </is>
      </c>
      <c r="K342" s="5" t="n">
        <v>4000</v>
      </c>
      <c r="L342" s="5" t="n">
        <v>104</v>
      </c>
      <c r="M342" s="5" t="n">
        <v>8</v>
      </c>
      <c r="N342" s="5" t="n">
        <v>2</v>
      </c>
      <c r="O342" s="5" t="n">
        <v>6666</v>
      </c>
      <c r="P342" s="5" t="n">
        <v>1</v>
      </c>
      <c r="Q342">
        <f>L342+IF(M342&gt;1,N(N342)*(M342-1),0)</f>
        <v/>
      </c>
      <c r="R342">
        <f>IFERROR(K342*MAX(M342,1)/Q342*P342,0)</f>
        <v/>
      </c>
      <c r="AA342" s="6" t="inlineStr">
        <is>
          <t>^LightFlameWeapon, ^Grenade, ^HeavyChemicalWeapon, ^HeavyAAWeapon, ^FlakWeapon, ^RA2MediumMissile</t>
        </is>
      </c>
    </row>
    <row r="343">
      <c r="A343" t="inlineStr">
        <is>
          <t>redalert2</t>
        </is>
      </c>
      <c r="B343" t="inlineStr">
        <is>
          <t>ra2_allies_nighthawk</t>
        </is>
      </c>
      <c r="C343" t="inlineStr">
        <is>
          <t>Night Hawk</t>
        </is>
      </c>
      <c r="D343" t="inlineStr"/>
      <c r="E343" s="5" t="n">
        <v>87500</v>
      </c>
      <c r="F343" s="5" t="n">
        <v>120</v>
      </c>
      <c r="G343" t="inlineStr">
        <is>
          <t>Helicopter</t>
        </is>
      </c>
      <c r="H343" s="5" t="n">
        <v>1</v>
      </c>
      <c r="I343" s="5" t="n">
        <v>1.25</v>
      </c>
      <c r="J343" s="5" t="n">
        <v>1</v>
      </c>
      <c r="O343">
        <f>MAX(O344)</f>
        <v/>
      </c>
      <c r="R343">
        <f>R344</f>
        <v/>
      </c>
      <c r="S343">
        <f>(E343/100000+F343/100+(O343/1000)*J343/5+R343/200)*200*I343*H343</f>
        <v/>
      </c>
      <c r="T343">
        <f>((E343*F343/25000)+((O343/1000)*J343*R343/2.5))*I343*H343</f>
        <v/>
      </c>
      <c r="U343">
        <f>(E343*F343*(O343/1000)*J343*R343*I343*H343)/12500000</f>
        <v/>
      </c>
      <c r="V343">
        <f>(S343+T343+U343)/3</f>
        <v/>
      </c>
      <c r="W343" s="5" t="n">
        <v>2100</v>
      </c>
      <c r="X343">
        <f>IFERROR(V343-W343,"")</f>
        <v/>
      </c>
      <c r="Y343">
        <f>IFERROR(ABS(X343)/MAX(W343,1),"")</f>
        <v/>
      </c>
      <c r="Z343">
        <f>IFERROR((W343-(((E343/100000+F343/100+R343/200)*200*I343*H343)+((E343*F343/25000)*I343*H343))/3)/(((J343/5)*200*I343*H343)+((J343*R343/2.5)*I343*H343)+((E343*F343*J343*R343*I343*H343)/12500000))/3*1000,"")</f>
        <v/>
      </c>
    </row>
    <row r="344">
      <c r="B344" s="6" t="inlineStr">
        <is>
          <t xml:space="preserve">  ↳ BlackHawkCannon</t>
        </is>
      </c>
      <c r="C344" s="6" t="inlineStr">
        <is>
          <t>Armament@PRIMARY</t>
        </is>
      </c>
      <c r="K344" s="5" t="n">
        <v>2000</v>
      </c>
      <c r="L344" s="5" t="n">
        <v>3</v>
      </c>
      <c r="M344" s="5" t="n">
        <v>1</v>
      </c>
      <c r="N344" s="5" t="n"/>
      <c r="O344" s="5" t="n">
        <v>4750</v>
      </c>
      <c r="P344" s="5" t="n">
        <v>1</v>
      </c>
      <c r="Q344">
        <f>L344+IF(M344&gt;1,N(N344)*(M344-1),0)</f>
        <v/>
      </c>
      <c r="R344">
        <f>IFERROR(K344*MAX(M344,1)/Q344*P344,0)</f>
        <v/>
      </c>
      <c r="AA344" s="6" t="inlineStr">
        <is>
          <t>^RA2SmallArms, ^RA2Chaingun</t>
        </is>
      </c>
    </row>
    <row r="345">
      <c r="A345" s="3" t="inlineStr">
        <is>
          <t>NAVAL</t>
        </is>
      </c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</row>
    <row r="346">
      <c r="A346" t="inlineStr">
        <is>
          <t>redalert2</t>
        </is>
      </c>
      <c r="B346" t="inlineStr">
        <is>
          <t>ra2_allies_aegiscruiser</t>
        </is>
      </c>
      <c r="C346" t="inlineStr">
        <is>
          <t>actor_aegis.name</t>
        </is>
      </c>
      <c r="D346" t="inlineStr"/>
      <c r="E346" s="5" t="n">
        <v>90000</v>
      </c>
      <c r="F346" s="5" t="n">
        <v>90</v>
      </c>
      <c r="G346" t="inlineStr">
        <is>
          <t>Medium</t>
        </is>
      </c>
      <c r="H346" s="5" t="n">
        <v>1</v>
      </c>
      <c r="I346" s="5" t="n">
        <v>1</v>
      </c>
      <c r="J346" s="5" t="n">
        <v>1</v>
      </c>
      <c r="O346">
        <f>MAX(O347,O348)</f>
        <v/>
      </c>
      <c r="R346">
        <f>R347+R348</f>
        <v/>
      </c>
      <c r="S346">
        <f>(E346/100000+F346/100+(O346/1000)*J346/5+R346/200)*200*I346*H346</f>
        <v/>
      </c>
      <c r="T346">
        <f>((E346*F346/25000)+((O346/1000)*J346*R346/2.5))*I346*H346</f>
        <v/>
      </c>
      <c r="U346">
        <f>(E346*F346*(O346/1000)*J346*R346*I346*H346)/12500000</f>
        <v/>
      </c>
      <c r="V346">
        <f>(S346+T346+U346)/3</f>
        <v/>
      </c>
      <c r="W346" s="5" t="n">
        <v>1500</v>
      </c>
      <c r="X346">
        <f>IFERROR(V346-W346,"")</f>
        <v/>
      </c>
      <c r="Y346">
        <f>IFERROR(ABS(X346)/MAX(W346,1),"")</f>
        <v/>
      </c>
      <c r="Z346">
        <f>IFERROR((W346-(((E346/100000+F346/100+R346/200)*200*I346*H346)+((E346*F346/25000)*I346*H346))/3)/(((J346/5)*200*I346*H346)+((J346*R346/2.5)*I346*H346)+((E346*F346*J346*R346*I346*H346)/12500000))/3*1000,"")</f>
        <v/>
      </c>
    </row>
    <row r="347">
      <c r="B347" s="6" t="inlineStr">
        <is>
          <t xml:space="preserve">  ↳ RA2Medusa</t>
        </is>
      </c>
      <c r="C347" s="6" t="inlineStr">
        <is>
          <t>Armament@AA</t>
        </is>
      </c>
      <c r="K347" s="5" t="n">
        <v>30000</v>
      </c>
      <c r="L347" s="5" t="n">
        <v>100</v>
      </c>
      <c r="M347" s="5" t="n">
        <v>3</v>
      </c>
      <c r="N347" s="5" t="n">
        <v>13</v>
      </c>
      <c r="O347" s="5" t="n">
        <v>13500</v>
      </c>
      <c r="P347" s="5" t="n">
        <v>1</v>
      </c>
      <c r="Q347">
        <f>L347+IF(M347&gt;1,N(N347)*(M347-1),0)</f>
        <v/>
      </c>
      <c r="R347">
        <f>IFERROR(K347*MAX(M347,1)/Q347*P347,0)</f>
        <v/>
      </c>
      <c r="AA347" s="6" t="inlineStr">
        <is>
          <t>^RA2MediumMissile</t>
        </is>
      </c>
    </row>
    <row r="348">
      <c r="B348" s="6" t="inlineStr">
        <is>
          <t xml:space="preserve">  ↳ RA2MedusaAG</t>
        </is>
      </c>
      <c r="C348" s="6" t="inlineStr">
        <is>
          <t>Armament@AG</t>
        </is>
      </c>
      <c r="K348" s="5" t="n">
        <v>30000</v>
      </c>
      <c r="L348" s="5" t="n">
        <v>100</v>
      </c>
      <c r="M348" s="5" t="n">
        <v>3</v>
      </c>
      <c r="N348" s="5" t="n">
        <v>13</v>
      </c>
      <c r="O348" s="5" t="n">
        <v>9000</v>
      </c>
      <c r="P348" s="5" t="n">
        <v>1</v>
      </c>
      <c r="Q348">
        <f>L348+IF(M348&gt;1,N(N348)*(M348-1),0)</f>
        <v/>
      </c>
      <c r="R348">
        <f>IFERROR(K348*MAX(M348,1)/Q348*P348,0)</f>
        <v/>
      </c>
      <c r="AA348" s="6" t="inlineStr">
        <is>
          <t>^RA2MediumMissile</t>
        </is>
      </c>
    </row>
    <row r="349">
      <c r="A349" s="3" t="inlineStr">
        <is>
          <t>DEFENSES</t>
        </is>
      </c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</row>
    <row r="350">
      <c r="A350" t="inlineStr">
        <is>
          <t>redalert2</t>
        </is>
      </c>
      <c r="B350" t="inlineStr">
        <is>
          <t>ra2_allies_chronosphere</t>
        </is>
      </c>
      <c r="C350" t="inlineStr">
        <is>
          <t>Chronosphere</t>
        </is>
      </c>
      <c r="D350" t="inlineStr"/>
      <c r="E350" s="5" t="n">
        <v>1000000</v>
      </c>
      <c r="F350" s="5" t="n">
        <v>100</v>
      </c>
      <c r="G350" t="inlineStr">
        <is>
          <t>Concrete</t>
        </is>
      </c>
      <c r="H350" s="5" t="n">
        <v>1</v>
      </c>
      <c r="I350" s="5" t="n">
        <v>1</v>
      </c>
      <c r="J350" s="5" t="n">
        <v>1</v>
      </c>
      <c r="W350" s="5" t="n">
        <v>5000</v>
      </c>
    </row>
    <row r="351">
      <c r="A351" t="inlineStr">
        <is>
          <t>redalert2</t>
        </is>
      </c>
      <c r="B351" t="inlineStr">
        <is>
          <t>ra2_allies_concretebarrier</t>
        </is>
      </c>
      <c r="C351" t="inlineStr">
        <is>
          <t>Concrete Barrier</t>
        </is>
      </c>
      <c r="D351" t="inlineStr"/>
      <c r="E351" s="5" t="n">
        <v>100000</v>
      </c>
      <c r="F351" s="5" t="n">
        <v>100</v>
      </c>
      <c r="G351" t="inlineStr">
        <is>
          <t>Concrete</t>
        </is>
      </c>
      <c r="H351" s="5" t="n">
        <v>1</v>
      </c>
      <c r="I351" s="5" t="n">
        <v>1</v>
      </c>
      <c r="J351" s="5" t="n">
        <v>1</v>
      </c>
      <c r="W351" s="5" t="n">
        <v>200</v>
      </c>
    </row>
    <row r="352">
      <c r="A352" t="inlineStr">
        <is>
          <t>redalert2</t>
        </is>
      </c>
      <c r="B352" t="inlineStr">
        <is>
          <t>ra2_allies_gapgenerator</t>
        </is>
      </c>
      <c r="C352" t="inlineStr">
        <is>
          <t>Gap Generator</t>
        </is>
      </c>
      <c r="D352" t="inlineStr"/>
      <c r="E352" s="5" t="n">
        <v>50000</v>
      </c>
      <c r="F352" s="5" t="n">
        <v>100</v>
      </c>
      <c r="G352" t="inlineStr">
        <is>
          <t>Steel</t>
        </is>
      </c>
      <c r="H352" s="5" t="n">
        <v>1</v>
      </c>
      <c r="I352" s="5" t="n">
        <v>1</v>
      </c>
      <c r="J352" s="5" t="n">
        <v>1</v>
      </c>
      <c r="W352" s="5" t="n">
        <v>5000</v>
      </c>
    </row>
    <row r="353">
      <c r="A353" t="inlineStr">
        <is>
          <t>redalert2</t>
        </is>
      </c>
      <c r="B353" t="inlineStr">
        <is>
          <t>ra2_allies_grandcannon</t>
        </is>
      </c>
      <c r="C353" t="inlineStr">
        <is>
          <t>Grand Cannon</t>
        </is>
      </c>
      <c r="D353" t="inlineStr"/>
      <c r="E353" s="5" t="n">
        <v>250000</v>
      </c>
      <c r="F353" s="5" t="n">
        <v>100</v>
      </c>
      <c r="G353" t="inlineStr">
        <is>
          <t>Steel</t>
        </is>
      </c>
      <c r="H353" s="5" t="n">
        <v>1</v>
      </c>
      <c r="I353" s="5" t="n">
        <v>0.325</v>
      </c>
      <c r="J353" s="5" t="n">
        <v>1</v>
      </c>
      <c r="O353">
        <f>MAX(O354)</f>
        <v/>
      </c>
      <c r="R353">
        <f>R354</f>
        <v/>
      </c>
      <c r="S353">
        <f>(E353/100000+F353/100+(O353/1000)*J353/5+R353/200)*200*I353*H353</f>
        <v/>
      </c>
      <c r="T353">
        <f>((E353*F353/25000)+((O353/1000)*J353*R353/2.5))*I353*H353</f>
        <v/>
      </c>
      <c r="U353">
        <f>(E353*F353*(O353/1000)*J353*R353*I353*H353)/12500000</f>
        <v/>
      </c>
      <c r="V353">
        <f>(S353+T353+U353)/3</f>
        <v/>
      </c>
      <c r="W353" s="5" t="n">
        <v>5000</v>
      </c>
      <c r="X353">
        <f>IFERROR(V353-W353,"")</f>
        <v/>
      </c>
      <c r="Y353">
        <f>IFERROR(ABS(X353)/MAX(W353,1),"")</f>
        <v/>
      </c>
      <c r="Z353">
        <f>IFERROR((W353-(((E353/100000+F353/100+R353/200)*200*I353*H353)+((E353*F353/25000)*I353*H353))/3)/(((J353/5)*200*I353*H353)+((J353*R353/2.5)*I353*H353)+((E353*F353*J353*R353*I353*H353)/12500000))/3*1000,"")</f>
        <v/>
      </c>
    </row>
    <row r="354">
      <c r="B354" s="6" t="inlineStr">
        <is>
          <t xml:space="preserve">  ↳ RA2GrandCannonWeapon</t>
        </is>
      </c>
      <c r="C354" s="6" t="inlineStr">
        <is>
          <t>Armament</t>
        </is>
      </c>
      <c r="K354" s="5" t="n">
        <v>50000</v>
      </c>
      <c r="L354" s="5" t="n">
        <v>200</v>
      </c>
      <c r="M354" s="5" t="n">
        <v>1</v>
      </c>
      <c r="N354" s="5" t="n"/>
      <c r="O354" s="5" t="n">
        <v>11800</v>
      </c>
      <c r="P354" s="5" t="n">
        <v>1</v>
      </c>
      <c r="Q354">
        <f>L354+IF(M354&gt;1,N(N354)*(M354-1),0)</f>
        <v/>
      </c>
      <c r="R354">
        <f>IFERROR(K354*MAX(M354,1)/Q354*P354,0)</f>
        <v/>
      </c>
      <c r="AA354" s="6" t="inlineStr">
        <is>
          <t>^HeavyCannon, ^HeavyBomb, ^MediumFlameWeapon, ^ShrapnelWeapon, ^LightChemicalWeapon, ^RA2Grenade</t>
        </is>
      </c>
    </row>
    <row r="355">
      <c r="A355" t="inlineStr">
        <is>
          <t>redalert2</t>
        </is>
      </c>
      <c r="B355" t="inlineStr">
        <is>
          <t>ra2_allies_patriotmissilesystem</t>
        </is>
      </c>
      <c r="C355" t="inlineStr">
        <is>
          <t>Patriot Missile System</t>
        </is>
      </c>
      <c r="D355" t="inlineStr"/>
      <c r="E355" s="5" t="n">
        <v>90000</v>
      </c>
      <c r="F355" s="5" t="n">
        <v>100</v>
      </c>
      <c r="G355" t="inlineStr">
        <is>
          <t>Concrete</t>
        </is>
      </c>
      <c r="H355" s="5" t="n">
        <v>1</v>
      </c>
      <c r="I355" s="5" t="n">
        <v>0.225</v>
      </c>
      <c r="J355" s="5" t="n">
        <v>1</v>
      </c>
      <c r="O355">
        <f>MAX(O356,O357)</f>
        <v/>
      </c>
      <c r="R355">
        <f>R356+R357</f>
        <v/>
      </c>
      <c r="S355">
        <f>(E355/100000+F355/100+(O355/1000)*J355/5+R355/200)*200*I355*H355</f>
        <v/>
      </c>
      <c r="T355">
        <f>((E355*F355/25000)+((O355/1000)*J355*R355/2.5))*I355*H355</f>
        <v/>
      </c>
      <c r="U355">
        <f>(E355*F355*(O355/1000)*J355*R355*I355*H355)/12500000</f>
        <v/>
      </c>
      <c r="V355">
        <f>(S355+T355+U355)/3</f>
        <v/>
      </c>
      <c r="W355" s="5" t="n">
        <v>800</v>
      </c>
      <c r="X355">
        <f>IFERROR(V355-W355,"")</f>
        <v/>
      </c>
      <c r="Y355">
        <f>IFERROR(ABS(X355)/MAX(W355,1),"")</f>
        <v/>
      </c>
      <c r="Z355">
        <f>IFERROR((W355-(((E355/100000+F355/100+R355/200)*200*I355*H355)+((E355*F355/25000)*I355*H355))/3)/(((J355/5)*200*I355*H355)+((J355*R355/2.5)*I355*H355)+((E355*F355*J355*R355*I355*H355)/12500000))/3*1000,"")</f>
        <v/>
      </c>
    </row>
    <row r="356">
      <c r="B356" s="6" t="inlineStr">
        <is>
          <t xml:space="preserve">  ↳ RA2Patriot</t>
        </is>
      </c>
      <c r="C356" s="6" t="inlineStr">
        <is>
          <t>Armament</t>
        </is>
      </c>
      <c r="K356" s="5" t="n">
        <v>10000</v>
      </c>
      <c r="L356" s="5" t="n">
        <v>30</v>
      </c>
      <c r="M356" s="5" t="n">
        <v>2</v>
      </c>
      <c r="N356" s="5" t="n">
        <v>6</v>
      </c>
      <c r="O356" s="5" t="n">
        <v>14150</v>
      </c>
      <c r="P356" s="5" t="n">
        <v>1</v>
      </c>
      <c r="Q356">
        <f>L356+IF(M356&gt;1,N(N356)*(M356-1),0)</f>
        <v/>
      </c>
      <c r="R356">
        <f>IFERROR(K356*MAX(M356,1)/Q356*P356,0)</f>
        <v/>
      </c>
      <c r="AA356" s="6" t="inlineStr">
        <is>
          <t>^RA2MediumMissile</t>
        </is>
      </c>
    </row>
    <row r="357">
      <c r="B357" s="6" t="inlineStr">
        <is>
          <t xml:space="preserve">  ↳ RA2PatriotThunderboltMissile</t>
        </is>
      </c>
      <c r="C357" s="6" t="inlineStr">
        <is>
          <t>Armament@missileeliteThunderbolt</t>
        </is>
      </c>
      <c r="K357" s="5" t="n">
        <v>2000</v>
      </c>
      <c r="L357" s="5" t="n">
        <v>30</v>
      </c>
      <c r="M357" s="5" t="n">
        <v>2</v>
      </c>
      <c r="N357" s="5" t="n">
        <v>6</v>
      </c>
      <c r="O357" s="5" t="n">
        <v>14150</v>
      </c>
      <c r="P357" s="5" t="n">
        <v>1</v>
      </c>
      <c r="Q357">
        <f>L357+IF(M357&gt;1,N(N357)*(M357-1),0)</f>
        <v/>
      </c>
      <c r="R357">
        <f>IFERROR(K357*MAX(M357,1)/Q357*P357,0)</f>
        <v/>
      </c>
      <c r="AA357" s="6" t="inlineStr">
        <is>
          <t>^HeavyMissile, ^HeavyAAWeapon, ^MediumMissile, ^FlakWeapon, ^ArrowWeapon, ^RA2LightMissile</t>
        </is>
      </c>
    </row>
    <row r="358">
      <c r="A358" t="inlineStr">
        <is>
          <t>redalert2</t>
        </is>
      </c>
      <c r="B358" t="inlineStr">
        <is>
          <t>ra2_allies_pillbox</t>
        </is>
      </c>
      <c r="C358" t="inlineStr">
        <is>
          <t>Pillbox</t>
        </is>
      </c>
      <c r="D358" t="inlineStr"/>
      <c r="E358" s="5" t="n">
        <v>100000</v>
      </c>
      <c r="F358" s="5" t="n">
        <v>100</v>
      </c>
      <c r="G358" t="inlineStr">
        <is>
          <t>Concrete</t>
        </is>
      </c>
      <c r="H358" s="5" t="n">
        <v>1</v>
      </c>
      <c r="I358" s="5" t="n">
        <v>1</v>
      </c>
      <c r="J358" s="5" t="n">
        <v>1</v>
      </c>
      <c r="W358" s="5" t="n">
        <v>500</v>
      </c>
    </row>
    <row r="359">
      <c r="A359" t="inlineStr">
        <is>
          <t>redalert2</t>
        </is>
      </c>
      <c r="B359" t="inlineStr">
        <is>
          <t>ra2_allies_prismtower</t>
        </is>
      </c>
      <c r="C359" t="inlineStr">
        <is>
          <t>Prism Tower</t>
        </is>
      </c>
      <c r="D359" t="inlineStr"/>
      <c r="E359" s="5" t="n">
        <v>135000</v>
      </c>
      <c r="F359" s="5" t="n">
        <v>100</v>
      </c>
      <c r="G359" t="inlineStr">
        <is>
          <t>Steel</t>
        </is>
      </c>
      <c r="H359" s="5" t="n">
        <v>1</v>
      </c>
      <c r="I359" s="5" t="n">
        <v>0.325</v>
      </c>
      <c r="J359" s="5" t="n">
        <v>1.25</v>
      </c>
      <c r="O359">
        <f>MAX(O360,O361)</f>
        <v/>
      </c>
      <c r="R359">
        <f>R360+R361</f>
        <v/>
      </c>
      <c r="S359">
        <f>(E359/100000+F359/100+(O359/1000)*J359/5+R359/200)*200*I359*H359</f>
        <v/>
      </c>
      <c r="T359">
        <f>((E359*F359/25000)+((O359/1000)*J359*R359/2.5))*I359*H359</f>
        <v/>
      </c>
      <c r="U359">
        <f>(E359*F359*(O359/1000)*J359*R359*I359*H359)/12500000</f>
        <v/>
      </c>
      <c r="V359">
        <f>(S359+T359+U359)/3</f>
        <v/>
      </c>
      <c r="W359" s="5" t="n">
        <v>2200</v>
      </c>
      <c r="X359">
        <f>IFERROR(V359-W359,"")</f>
        <v/>
      </c>
      <c r="Y359">
        <f>IFERROR(ABS(X359)/MAX(W359,1),"")</f>
        <v/>
      </c>
      <c r="Z359">
        <f>IFERROR((W359-(((E359/100000+F359/100+R359/200)*200*I359*H359)+((E359*F359/25000)*I359*H359))/3)/(((J359/5)*200*I359*H359)+((J359*R359/2.5)*I359*H359)+((E359*F359*J359*R359*I359*H359)/12500000))/3*1000,"")</f>
        <v/>
      </c>
    </row>
    <row r="360">
      <c r="B360" s="6" t="inlineStr">
        <is>
          <t xml:space="preserve">  ↳ PrismCharge</t>
        </is>
      </c>
      <c r="C360" s="6" t="inlineStr">
        <is>
          <t>Armament@Charge</t>
        </is>
      </c>
      <c r="K360" s="5" t="n"/>
      <c r="L360" s="5" t="n">
        <v>3</v>
      </c>
      <c r="M360" s="5" t="n">
        <v>1</v>
      </c>
      <c r="N360" s="5" t="n"/>
      <c r="O360" s="5" t="n">
        <v>9630</v>
      </c>
      <c r="P360" s="5" t="n">
        <v>1</v>
      </c>
      <c r="Q360">
        <f>L360+IF(M360&gt;1,N(N360)*(M360-1),0)</f>
        <v/>
      </c>
      <c r="R360">
        <f>IFERROR(K360*MAX(M360,1)/Q360*P360,0)</f>
        <v/>
      </c>
      <c r="AA360" s="6" t="inlineStr"/>
    </row>
    <row r="361">
      <c r="B361" s="6" t="inlineStr">
        <is>
          <t xml:space="preserve">  ↳ RA2Prism</t>
        </is>
      </c>
      <c r="C361" s="6" t="inlineStr">
        <is>
          <t>Armament</t>
        </is>
      </c>
      <c r="K361" s="5" t="n">
        <v>32000</v>
      </c>
      <c r="L361" s="5" t="n">
        <v>3</v>
      </c>
      <c r="M361" s="5" t="n">
        <v>1</v>
      </c>
      <c r="N361" s="5" t="n"/>
      <c r="O361" s="5" t="n">
        <v>9630</v>
      </c>
      <c r="P361" s="5" t="n">
        <v>1</v>
      </c>
      <c r="Q361">
        <f>L361+IF(M361&gt;1,N(N361)*(M361-1),0)</f>
        <v/>
      </c>
      <c r="R361">
        <f>IFERROR(K361*MAX(M361,1)/Q361*P361,0)</f>
        <v/>
      </c>
      <c r="AA361" s="6" t="inlineStr">
        <is>
          <t>^LaserWeapon</t>
        </is>
      </c>
    </row>
    <row r="362">
      <c r="A362" t="inlineStr">
        <is>
          <t>redalert2</t>
        </is>
      </c>
      <c r="B362" t="inlineStr">
        <is>
          <t>ra2_allies_weathercontrolcenter</t>
        </is>
      </c>
      <c r="C362" t="inlineStr">
        <is>
          <t>Weather Control Center</t>
        </is>
      </c>
      <c r="D362" t="inlineStr"/>
      <c r="E362" s="5" t="n">
        <v>1000000</v>
      </c>
      <c r="F362" s="5" t="n">
        <v>100</v>
      </c>
      <c r="G362" t="inlineStr">
        <is>
          <t>Concrete</t>
        </is>
      </c>
      <c r="H362" s="5" t="n">
        <v>1</v>
      </c>
      <c r="I362" s="5" t="n">
        <v>1</v>
      </c>
      <c r="J362" s="5" t="n">
        <v>1</v>
      </c>
      <c r="W362" s="5" t="n">
        <v>10000</v>
      </c>
    </row>
    <row r="363">
      <c r="A363" s="3" t="inlineStr">
        <is>
          <t>BUILDINGS</t>
        </is>
      </c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</row>
    <row r="364">
      <c r="A364" t="inlineStr">
        <is>
          <t>redalert2</t>
        </is>
      </c>
      <c r="B364" t="inlineStr">
        <is>
          <t>ra2_allies_airforcecommandhq</t>
        </is>
      </c>
      <c r="C364" t="inlineStr">
        <is>
          <t>Airforce Command HQ</t>
        </is>
      </c>
      <c r="D364" t="inlineStr"/>
      <c r="E364" s="5" t="n">
        <v>300000</v>
      </c>
      <c r="F364" s="5" t="n"/>
      <c r="G364" t="inlineStr">
        <is>
          <t>Wood</t>
        </is>
      </c>
      <c r="H364" s="5" t="n">
        <v>1</v>
      </c>
      <c r="I364" s="5" t="n">
        <v>1</v>
      </c>
      <c r="J364" s="5" t="n">
        <v>1</v>
      </c>
      <c r="W364" s="5" t="n">
        <v>2000</v>
      </c>
    </row>
    <row r="365">
      <c r="A365" t="inlineStr">
        <is>
          <t>redalert2</t>
        </is>
      </c>
      <c r="B365" t="inlineStr">
        <is>
          <t>ra2_allies_alliedbarracks</t>
        </is>
      </c>
      <c r="C365" t="inlineStr">
        <is>
          <t>Allied Barracks</t>
        </is>
      </c>
      <c r="D365" t="inlineStr"/>
      <c r="E365" s="5" t="n">
        <v>200000</v>
      </c>
      <c r="F365" s="5" t="n"/>
      <c r="G365" t="inlineStr">
        <is>
          <t>Wood</t>
        </is>
      </c>
      <c r="H365" s="5" t="n">
        <v>1</v>
      </c>
      <c r="I365" s="5" t="n">
        <v>1</v>
      </c>
      <c r="J365" s="5" t="n">
        <v>1</v>
      </c>
      <c r="W365" s="5" t="n">
        <v>1000</v>
      </c>
    </row>
    <row r="366">
      <c r="A366" t="inlineStr">
        <is>
          <t>redalert2</t>
        </is>
      </c>
      <c r="B366" t="inlineStr">
        <is>
          <t>ra2_allies_alliedbattlelab</t>
        </is>
      </c>
      <c r="C366" t="inlineStr">
        <is>
          <t>Allied Battle Lab</t>
        </is>
      </c>
      <c r="D366" t="inlineStr"/>
      <c r="E366" s="5" t="n">
        <v>500000</v>
      </c>
      <c r="F366" s="5" t="n"/>
      <c r="G366" t="inlineStr">
        <is>
          <t>Concrete</t>
        </is>
      </c>
      <c r="H366" s="5" t="n">
        <v>1</v>
      </c>
      <c r="I366" s="5" t="n">
        <v>1</v>
      </c>
      <c r="J366" s="5" t="n">
        <v>1</v>
      </c>
      <c r="W366" s="5" t="n">
        <v>5000</v>
      </c>
    </row>
    <row r="367">
      <c r="A367" t="inlineStr">
        <is>
          <t>redalert2</t>
        </is>
      </c>
      <c r="B367" t="inlineStr">
        <is>
          <t>ra2_allies_alliedconstructionyard</t>
        </is>
      </c>
      <c r="C367" t="inlineStr">
        <is>
          <t>Allied Construction Yard</t>
        </is>
      </c>
      <c r="D367" t="inlineStr"/>
      <c r="E367" s="5" t="n">
        <v>1000000</v>
      </c>
      <c r="F367" s="5" t="n"/>
      <c r="G367" t="inlineStr">
        <is>
          <t>Concrete</t>
        </is>
      </c>
      <c r="H367" s="5" t="n">
        <v>1</v>
      </c>
      <c r="I367" s="5" t="n">
        <v>1</v>
      </c>
      <c r="J367" s="5" t="n">
        <v>1</v>
      </c>
      <c r="W367" s="5" t="n">
        <v>5000</v>
      </c>
    </row>
    <row r="368">
      <c r="A368" t="inlineStr">
        <is>
          <t>redalert2</t>
        </is>
      </c>
      <c r="B368" t="inlineStr">
        <is>
          <t>ra2_allies_alliedorerefinery</t>
        </is>
      </c>
      <c r="C368" t="inlineStr">
        <is>
          <t>Allied Ore Refinery</t>
        </is>
      </c>
      <c r="D368" t="inlineStr"/>
      <c r="E368" s="5" t="n">
        <v>300000</v>
      </c>
      <c r="F368" s="5" t="n"/>
      <c r="G368" t="inlineStr">
        <is>
          <t>Concrete</t>
        </is>
      </c>
      <c r="H368" s="5" t="n">
        <v>1</v>
      </c>
      <c r="I368" s="5" t="n">
        <v>1</v>
      </c>
      <c r="J368" s="5" t="n">
        <v>1</v>
      </c>
      <c r="W368" s="5" t="n">
        <v>3000</v>
      </c>
    </row>
    <row r="369">
      <c r="A369" t="inlineStr">
        <is>
          <t>redalert2</t>
        </is>
      </c>
      <c r="B369" t="inlineStr">
        <is>
          <t>ra2_allies_alliedpowerplant</t>
        </is>
      </c>
      <c r="C369" t="inlineStr">
        <is>
          <t>Allied Power Plant</t>
        </is>
      </c>
      <c r="D369" t="inlineStr"/>
      <c r="E369" s="5" t="n">
        <v>200000</v>
      </c>
      <c r="F369" s="5" t="n"/>
      <c r="G369" t="inlineStr">
        <is>
          <t>Wood</t>
        </is>
      </c>
      <c r="H369" s="5" t="n">
        <v>1</v>
      </c>
      <c r="I369" s="5" t="n">
        <v>1</v>
      </c>
      <c r="J369" s="5" t="n">
        <v>1</v>
      </c>
      <c r="W369" s="5" t="n">
        <v>800</v>
      </c>
    </row>
    <row r="370">
      <c r="A370" t="inlineStr">
        <is>
          <t>redalert2</t>
        </is>
      </c>
      <c r="B370" t="inlineStr">
        <is>
          <t>ra2_allies_alliedservicedepot</t>
        </is>
      </c>
      <c r="C370" t="inlineStr">
        <is>
          <t>Allied Service Depot</t>
        </is>
      </c>
      <c r="D370" t="inlineStr"/>
      <c r="E370" s="5" t="n">
        <v>250000</v>
      </c>
      <c r="F370" s="5" t="n"/>
      <c r="G370" t="inlineStr">
        <is>
          <t>Concrete</t>
        </is>
      </c>
      <c r="H370" s="5" t="n">
        <v>1</v>
      </c>
      <c r="I370" s="5" t="n">
        <v>1</v>
      </c>
      <c r="J370" s="5" t="n">
        <v>1</v>
      </c>
      <c r="W370" s="5" t="n">
        <v>1000</v>
      </c>
    </row>
    <row r="371">
      <c r="A371" t="inlineStr">
        <is>
          <t>redalert2</t>
        </is>
      </c>
      <c r="B371" t="inlineStr">
        <is>
          <t>ra2_allies_alliedwarfactory</t>
        </is>
      </c>
      <c r="C371" t="inlineStr">
        <is>
          <t>Allied War Factory</t>
        </is>
      </c>
      <c r="D371" t="inlineStr"/>
      <c r="E371" s="5" t="n">
        <v>400000</v>
      </c>
      <c r="F371" s="5" t="n"/>
      <c r="G371" t="inlineStr">
        <is>
          <t>Concrete</t>
        </is>
      </c>
      <c r="H371" s="5" t="n">
        <v>1</v>
      </c>
      <c r="I371" s="5" t="n">
        <v>1</v>
      </c>
      <c r="J371" s="5" t="n">
        <v>1</v>
      </c>
      <c r="W371" s="5" t="n">
        <v>2000</v>
      </c>
    </row>
    <row r="372">
      <c r="A372" t="inlineStr">
        <is>
          <t>redalert2</t>
        </is>
      </c>
      <c r="B372" t="inlineStr">
        <is>
          <t>ra2_allies_orepurifier</t>
        </is>
      </c>
      <c r="C372" t="inlineStr">
        <is>
          <t>Ore Purifier</t>
        </is>
      </c>
      <c r="D372" t="inlineStr"/>
      <c r="E372" s="5" t="n">
        <v>500000</v>
      </c>
      <c r="F372" s="5" t="n"/>
      <c r="G372" t="inlineStr">
        <is>
          <t>Concrete</t>
        </is>
      </c>
      <c r="H372" s="5" t="n">
        <v>1</v>
      </c>
      <c r="I372" s="5" t="n">
        <v>1</v>
      </c>
      <c r="J372" s="5" t="n">
        <v>1</v>
      </c>
      <c r="W372" s="5" t="n">
        <v>5000</v>
      </c>
    </row>
    <row r="373">
      <c r="A373" t="inlineStr">
        <is>
          <t>redalert2</t>
        </is>
      </c>
      <c r="B373" t="inlineStr">
        <is>
          <t>ra2_allies_spysatelliteuplink</t>
        </is>
      </c>
      <c r="C373" t="inlineStr">
        <is>
          <t>Spy Satellite Uplink</t>
        </is>
      </c>
      <c r="D373" t="inlineStr"/>
      <c r="E373" s="5" t="n">
        <v>200000</v>
      </c>
      <c r="F373" s="5" t="n"/>
      <c r="G373" t="inlineStr">
        <is>
          <t>Wood</t>
        </is>
      </c>
      <c r="H373" s="5" t="n">
        <v>1</v>
      </c>
      <c r="I373" s="5" t="n">
        <v>1</v>
      </c>
      <c r="J373" s="5" t="n">
        <v>1</v>
      </c>
      <c r="W373" s="5" t="n">
        <v>2000</v>
      </c>
    </row>
    <row r="374">
      <c r="A374" s="3" t="inlineStr">
        <is>
          <t>UPGRADES</t>
        </is>
      </c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</row>
    <row r="375">
      <c r="A375" t="inlineStr">
        <is>
          <t>redalert2</t>
        </is>
      </c>
      <c r="B375" t="inlineStr">
        <is>
          <t>ra2_allies_upgrade_advancedaeronautics</t>
        </is>
      </c>
      <c r="C375" t="inlineStr">
        <is>
          <t>Advanced Aeronautics</t>
        </is>
      </c>
      <c r="D375" t="inlineStr"/>
      <c r="E375" s="5" t="n"/>
      <c r="F375" s="5" t="n"/>
      <c r="H375" s="5" t="n">
        <v>1</v>
      </c>
      <c r="I375" s="5" t="n">
        <v>1</v>
      </c>
      <c r="J375" s="5" t="n">
        <v>1</v>
      </c>
      <c r="W375" s="5" t="n">
        <v>7500</v>
      </c>
    </row>
    <row r="376">
      <c r="A376" t="inlineStr">
        <is>
          <t>redalert2</t>
        </is>
      </c>
      <c r="B376" t="inlineStr">
        <is>
          <t>ra2_allies_upgrade_assaultsquadtraining</t>
        </is>
      </c>
      <c r="C376" t="inlineStr">
        <is>
          <t>Assault Squad Training</t>
        </is>
      </c>
      <c r="D376" t="inlineStr"/>
      <c r="E376" s="5" t="n"/>
      <c r="F376" s="5" t="n"/>
      <c r="H376" s="5" t="n">
        <v>1</v>
      </c>
      <c r="I376" s="5" t="n">
        <v>1</v>
      </c>
      <c r="J376" s="5" t="n">
        <v>1</v>
      </c>
      <c r="W376" s="5" t="n">
        <v>5000</v>
      </c>
    </row>
    <row r="377">
      <c r="A377" t="inlineStr">
        <is>
          <t>redalert2</t>
        </is>
      </c>
      <c r="B377" t="inlineStr">
        <is>
          <t>ra2_allies_upgrade_chronoengine</t>
        </is>
      </c>
      <c r="C377" t="inlineStr">
        <is>
          <t>Chrono Engines</t>
        </is>
      </c>
      <c r="D377" t="inlineStr"/>
      <c r="E377" s="5" t="n"/>
      <c r="F377" s="5" t="n"/>
      <c r="H377" s="5" t="n">
        <v>1</v>
      </c>
      <c r="I377" s="5" t="n">
        <v>1</v>
      </c>
      <c r="J377" s="5" t="n">
        <v>1</v>
      </c>
      <c r="W377" s="5" t="n">
        <v>12500</v>
      </c>
    </row>
    <row r="378">
      <c r="A378" t="inlineStr">
        <is>
          <t>redalert2</t>
        </is>
      </c>
      <c r="B378" t="inlineStr">
        <is>
          <t>ra2_allies_upgrade_compositearmorplating</t>
        </is>
      </c>
      <c r="C378" t="inlineStr">
        <is>
          <t>Composite Armor Plating</t>
        </is>
      </c>
      <c r="D378" t="inlineStr"/>
      <c r="E378" s="5" t="n"/>
      <c r="F378" s="5" t="n"/>
      <c r="H378" s="5" t="n">
        <v>1</v>
      </c>
      <c r="I378" s="5" t="n">
        <v>1</v>
      </c>
      <c r="J378" s="5" t="n">
        <v>1</v>
      </c>
      <c r="W378" s="5" t="n">
        <v>5000</v>
      </c>
    </row>
    <row r="379">
      <c r="A379" t="inlineStr">
        <is>
          <t>redalert2</t>
        </is>
      </c>
      <c r="B379" t="inlineStr">
        <is>
          <t>ra2_allies_upgrade_elitegi</t>
        </is>
      </c>
      <c r="C379" t="inlineStr">
        <is>
          <t>Elite G.I.</t>
        </is>
      </c>
      <c r="D379" t="inlineStr"/>
      <c r="E379" s="5" t="n"/>
      <c r="F379" s="5" t="n"/>
      <c r="H379" s="5" t="n">
        <v>1</v>
      </c>
      <c r="I379" s="5" t="n">
        <v>1</v>
      </c>
      <c r="J379" s="5" t="n">
        <v>1</v>
      </c>
      <c r="W379" s="5" t="n">
        <v>2500</v>
      </c>
    </row>
    <row r="380">
      <c r="A380" t="inlineStr">
        <is>
          <t>redalert2</t>
        </is>
      </c>
      <c r="B380" t="inlineStr">
        <is>
          <t>ra2_allies_upgrade_eliterocketeer</t>
        </is>
      </c>
      <c r="C380" t="inlineStr">
        <is>
          <t>Elite Rocketeers</t>
        </is>
      </c>
      <c r="D380" t="inlineStr"/>
      <c r="E380" s="5" t="n"/>
      <c r="F380" s="5" t="n"/>
      <c r="H380" s="5" t="n">
        <v>1</v>
      </c>
      <c r="I380" s="5" t="n">
        <v>1</v>
      </c>
      <c r="J380" s="5" t="n">
        <v>1</v>
      </c>
      <c r="W380" s="5" t="n">
        <v>2500</v>
      </c>
    </row>
    <row r="381">
      <c r="A381" t="inlineStr">
        <is>
          <t>redalert2</t>
        </is>
      </c>
      <c r="B381" t="inlineStr">
        <is>
          <t>ra2_allies_upgrade_forceshield</t>
        </is>
      </c>
      <c r="C381" t="inlineStr">
        <is>
          <t>Force Shield</t>
        </is>
      </c>
      <c r="D381" t="inlineStr"/>
      <c r="E381" s="5" t="n"/>
      <c r="F381" s="5" t="n"/>
      <c r="H381" s="5" t="n">
        <v>1</v>
      </c>
      <c r="I381" s="5" t="n">
        <v>1</v>
      </c>
      <c r="J381" s="5" t="n">
        <v>1</v>
      </c>
      <c r="W381" s="5" t="n">
        <v>2500</v>
      </c>
    </row>
    <row r="382">
      <c r="A382" t="inlineStr">
        <is>
          <t>redalert2</t>
        </is>
      </c>
      <c r="B382" t="inlineStr">
        <is>
          <t>ra2_allies_upgrade_heavymiragetank</t>
        </is>
      </c>
      <c r="C382" t="inlineStr">
        <is>
          <t>Unlock Heavy Mirage Tanks</t>
        </is>
      </c>
      <c r="D382" t="inlineStr"/>
      <c r="E382" s="5" t="n"/>
      <c r="F382" s="5" t="n"/>
      <c r="H382" s="5" t="n">
        <v>1</v>
      </c>
      <c r="I382" s="5" t="n">
        <v>1</v>
      </c>
      <c r="J382" s="5" t="n">
        <v>1</v>
      </c>
      <c r="W382" s="5" t="n">
        <v>2500</v>
      </c>
    </row>
    <row r="383">
      <c r="A383" t="inlineStr">
        <is>
          <t>redalert2</t>
        </is>
      </c>
      <c r="B383" t="inlineStr">
        <is>
          <t>ra2_allies_upgrade_infiltratorstraining</t>
        </is>
      </c>
      <c r="C383" t="inlineStr">
        <is>
          <t>Elite Infiltrators Training</t>
        </is>
      </c>
      <c r="D383" t="inlineStr"/>
      <c r="E383" s="5" t="n"/>
      <c r="F383" s="5" t="n"/>
      <c r="H383" s="5" t="n">
        <v>1</v>
      </c>
      <c r="I383" s="5" t="n">
        <v>1</v>
      </c>
      <c r="J383" s="5" t="n">
        <v>1</v>
      </c>
      <c r="W383" s="5" t="n">
        <v>5000</v>
      </c>
    </row>
    <row r="384">
      <c r="A384" t="inlineStr">
        <is>
          <t>redalert2</t>
        </is>
      </c>
      <c r="B384" t="inlineStr">
        <is>
          <t>ra2_allies_upgrade_intensifiedprismbeams</t>
        </is>
      </c>
      <c r="C384" t="inlineStr">
        <is>
          <t>Intensified Prism Beams</t>
        </is>
      </c>
      <c r="D384" t="inlineStr"/>
      <c r="E384" s="5" t="n"/>
      <c r="F384" s="5" t="n"/>
      <c r="H384" s="5" t="n">
        <v>1</v>
      </c>
      <c r="I384" s="5" t="n">
        <v>1</v>
      </c>
      <c r="J384" s="5" t="n">
        <v>1</v>
      </c>
      <c r="W384" s="5" t="n">
        <v>7500</v>
      </c>
    </row>
    <row r="385">
      <c r="A385" t="inlineStr">
        <is>
          <t>redalert2</t>
        </is>
      </c>
      <c r="B385" t="inlineStr">
        <is>
          <t>ra2_allies_upgrade_ionpulseplating</t>
        </is>
      </c>
      <c r="C385" t="inlineStr">
        <is>
          <t>Chromium Ion Pulse Plating</t>
        </is>
      </c>
      <c r="D385" t="inlineStr"/>
      <c r="E385" s="5" t="n"/>
      <c r="F385" s="5" t="n"/>
      <c r="H385" s="5" t="n">
        <v>1</v>
      </c>
      <c r="I385" s="5" t="n">
        <v>1</v>
      </c>
      <c r="J385" s="5" t="n">
        <v>1</v>
      </c>
      <c r="W385" s="5" t="n">
        <v>5000</v>
      </c>
    </row>
    <row r="386">
      <c r="A386" t="inlineStr">
        <is>
          <t>redalert2</t>
        </is>
      </c>
      <c r="B386" t="inlineStr">
        <is>
          <t>ra2_allies_upgrade_paratroopers</t>
        </is>
      </c>
      <c r="C386" t="inlineStr">
        <is>
          <t>Paratroopers</t>
        </is>
      </c>
      <c r="D386" t="inlineStr"/>
      <c r="E386" s="5" t="n"/>
      <c r="F386" s="5" t="n"/>
      <c r="H386" s="5" t="n">
        <v>1</v>
      </c>
      <c r="I386" s="5" t="n">
        <v>1</v>
      </c>
      <c r="J386" s="5" t="n">
        <v>1</v>
      </c>
      <c r="W386" s="5" t="n">
        <v>2500</v>
      </c>
    </row>
    <row r="387">
      <c r="A387" t="inlineStr">
        <is>
          <t>redalert2</t>
        </is>
      </c>
      <c r="B387" t="inlineStr">
        <is>
          <t>ra2_allies_upgrade_prismaticbarrier</t>
        </is>
      </c>
      <c r="C387" t="inlineStr">
        <is>
          <t>Prismatic Barrier</t>
        </is>
      </c>
      <c r="D387" t="inlineStr"/>
      <c r="E387" s="5" t="n"/>
      <c r="F387" s="5" t="n"/>
      <c r="H387" s="5" t="n">
        <v>1</v>
      </c>
      <c r="I387" s="5" t="n">
        <v>1</v>
      </c>
      <c r="J387" s="5" t="n">
        <v>1</v>
      </c>
      <c r="W387" s="5" t="n">
        <v>10000</v>
      </c>
    </row>
    <row r="388">
      <c r="A388" t="inlineStr">
        <is>
          <t>redalert2</t>
        </is>
      </c>
      <c r="B388" t="inlineStr">
        <is>
          <t>ra2_allies_upgrade_prismlinking</t>
        </is>
      </c>
      <c r="C388" t="inlineStr">
        <is>
          <t>Prism Linking</t>
        </is>
      </c>
      <c r="D388" t="inlineStr"/>
      <c r="E388" s="5" t="n"/>
      <c r="F388" s="5" t="n"/>
      <c r="H388" s="5" t="n">
        <v>1</v>
      </c>
      <c r="I388" s="5" t="n">
        <v>1</v>
      </c>
      <c r="J388" s="5" t="n">
        <v>1</v>
      </c>
      <c r="W388" s="5" t="n">
        <v>2500</v>
      </c>
    </row>
    <row r="389">
      <c r="A389" t="inlineStr">
        <is>
          <t>redalert2</t>
        </is>
      </c>
      <c r="B389" t="inlineStr">
        <is>
          <t>ra2_allies_upgrade_reflectivearmorplating</t>
        </is>
      </c>
      <c r="C389" t="inlineStr">
        <is>
          <t>Reflective Armor Plating</t>
        </is>
      </c>
      <c r="D389" t="inlineStr"/>
      <c r="E389" s="5" t="n"/>
      <c r="F389" s="5" t="n"/>
      <c r="H389" s="5" t="n">
        <v>1</v>
      </c>
      <c r="I389" s="5" t="n">
        <v>1</v>
      </c>
      <c r="J389" s="5" t="n">
        <v>1</v>
      </c>
      <c r="W389" s="5" t="n">
        <v>5000</v>
      </c>
    </row>
    <row r="390">
      <c r="A390" t="inlineStr">
        <is>
          <t>redalert2</t>
        </is>
      </c>
      <c r="B390" t="inlineStr">
        <is>
          <t>ra2_allies_upgrade_tanklasertargeting</t>
        </is>
      </c>
      <c r="C390" t="inlineStr">
        <is>
          <t>Tank Laser Targeting</t>
        </is>
      </c>
      <c r="D390" t="inlineStr"/>
      <c r="E390" s="5" t="n"/>
      <c r="F390" s="5" t="n"/>
      <c r="H390" s="5" t="n">
        <v>1</v>
      </c>
      <c r="I390" s="5" t="n">
        <v>1</v>
      </c>
      <c r="J390" s="5" t="n">
        <v>1</v>
      </c>
      <c r="W390" s="5" t="n">
        <v>7500</v>
      </c>
    </row>
    <row r="391">
      <c r="A391" t="inlineStr">
        <is>
          <t>redalert2</t>
        </is>
      </c>
      <c r="B391" t="inlineStr">
        <is>
          <t>ra2_allies_upgrade_thunderboltmissiles</t>
        </is>
      </c>
      <c r="C391" t="inlineStr">
        <is>
          <t>Thunderbolt Missiles</t>
        </is>
      </c>
      <c r="D391" t="inlineStr"/>
      <c r="E391" s="5" t="n"/>
      <c r="F391" s="5" t="n"/>
      <c r="H391" s="5" t="n">
        <v>1</v>
      </c>
      <c r="I391" s="5" t="n">
        <v>1</v>
      </c>
      <c r="J391" s="5" t="n">
        <v>1</v>
      </c>
      <c r="W391" s="5" t="n">
        <v>7500</v>
      </c>
    </row>
    <row r="392">
      <c r="A392" t="inlineStr">
        <is>
          <t>redalert2</t>
        </is>
      </c>
      <c r="B392" t="inlineStr">
        <is>
          <t>ra2_allies_upgrade_vanguardtraining</t>
        </is>
      </c>
      <c r="C392" t="inlineStr">
        <is>
          <t>Vanguard Training</t>
        </is>
      </c>
      <c r="D392" t="inlineStr"/>
      <c r="E392" s="5" t="n"/>
      <c r="F392" s="5" t="n"/>
      <c r="H392" s="5" t="n">
        <v>1</v>
      </c>
      <c r="I392" s="5" t="n">
        <v>1</v>
      </c>
      <c r="J392" s="5" t="n">
        <v>1</v>
      </c>
      <c r="W392" s="5" t="n">
        <v>5000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393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6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redalert2</t>
        </is>
      </c>
      <c r="B3" t="inlineStr">
        <is>
          <t>ra2_soviets_attackdog</t>
        </is>
      </c>
      <c r="C3" t="inlineStr">
        <is>
          <t>Attack Dog</t>
        </is>
      </c>
      <c r="D3" t="inlineStr"/>
      <c r="E3" s="5" t="n">
        <v>5000</v>
      </c>
      <c r="F3" s="5" t="n">
        <v>100</v>
      </c>
      <c r="G3" t="inlineStr">
        <is>
          <t>None</t>
        </is>
      </c>
      <c r="H3" s="5" t="n">
        <v>1</v>
      </c>
      <c r="I3" s="5" t="n">
        <v>1</v>
      </c>
      <c r="J3" s="5" t="n">
        <v>1</v>
      </c>
      <c r="O3">
        <f>MAX(O4)</f>
        <v/>
      </c>
      <c r="R3">
        <f>R4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200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DogJaw</t>
        </is>
      </c>
      <c r="C4" s="6" t="inlineStr">
        <is>
          <t>Armament</t>
        </is>
      </c>
      <c r="K4" s="5" t="n">
        <v>100000</v>
      </c>
      <c r="L4" s="5" t="n">
        <v>10</v>
      </c>
      <c r="M4" s="5" t="n">
        <v>1</v>
      </c>
      <c r="N4" s="5" t="n"/>
      <c r="O4" s="5" t="n">
        <v>2000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/>
    </row>
    <row r="5">
      <c r="A5" t="inlineStr">
        <is>
          <t>redalert2</t>
        </is>
      </c>
      <c r="B5" t="inlineStr">
        <is>
          <t>ra2_soviets_boris</t>
        </is>
      </c>
      <c r="C5" t="inlineStr">
        <is>
          <t>Boris</t>
        </is>
      </c>
      <c r="D5" t="inlineStr"/>
      <c r="E5" s="5" t="n">
        <v>90000</v>
      </c>
      <c r="F5" s="5" t="n">
        <v>60</v>
      </c>
      <c r="G5" t="inlineStr">
        <is>
          <t>Heroic</t>
        </is>
      </c>
      <c r="H5" s="5" t="n">
        <v>0.75</v>
      </c>
      <c r="I5" s="5" t="n">
        <v>1</v>
      </c>
      <c r="J5" s="5" t="n">
        <v>1.25</v>
      </c>
      <c r="O5">
        <f>MAX(O6,O7,O8,O9)</f>
        <v/>
      </c>
      <c r="R5">
        <f>R6+R7+R8+R9</f>
        <v/>
      </c>
      <c r="S5">
        <f>(E5/100000+F5/100+(O5/1000)*J5/5+R5/200)*200*I5*H5</f>
        <v/>
      </c>
      <c r="T5">
        <f>((E5*F5/25000)+((O5/1000)*J5*R5/2.5))*I5*H5</f>
        <v/>
      </c>
      <c r="U5">
        <f>(E5*F5*(O5/1000)*J5*R5*I5*H5)/12500000</f>
        <v/>
      </c>
      <c r="V5">
        <f>(S5+T5+U5)/3</f>
        <v/>
      </c>
      <c r="W5" s="5" t="n">
        <v>3000</v>
      </c>
      <c r="X5">
        <f>IFERROR(V5-W5,"")</f>
        <v/>
      </c>
      <c r="Y5">
        <f>IFERROR(ABS(X5)/MAX(W5,1),"")</f>
        <v/>
      </c>
      <c r="Z5">
        <f>IFERROR((W5-(((E5/100000+F5/100+R5/200)*200*I5*H5)+((E5*F5/25000)*I5*H5))/3)/(((J5/5)*200*I5*H5)+((J5*R5/2.5)*I5*H5)+((E5*F5*J5*R5*I5*H5)/12500000))/3*1000,"")</f>
        <v/>
      </c>
    </row>
    <row r="6">
      <c r="B6" s="6" t="inlineStr">
        <is>
          <t xml:space="preserve">  ↳ BorisAKM</t>
        </is>
      </c>
      <c r="C6" s="6" t="inlineStr">
        <is>
          <t>Armament@PRIMARY</t>
        </is>
      </c>
      <c r="K6" s="5" t="n">
        <v>4000</v>
      </c>
      <c r="L6" s="5" t="n">
        <v>18</v>
      </c>
      <c r="M6" s="5" t="n">
        <v>4</v>
      </c>
      <c r="N6" s="5" t="n">
        <v>2</v>
      </c>
      <c r="O6" s="5" t="n">
        <v>8167</v>
      </c>
      <c r="P6" s="5" t="n">
        <v>1</v>
      </c>
      <c r="Q6">
        <f>L6+IF(M6&gt;1,N(N6)*(M6-1),0)</f>
        <v/>
      </c>
      <c r="R6">
        <f>IFERROR(K6*MAX(M6,1)/Q6*P6,0)</f>
        <v/>
      </c>
      <c r="AA6" s="6" t="inlineStr">
        <is>
          <t>^RA2SmallArms, ^RA2Chaingun</t>
        </is>
      </c>
    </row>
    <row r="7">
      <c r="B7" s="6" t="inlineStr">
        <is>
          <t xml:space="preserve">  ↳ BorisAKME</t>
        </is>
      </c>
      <c r="C7" s="6" t="inlineStr">
        <is>
          <t>Armament@ELITE</t>
        </is>
      </c>
      <c r="K7" s="5" t="n">
        <v>4000</v>
      </c>
      <c r="L7" s="5" t="n">
        <v>18</v>
      </c>
      <c r="M7" s="5" t="n">
        <v>8</v>
      </c>
      <c r="N7" s="5" t="n">
        <v>2</v>
      </c>
      <c r="O7" s="5" t="n">
        <v>9167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^RA2SmallArms, ^RA2Chaingun</t>
        </is>
      </c>
    </row>
    <row r="8">
      <c r="B8" s="6" t="inlineStr">
        <is>
          <t xml:space="preserve">  ↳ BorisAKM2</t>
        </is>
      </c>
      <c r="C8" s="6" t="inlineStr">
        <is>
          <t>Armament@AntiBuilding</t>
        </is>
      </c>
      <c r="K8" s="5" t="n">
        <v>4000</v>
      </c>
      <c r="L8" s="5" t="n">
        <v>18</v>
      </c>
      <c r="M8" s="5" t="n">
        <v>4</v>
      </c>
      <c r="N8" s="5" t="n">
        <v>2</v>
      </c>
      <c r="O8" s="5" t="n">
        <v>9167</v>
      </c>
      <c r="P8" s="5" t="n">
        <v>1</v>
      </c>
      <c r="Q8">
        <f>L8+IF(M8&gt;1,N(N8)*(M8-1),0)</f>
        <v/>
      </c>
      <c r="R8">
        <f>IFERROR(K8*MAX(M8,1)/Q8*P8,0)</f>
        <v/>
      </c>
      <c r="AA8" s="6" t="inlineStr">
        <is>
          <t>^RA2SmallArms, ^RA2Chaingun</t>
        </is>
      </c>
    </row>
    <row r="9">
      <c r="B9" s="6" t="inlineStr">
        <is>
          <t xml:space="preserve">  ↳ MigTarget</t>
        </is>
      </c>
      <c r="C9" s="6" t="inlineStr">
        <is>
          <t>Armament@SECONDARY</t>
        </is>
      </c>
      <c r="K9" s="5" t="n"/>
      <c r="L9" s="5" t="n">
        <v>60</v>
      </c>
      <c r="M9" s="5" t="n">
        <v>3</v>
      </c>
      <c r="N9" s="5" t="n">
        <v>15</v>
      </c>
      <c r="O9" s="5" t="n">
        <v>9167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/>
    </row>
    <row r="10">
      <c r="B10" s="6" t="inlineStr">
        <is>
          <t xml:space="preserve">  ↳ BorisAKM</t>
        </is>
      </c>
      <c r="C10" s="6" t="inlineStr">
        <is>
          <t>Armament@GARRISONED</t>
        </is>
      </c>
      <c r="K10" s="5" t="n">
        <v>4000</v>
      </c>
      <c r="L10" s="5" t="n">
        <v>18</v>
      </c>
      <c r="M10" s="5" t="n">
        <v>4</v>
      </c>
      <c r="N10" s="5" t="n">
        <v>2</v>
      </c>
      <c r="O10" s="5" t="n">
        <v>8167</v>
      </c>
      <c r="P10" s="5" t="n">
        <v>1</v>
      </c>
      <c r="Q10">
        <f>L10+IF(M10&gt;1,N(N10)*(M10-1),0)</f>
        <v/>
      </c>
      <c r="R10">
        <f>IFERROR(K10*MAX(M10,1)/Q10*P10,0)</f>
        <v/>
      </c>
      <c r="AA10" s="6" t="inlineStr">
        <is>
          <t>^RA2SmallArms, ^RA2Chaingun</t>
        </is>
      </c>
    </row>
    <row r="11">
      <c r="B11" s="6" t="inlineStr">
        <is>
          <t xml:space="preserve">  ↳ BorisAKME</t>
        </is>
      </c>
      <c r="C11" s="6" t="inlineStr">
        <is>
          <t>Armament@GARRISONEDELITE</t>
        </is>
      </c>
      <c r="K11" s="5" t="n">
        <v>4000</v>
      </c>
      <c r="L11" s="5" t="n">
        <v>18</v>
      </c>
      <c r="M11" s="5" t="n">
        <v>8</v>
      </c>
      <c r="N11" s="5" t="n">
        <v>2</v>
      </c>
      <c r="O11" s="5" t="n">
        <v>9167</v>
      </c>
      <c r="P11" s="5" t="n">
        <v>1</v>
      </c>
      <c r="Q11">
        <f>L11+IF(M11&gt;1,N(N11)*(M11-1),0)</f>
        <v/>
      </c>
      <c r="R11">
        <f>IFERROR(K11*MAX(M11,1)/Q11*P11,0)</f>
        <v/>
      </c>
      <c r="AA11" s="6" t="inlineStr">
        <is>
          <t>^RA2SmallArms, ^RA2Chaingun</t>
        </is>
      </c>
    </row>
    <row r="12">
      <c r="A12" t="inlineStr">
        <is>
          <t>redalert2</t>
        </is>
      </c>
      <c r="B12" t="inlineStr">
        <is>
          <t>ra2_soviets_conscript</t>
        </is>
      </c>
      <c r="C12" t="inlineStr">
        <is>
          <t>Conscript</t>
        </is>
      </c>
      <c r="D12" t="inlineStr"/>
      <c r="E12" s="5" t="n">
        <v>26000</v>
      </c>
      <c r="F12" s="5" t="n">
        <v>57</v>
      </c>
      <c r="G12" t="inlineStr">
        <is>
          <t>None</t>
        </is>
      </c>
      <c r="H12" s="5" t="n">
        <v>1</v>
      </c>
      <c r="I12" s="5" t="n">
        <v>0.5</v>
      </c>
      <c r="J12" s="5" t="n">
        <v>1</v>
      </c>
      <c r="O12">
        <f>MAX(O13,O14)</f>
        <v/>
      </c>
      <c r="R12">
        <f>R13+R14</f>
        <v/>
      </c>
      <c r="S12">
        <f>(E12/100000+F12/100+(O12/1000)*J12/5+R12/200)*200*I12*H12</f>
        <v/>
      </c>
      <c r="T12">
        <f>((E12*F12/25000)+((O12/1000)*J12*R12/2.5))*I12*H12</f>
        <v/>
      </c>
      <c r="U12">
        <f>(E12*F12*(O12/1000)*J12*R12*I12*H12)/12500000</f>
        <v/>
      </c>
      <c r="V12">
        <f>(S12+T12+U12)/3</f>
        <v/>
      </c>
      <c r="W12" s="5" t="n">
        <v>100</v>
      </c>
      <c r="X12">
        <f>IFERROR(V12-W12,"")</f>
        <v/>
      </c>
      <c r="Y12">
        <f>IFERROR(ABS(X12)/MAX(W12,1),"")</f>
        <v/>
      </c>
      <c r="Z12">
        <f>IFERROR((W12-(((E12/100000+F12/100+R12/200)*200*I12*H12)+((E12*F12/25000)*I12*H12))/3)/(((J12/5)*200*I12*H12)+((J12*R12/2.5)*I12*H12)+((E12*F12*J12*R12*I12*H12)/12500000))/3*1000,"")</f>
        <v/>
      </c>
    </row>
    <row r="13">
      <c r="B13" s="6" t="inlineStr">
        <is>
          <t xml:space="preserve">  ↳ ra2_soviets_conscript_carbine</t>
        </is>
      </c>
      <c r="C13" s="6" t="inlineStr">
        <is>
          <t>Armament@PRIMARY</t>
        </is>
      </c>
      <c r="K13" s="5" t="n">
        <v>2000</v>
      </c>
      <c r="L13" s="5" t="n">
        <v>18</v>
      </c>
      <c r="M13" s="5" t="n">
        <v>1</v>
      </c>
      <c r="N13" s="5" t="n"/>
      <c r="O13" s="5" t="n">
        <v>4500</v>
      </c>
      <c r="P13" s="5" t="n">
        <v>1</v>
      </c>
      <c r="Q13">
        <f>L13+IF(M13&gt;1,N(N13)*(M13-1),0)</f>
        <v/>
      </c>
      <c r="R13">
        <f>IFERROR(K13*MAX(M13,1)/Q13*P13,0)</f>
        <v/>
      </c>
      <c r="AA13" s="6" t="inlineStr">
        <is>
          <t>^RA2SmallArms</t>
        </is>
      </c>
    </row>
    <row r="14">
      <c r="B14" s="6" t="inlineStr">
        <is>
          <t xml:space="preserve">  ↳ ra2_soviets_conscript_carbine_elite</t>
        </is>
      </c>
      <c r="C14" s="6" t="inlineStr">
        <is>
          <t>Armament@ELITE</t>
        </is>
      </c>
      <c r="K14" s="5" t="n">
        <v>2000</v>
      </c>
      <c r="L14" s="5" t="n">
        <v>18</v>
      </c>
      <c r="M14" s="5" t="n">
        <v>2</v>
      </c>
      <c r="N14" s="5" t="n">
        <v>3</v>
      </c>
      <c r="O14" s="5" t="n">
        <v>5500</v>
      </c>
      <c r="P14" s="5" t="n">
        <v>1</v>
      </c>
      <c r="Q14">
        <f>L14+IF(M14&gt;1,N(N14)*(M14-1),0)</f>
        <v/>
      </c>
      <c r="R14">
        <f>IFERROR(K14*MAX(M14,1)/Q14*P14,0)</f>
        <v/>
      </c>
      <c r="AA14" s="6" t="inlineStr">
        <is>
          <t>^RA2SmallArms</t>
        </is>
      </c>
    </row>
    <row r="15">
      <c r="B15" s="6" t="inlineStr">
        <is>
          <t xml:space="preserve">  ↳ RA2vulcan3</t>
        </is>
      </c>
      <c r="C15" s="6" t="inlineStr">
        <is>
          <t>Armament@GARRISONED</t>
        </is>
      </c>
      <c r="K15" s="5" t="n">
        <v>2000</v>
      </c>
      <c r="L15" s="5" t="n">
        <v>50</v>
      </c>
      <c r="M15" s="5" t="n">
        <v>3</v>
      </c>
      <c r="N15" s="5" t="n">
        <v>2</v>
      </c>
      <c r="O15" s="5" t="n">
        <v>5724</v>
      </c>
      <c r="P15" s="5" t="n">
        <v>1</v>
      </c>
      <c r="Q15">
        <f>L15+IF(M15&gt;1,N(N15)*(M15-1),0)</f>
        <v/>
      </c>
      <c r="R15">
        <f>IFERROR(K15*MAX(M15,1)/Q15*P15,0)</f>
        <v/>
      </c>
      <c r="AA15" s="6" t="inlineStr">
        <is>
          <t>^RA2SmallArms, ^RA2Chaingun</t>
        </is>
      </c>
    </row>
    <row r="16">
      <c r="A16" t="inlineStr">
        <is>
          <t>redalert2</t>
        </is>
      </c>
      <c r="B16" t="inlineStr">
        <is>
          <t>ra2_soviets_crazyivan</t>
        </is>
      </c>
      <c r="C16" t="inlineStr">
        <is>
          <t>Crazy Ivan</t>
        </is>
      </c>
      <c r="D16" t="inlineStr"/>
      <c r="E16" s="5" t="n">
        <v>10000</v>
      </c>
      <c r="F16" s="5" t="n">
        <v>100</v>
      </c>
      <c r="G16" t="inlineStr">
        <is>
          <t>Plate</t>
        </is>
      </c>
      <c r="H16" s="5" t="n">
        <v>1</v>
      </c>
      <c r="I16" s="5" t="n">
        <v>1</v>
      </c>
      <c r="J16" s="5" t="n">
        <v>1</v>
      </c>
      <c r="O16">
        <f>MAX(O17,O18)</f>
        <v/>
      </c>
      <c r="R16">
        <f>R17+R18</f>
        <v/>
      </c>
      <c r="S16">
        <f>(E16/100000+F16/100+(O16/1000)*J16/5+R16/200)*200*I16*H16</f>
        <v/>
      </c>
      <c r="T16">
        <f>((E16*F16/25000)+((O16/1000)*J16*R16/2.5))*I16*H16</f>
        <v/>
      </c>
      <c r="U16">
        <f>(E16*F16*(O16/1000)*J16*R16*I16*H16)/12500000</f>
        <v/>
      </c>
      <c r="V16">
        <f>(S16+T16+U16)/3</f>
        <v/>
      </c>
      <c r="W16" s="5" t="n">
        <v>600</v>
      </c>
      <c r="X16">
        <f>IFERROR(V16-W16,"")</f>
        <v/>
      </c>
      <c r="Y16">
        <f>IFERROR(ABS(X16)/MAX(W16,1),"")</f>
        <v/>
      </c>
      <c r="Z16">
        <f>IFERROR((W16-(((E16/100000+F16/100+R16/200)*200*I16*H16)+((E16*F16/25000)*I16*H16))/3)/(((J16/5)*200*I16*H16)+((J16*R16/2.5)*I16*H16)+((E16*F16*J16*R16*I16*H16)/12500000))/3*1000,"")</f>
        <v/>
      </c>
    </row>
    <row r="17">
      <c r="B17" s="6" t="inlineStr">
        <is>
          <t xml:space="preserve">  ↳ IvanAttach</t>
        </is>
      </c>
      <c r="C17" s="6" t="inlineStr">
        <is>
          <t>Armament</t>
        </is>
      </c>
      <c r="K17" s="5" t="n"/>
      <c r="L17" s="5" t="n">
        <v>20</v>
      </c>
      <c r="M17" s="5" t="n">
        <v>1</v>
      </c>
      <c r="N17" s="5" t="n"/>
      <c r="O17" s="5" t="n">
        <v>2000</v>
      </c>
      <c r="P17" s="5" t="n">
        <v>1</v>
      </c>
      <c r="Q17">
        <f>L17+IF(M17&gt;1,N(N17)*(M17-1),0)</f>
        <v/>
      </c>
      <c r="R17">
        <f>IFERROR(K17*MAX(M17,1)/Q17*P17,0)</f>
        <v/>
      </c>
      <c r="AA17" s="6" t="inlineStr"/>
    </row>
    <row r="18">
      <c r="B18" s="6" t="inlineStr">
        <is>
          <t xml:space="preserve">  ↳ IvanAttachAir</t>
        </is>
      </c>
      <c r="C18" s="6" t="inlineStr">
        <is>
          <t>Armament@aa</t>
        </is>
      </c>
      <c r="K18" s="5" t="n"/>
      <c r="L18" s="5" t="n">
        <v>20</v>
      </c>
      <c r="M18" s="5" t="n">
        <v>1</v>
      </c>
      <c r="N18" s="5" t="n"/>
      <c r="O18" s="5" t="n">
        <v>2000</v>
      </c>
      <c r="P18" s="5" t="n">
        <v>1</v>
      </c>
      <c r="Q18">
        <f>L18+IF(M18&gt;1,N(N18)*(M18-1),0)</f>
        <v/>
      </c>
      <c r="R18">
        <f>IFERROR(K18*MAX(M18,1)/Q18*P18,0)</f>
        <v/>
      </c>
      <c r="AA18" s="6" t="inlineStr">
        <is>
          <t>IvanAttach</t>
        </is>
      </c>
    </row>
    <row r="19">
      <c r="A19" t="inlineStr">
        <is>
          <t>redalert2</t>
        </is>
      </c>
      <c r="B19" t="inlineStr">
        <is>
          <t>ra2_soviets_desolator</t>
        </is>
      </c>
      <c r="C19" t="inlineStr">
        <is>
          <t>Desolator</t>
        </is>
      </c>
      <c r="D19" t="inlineStr"/>
      <c r="E19" s="5" t="n">
        <v>30000</v>
      </c>
      <c r="F19" s="5" t="n">
        <v>59</v>
      </c>
      <c r="G19" t="inlineStr">
        <is>
          <t>Plate</t>
        </is>
      </c>
      <c r="H19" s="5" t="n">
        <v>0.75</v>
      </c>
      <c r="I19" s="5" t="n">
        <v>0.8</v>
      </c>
      <c r="J19" s="5" t="n">
        <v>1</v>
      </c>
      <c r="O19">
        <f>MAX(O20,O21)</f>
        <v/>
      </c>
      <c r="R19">
        <f>R20+R21</f>
        <v/>
      </c>
      <c r="S19">
        <f>(E19/100000+F19/100+(O19/1000)*J19/5+R19/200)*200*I19*H19</f>
        <v/>
      </c>
      <c r="T19">
        <f>((E19*F19/25000)+((O19/1000)*J19*R19/2.5))*I19*H19</f>
        <v/>
      </c>
      <c r="U19">
        <f>(E19*F19*(O19/1000)*J19*R19*I19*H19)/12500000</f>
        <v/>
      </c>
      <c r="V19">
        <f>(S19+T19+U19)/3</f>
        <v/>
      </c>
      <c r="W19" s="5" t="n">
        <v>700</v>
      </c>
      <c r="X19">
        <f>IFERROR(V19-W19,"")</f>
        <v/>
      </c>
      <c r="Y19">
        <f>IFERROR(ABS(X19)/MAX(W19,1),"")</f>
        <v/>
      </c>
      <c r="Z19">
        <f>IFERROR((W19-(((E19/100000+F19/100+R19/200)*200*I19*H19)+((E19*F19/25000)*I19*H19))/3)/(((J19/5)*200*I19*H19)+((J19*R19/2.5)*I19*H19)+((E19*F19*J19*R19*I19*H19)/12500000))/3*1000,"")</f>
        <v/>
      </c>
    </row>
    <row r="20">
      <c r="B20" s="6" t="inlineStr">
        <is>
          <t xml:space="preserve">  ↳ RA2RadBeamWeapon</t>
        </is>
      </c>
      <c r="C20" s="6" t="inlineStr">
        <is>
          <t>Armament@PRIMARY</t>
        </is>
      </c>
      <c r="K20" s="5" t="n">
        <v>30000</v>
      </c>
      <c r="L20" s="5" t="n">
        <v>45</v>
      </c>
      <c r="M20" s="5" t="n">
        <v>1</v>
      </c>
      <c r="N20" s="5" t="n"/>
      <c r="O20" s="5" t="n">
        <v>6444</v>
      </c>
      <c r="P20" s="5" t="n">
        <v>1</v>
      </c>
      <c r="Q20">
        <f>L20+IF(M20&gt;1,N(N20)*(M20-1),0)</f>
        <v/>
      </c>
      <c r="R20">
        <f>IFERROR(K20*MAX(M20,1)/Q20*P20,0)</f>
        <v/>
      </c>
      <c r="AA20" s="6" t="inlineStr">
        <is>
          <t>^MediumChemicalWeapon</t>
        </is>
      </c>
    </row>
    <row r="21">
      <c r="B21" s="6" t="inlineStr">
        <is>
          <t xml:space="preserve">  ↳ RA2RadBeamWeaponE</t>
        </is>
      </c>
      <c r="C21" s="6" t="inlineStr">
        <is>
          <t>Armament@ELITE</t>
        </is>
      </c>
      <c r="K21" s="5" t="n">
        <v>30000</v>
      </c>
      <c r="L21" s="5" t="n">
        <v>45</v>
      </c>
      <c r="M21" s="5" t="n">
        <v>2</v>
      </c>
      <c r="N21" s="5" t="n">
        <v>3</v>
      </c>
      <c r="O21" s="5" t="n">
        <v>7444</v>
      </c>
      <c r="P21" s="5" t="n">
        <v>1</v>
      </c>
      <c r="Q21">
        <f>L21+IF(M21&gt;1,N(N21)*(M21-1),0)</f>
        <v/>
      </c>
      <c r="R21">
        <f>IFERROR(K21*MAX(M21,1)/Q21*P21,0)</f>
        <v/>
      </c>
      <c r="AA21" s="6" t="inlineStr">
        <is>
          <t>^MediumChemicalWeapon</t>
        </is>
      </c>
    </row>
    <row r="22">
      <c r="B22" s="6" t="inlineStr">
        <is>
          <t xml:space="preserve">  ↳ RA2RadBeamWeapon</t>
        </is>
      </c>
      <c r="C22" s="6" t="inlineStr">
        <is>
          <t>Armament@GARRISONED</t>
        </is>
      </c>
      <c r="K22" s="5" t="n">
        <v>30000</v>
      </c>
      <c r="L22" s="5" t="n">
        <v>45</v>
      </c>
      <c r="M22" s="5" t="n">
        <v>1</v>
      </c>
      <c r="N22" s="5" t="n"/>
      <c r="O22" s="5" t="n">
        <v>6444</v>
      </c>
      <c r="P22" s="5" t="n">
        <v>1</v>
      </c>
      <c r="Q22">
        <f>L22+IF(M22&gt;1,N(N22)*(M22-1),0)</f>
        <v/>
      </c>
      <c r="R22">
        <f>IFERROR(K22*MAX(M22,1)/Q22*P22,0)</f>
        <v/>
      </c>
      <c r="AA22" s="6" t="inlineStr">
        <is>
          <t>^MediumChemicalWeapon</t>
        </is>
      </c>
    </row>
    <row r="23">
      <c r="A23" t="inlineStr">
        <is>
          <t>redalert2</t>
        </is>
      </c>
      <c r="B23" t="inlineStr">
        <is>
          <t>ra2_soviets_engineer</t>
        </is>
      </c>
      <c r="C23" t="inlineStr">
        <is>
          <t>Engineer</t>
        </is>
      </c>
      <c r="D23" t="inlineStr"/>
      <c r="E23" s="5" t="n">
        <v>5000</v>
      </c>
      <c r="F23" s="5" t="n">
        <v>50</v>
      </c>
      <c r="G23" t="inlineStr">
        <is>
          <t>None</t>
        </is>
      </c>
      <c r="H23" s="5" t="n">
        <v>1</v>
      </c>
      <c r="I23" s="5" t="n">
        <v>1</v>
      </c>
      <c r="J23" s="5" t="n">
        <v>1</v>
      </c>
      <c r="O23">
        <f>MAX(O24,O25)</f>
        <v/>
      </c>
      <c r="R23">
        <f>R24+R25</f>
        <v/>
      </c>
      <c r="S23">
        <f>(E23/100000+F23/100+(O23/1000)*J23/5+R23/200)*200*I23*H23</f>
        <v/>
      </c>
      <c r="T23">
        <f>((E23*F23/25000)+((O23/1000)*J23*R23/2.5))*I23*H23</f>
        <v/>
      </c>
      <c r="U23">
        <f>(E23*F23*(O23/1000)*J23*R23*I23*H23)/12500000</f>
        <v/>
      </c>
      <c r="V23">
        <f>(S23+T23+U23)/3</f>
        <v/>
      </c>
      <c r="W23" s="5" t="n">
        <v>500</v>
      </c>
      <c r="X23">
        <f>IFERROR(V23-W23,"")</f>
        <v/>
      </c>
      <c r="Y23">
        <f>IFERROR(ABS(X23)/MAX(W23,1),"")</f>
        <v/>
      </c>
      <c r="Z23">
        <f>IFERROR((W23-(((E23/100000+F23/100+R23/200)*200*I23*H23)+((E23*F23/25000)*I23*H23))/3)/(((J23/5)*200*I23*H23)+((J23*R23/2.5)*I23*H23)+((E23*F23*J23*R23*I23*H23)/12500000))/3*1000,"")</f>
        <v/>
      </c>
    </row>
    <row r="24">
      <c r="B24" s="6" t="inlineStr">
        <is>
          <t xml:space="preserve">  ↳ DefuseKit</t>
        </is>
      </c>
      <c r="C24" s="6" t="inlineStr">
        <is>
          <t>Armament@defuse</t>
        </is>
      </c>
      <c r="K24" s="5" t="n"/>
      <c r="L24" s="5" t="n">
        <v>20</v>
      </c>
      <c r="M24" s="5" t="n">
        <v>1</v>
      </c>
      <c r="N24" s="5" t="n"/>
      <c r="O24" s="5" t="n">
        <v>1536</v>
      </c>
      <c r="P24" s="5" t="n">
        <v>1</v>
      </c>
      <c r="Q24">
        <f>L24+IF(M24&gt;1,N(N24)*(M24-1),0)</f>
        <v/>
      </c>
      <c r="R24">
        <f>IFERROR(K24*MAX(M24,1)/Q24*P24,0)</f>
        <v/>
      </c>
      <c r="AA24" s="6" t="inlineStr">
        <is>
          <t>^RemovesIvanBombs, ^RemovesTerrorDrone</t>
        </is>
      </c>
    </row>
    <row r="25">
      <c r="B25" s="6" t="inlineStr">
        <is>
          <t xml:space="preserve">  ↳ LeechDisinfect</t>
        </is>
      </c>
      <c r="C25" s="6" t="inlineStr">
        <is>
          <t>Armament@leechdisinfect</t>
        </is>
      </c>
      <c r="K25" s="5" t="n"/>
      <c r="L25" s="5" t="n">
        <v>100</v>
      </c>
      <c r="M25" s="5" t="n">
        <v>1</v>
      </c>
      <c r="N25" s="5" t="n"/>
      <c r="O25" s="5" t="n">
        <v>1536</v>
      </c>
      <c r="P25" s="5" t="n">
        <v>1</v>
      </c>
      <c r="Q25">
        <f>L25+IF(M25&gt;1,N(N25)*(M25-1),0)</f>
        <v/>
      </c>
      <c r="R25">
        <f>IFERROR(K25*MAX(M25,1)/Q25*P25,0)</f>
        <v/>
      </c>
      <c r="AA25" s="6" t="inlineStr"/>
    </row>
    <row r="26">
      <c r="A26" t="inlineStr">
        <is>
          <t>redalert2</t>
        </is>
      </c>
      <c r="B26" t="inlineStr">
        <is>
          <t>ra2_soviets_flaktrooper</t>
        </is>
      </c>
      <c r="C26" t="inlineStr">
        <is>
          <t>Flak Trooper</t>
        </is>
      </c>
      <c r="D26" t="inlineStr"/>
      <c r="E26" s="5" t="n">
        <v>10000</v>
      </c>
      <c r="F26" s="5" t="n">
        <v>45</v>
      </c>
      <c r="G26" t="inlineStr">
        <is>
          <t>Flak</t>
        </is>
      </c>
      <c r="H26" s="5" t="n">
        <v>1</v>
      </c>
      <c r="I26" s="5" t="n">
        <v>0.5</v>
      </c>
      <c r="J26" s="5" t="n">
        <v>1</v>
      </c>
      <c r="O26">
        <f>MAX(O27,O28,O31,O32)</f>
        <v/>
      </c>
      <c r="R26">
        <f>R27+R28+R31+R32</f>
        <v/>
      </c>
      <c r="S26">
        <f>(E26/100000+F26/100+(O26/1000)*J26/5+R26/200)*200*I26*H26</f>
        <v/>
      </c>
      <c r="T26">
        <f>((E26*F26/25000)+((O26/1000)*J26*R26/2.5))*I26*H26</f>
        <v/>
      </c>
      <c r="U26">
        <f>(E26*F26*(O26/1000)*J26*R26*I26*H26)/12500000</f>
        <v/>
      </c>
      <c r="V26">
        <f>(S26+T26+U26)/3</f>
        <v/>
      </c>
      <c r="W26" s="5" t="n">
        <v>300</v>
      </c>
      <c r="X26">
        <f>IFERROR(V26-W26,"")</f>
        <v/>
      </c>
      <c r="Y26">
        <f>IFERROR(ABS(X26)/MAX(W26,1),"")</f>
        <v/>
      </c>
      <c r="Z26">
        <f>IFERROR((W26-(((E26/100000+F26/100+R26/200)*200*I26*H26)+((E26*F26/25000)*I26*H26))/3)/(((J26/5)*200*I26*H26)+((J26*R26/2.5)*I26*H26)+((E26*F26*J26*R26*I26*H26)/12500000))/3*1000,"")</f>
        <v/>
      </c>
    </row>
    <row r="27">
      <c r="B27" s="6" t="inlineStr">
        <is>
          <t xml:space="preserve">  ↳ RA2CRFlakGuyGun</t>
        </is>
      </c>
      <c r="C27" s="6" t="inlineStr">
        <is>
          <t>Armament@PRIMARY</t>
        </is>
      </c>
      <c r="K27" s="5" t="n">
        <v>8000</v>
      </c>
      <c r="L27" s="5" t="n">
        <v>17</v>
      </c>
      <c r="M27" s="5" t="n">
        <v>1</v>
      </c>
      <c r="N27" s="5" t="n"/>
      <c r="O27" s="5" t="n">
        <v>4900</v>
      </c>
      <c r="P27" s="5" t="n">
        <v>1</v>
      </c>
      <c r="Q27">
        <f>L27+IF(M27&gt;1,N(N27)*(M27-1),0)</f>
        <v/>
      </c>
      <c r="R27">
        <f>IFERROR(K27*MAX(M27,1)/Q27*P27,0)</f>
        <v/>
      </c>
      <c r="AA27" s="6" t="inlineStr">
        <is>
          <t>^RA2FlakWeapon</t>
        </is>
      </c>
    </row>
    <row r="28">
      <c r="B28" s="6" t="inlineStr">
        <is>
          <t xml:space="preserve">  ↳ RA2FLAKAA</t>
        </is>
      </c>
      <c r="C28" s="6" t="inlineStr">
        <is>
          <t>Armament@PRIMARYAA</t>
        </is>
      </c>
      <c r="K28" s="5" t="n">
        <v>8000</v>
      </c>
      <c r="L28" s="5" t="n">
        <v>26</v>
      </c>
      <c r="M28" s="5" t="n">
        <v>1</v>
      </c>
      <c r="N28" s="5" t="n"/>
      <c r="O28" s="5" t="n">
        <v>7834</v>
      </c>
      <c r="P28" s="5" t="n">
        <v>1</v>
      </c>
      <c r="Q28">
        <f>L28+IF(M28&gt;1,N(N28)*(M28-1),0)</f>
        <v/>
      </c>
      <c r="R28">
        <f>IFERROR(K28*MAX(M28,1)/Q28*P28,0)</f>
        <v/>
      </c>
      <c r="AA28" s="6" t="inlineStr">
        <is>
          <t>^RA2FlakWeapon</t>
        </is>
      </c>
    </row>
    <row r="29">
      <c r="B29" s="6" t="inlineStr">
        <is>
          <t xml:space="preserve">  ↳ RA2CRFlakGuyGun</t>
        </is>
      </c>
      <c r="C29" s="6" t="inlineStr">
        <is>
          <t>Armament@GARRISONED</t>
        </is>
      </c>
      <c r="K29" s="5" t="n">
        <v>8000</v>
      </c>
      <c r="L29" s="5" t="n">
        <v>17</v>
      </c>
      <c r="M29" s="5" t="n">
        <v>1</v>
      </c>
      <c r="N29" s="5" t="n"/>
      <c r="O29" s="5" t="n">
        <v>4900</v>
      </c>
      <c r="P29" s="5" t="n">
        <v>1</v>
      </c>
      <c r="Q29">
        <f>L29+IF(M29&gt;1,N(N29)*(M29-1),0)</f>
        <v/>
      </c>
      <c r="R29">
        <f>IFERROR(K29*MAX(M29,1)/Q29*P29,0)</f>
        <v/>
      </c>
      <c r="AA29" s="6" t="inlineStr">
        <is>
          <t>^RA2FlakWeapon</t>
        </is>
      </c>
    </row>
    <row r="30">
      <c r="B30" s="6" t="inlineStr">
        <is>
          <t xml:space="preserve">  ↳ RA2FLAKAA</t>
        </is>
      </c>
      <c r="C30" s="6" t="inlineStr">
        <is>
          <t>Armament@GARRISONEDAA</t>
        </is>
      </c>
      <c r="K30" s="5" t="n">
        <v>8000</v>
      </c>
      <c r="L30" s="5" t="n">
        <v>26</v>
      </c>
      <c r="M30" s="5" t="n">
        <v>1</v>
      </c>
      <c r="N30" s="5" t="n"/>
      <c r="O30" s="5" t="n">
        <v>7834</v>
      </c>
      <c r="P30" s="5" t="n">
        <v>1</v>
      </c>
      <c r="Q30">
        <f>L30+IF(M30&gt;1,N(N30)*(M30-1),0)</f>
        <v/>
      </c>
      <c r="R30">
        <f>IFERROR(K30*MAX(M30,1)/Q30*P30,0)</f>
        <v/>
      </c>
      <c r="AA30" s="6" t="inlineStr">
        <is>
          <t>^RA2FlakWeapon</t>
        </is>
      </c>
    </row>
    <row r="31">
      <c r="B31" s="6" t="inlineStr">
        <is>
          <t xml:space="preserve">  ↳ RA2CRFlakGuyGun_elite</t>
        </is>
      </c>
      <c r="C31" s="6" t="inlineStr">
        <is>
          <t>Armament@PRIMARYE</t>
        </is>
      </c>
      <c r="K31" s="5" t="n">
        <v>8000</v>
      </c>
      <c r="L31" s="5" t="n">
        <v>17</v>
      </c>
      <c r="M31" s="5" t="n">
        <v>2</v>
      </c>
      <c r="N31" s="5" t="n">
        <v>3</v>
      </c>
      <c r="O31" s="5" t="n">
        <v>5900</v>
      </c>
      <c r="P31" s="5" t="n">
        <v>1</v>
      </c>
      <c r="Q31">
        <f>L31+IF(M31&gt;1,N(N31)*(M31-1),0)</f>
        <v/>
      </c>
      <c r="R31">
        <f>IFERROR(K31*MAX(M31,1)/Q31*P31,0)</f>
        <v/>
      </c>
      <c r="AA31" s="6" t="inlineStr">
        <is>
          <t>^RA2FlakWeapon</t>
        </is>
      </c>
    </row>
    <row r="32">
      <c r="B32" s="6" t="inlineStr">
        <is>
          <t xml:space="preserve">  ↳ RA2FLAKAA_elite</t>
        </is>
      </c>
      <c r="C32" s="6" t="inlineStr">
        <is>
          <t>Armament@PRIMARYAAE</t>
        </is>
      </c>
      <c r="K32" s="5" t="n">
        <v>8000</v>
      </c>
      <c r="L32" s="5" t="n">
        <v>26</v>
      </c>
      <c r="M32" s="5" t="n">
        <v>2</v>
      </c>
      <c r="N32" s="5" t="n">
        <v>3</v>
      </c>
      <c r="O32" s="5" t="n">
        <v>8834</v>
      </c>
      <c r="P32" s="5" t="n">
        <v>1</v>
      </c>
      <c r="Q32">
        <f>L32+IF(M32&gt;1,N(N32)*(M32-1),0)</f>
        <v/>
      </c>
      <c r="R32">
        <f>IFERROR(K32*MAX(M32,1)/Q32*P32,0)</f>
        <v/>
      </c>
      <c r="AA32" s="6" t="inlineStr">
        <is>
          <t>^RA2FlakWeapon</t>
        </is>
      </c>
    </row>
    <row r="33">
      <c r="B33" s="6" t="inlineStr">
        <is>
          <t xml:space="preserve">  ↳ RA2CRFlakGuyGun_elite</t>
        </is>
      </c>
      <c r="C33" s="6" t="inlineStr">
        <is>
          <t>Armament@GARRISONEDE</t>
        </is>
      </c>
      <c r="K33" s="5" t="n">
        <v>8000</v>
      </c>
      <c r="L33" s="5" t="n">
        <v>17</v>
      </c>
      <c r="M33" s="5" t="n">
        <v>2</v>
      </c>
      <c r="N33" s="5" t="n">
        <v>3</v>
      </c>
      <c r="O33" s="5" t="n">
        <v>5900</v>
      </c>
      <c r="P33" s="5" t="n">
        <v>1</v>
      </c>
      <c r="Q33">
        <f>L33+IF(M33&gt;1,N(N33)*(M33-1),0)</f>
        <v/>
      </c>
      <c r="R33">
        <f>IFERROR(K33*MAX(M33,1)/Q33*P33,0)</f>
        <v/>
      </c>
      <c r="AA33" s="6" t="inlineStr">
        <is>
          <t>^RA2FlakWeapon</t>
        </is>
      </c>
    </row>
    <row r="34">
      <c r="B34" s="6" t="inlineStr">
        <is>
          <t xml:space="preserve">  ↳ RA2FLAKAA_elite</t>
        </is>
      </c>
      <c r="C34" s="6" t="inlineStr">
        <is>
          <t>Armament@GARRISONEDAAE</t>
        </is>
      </c>
      <c r="K34" s="5" t="n">
        <v>8000</v>
      </c>
      <c r="L34" s="5" t="n">
        <v>26</v>
      </c>
      <c r="M34" s="5" t="n">
        <v>2</v>
      </c>
      <c r="N34" s="5" t="n">
        <v>3</v>
      </c>
      <c r="O34" s="5" t="n">
        <v>8834</v>
      </c>
      <c r="P34" s="5" t="n">
        <v>1</v>
      </c>
      <c r="Q34">
        <f>L34+IF(M34&gt;1,N(N34)*(M34-1),0)</f>
        <v/>
      </c>
      <c r="R34">
        <f>IFERROR(K34*MAX(M34,1)/Q34*P34,0)</f>
        <v/>
      </c>
      <c r="AA34" s="6" t="inlineStr">
        <is>
          <t>^RA2FlakWeapon</t>
        </is>
      </c>
    </row>
    <row r="35">
      <c r="A35" t="inlineStr">
        <is>
          <t>redalert2</t>
        </is>
      </c>
      <c r="B35" t="inlineStr">
        <is>
          <t>ra2_soviets_teslatrooper</t>
        </is>
      </c>
      <c r="C35" t="inlineStr">
        <is>
          <t>Tesla Trooper</t>
        </is>
      </c>
      <c r="D35" t="inlineStr"/>
      <c r="E35" s="5" t="n">
        <v>48000</v>
      </c>
      <c r="F35" s="5" t="n">
        <v>38</v>
      </c>
      <c r="G35" t="inlineStr">
        <is>
          <t>Plate</t>
        </is>
      </c>
      <c r="H35" s="5" t="n">
        <v>1</v>
      </c>
      <c r="I35" s="5" t="n">
        <v>0.8</v>
      </c>
      <c r="J35" s="5" t="n">
        <v>1.25</v>
      </c>
      <c r="O35">
        <f>MAX(O36,O37,O38,O39)</f>
        <v/>
      </c>
      <c r="R35">
        <f>R36+R37+R38+R39</f>
        <v/>
      </c>
      <c r="S35">
        <f>(E35/100000+F35/100+(O35/1000)*J35/5+R35/200)*200*I35*H35</f>
        <v/>
      </c>
      <c r="T35">
        <f>((E35*F35/25000)+((O35/1000)*J35*R35/2.5))*I35*H35</f>
        <v/>
      </c>
      <c r="U35">
        <f>(E35*F35*(O35/1000)*J35*R35*I35*H35)/12500000</f>
        <v/>
      </c>
      <c r="V35">
        <f>(S35+T35+U35)/3</f>
        <v/>
      </c>
      <c r="W35" s="5" t="n">
        <v>500</v>
      </c>
      <c r="X35">
        <f>IFERROR(V35-W35,"")</f>
        <v/>
      </c>
      <c r="Y35">
        <f>IFERROR(ABS(X35)/MAX(W35,1),"")</f>
        <v/>
      </c>
      <c r="Z35">
        <f>IFERROR((W35-(((E35/100000+F35/100+R35/200)*200*I35*H35)+((E35*F35/25000)*I35*H35))/3)/(((J35/5)*200*I35*H35)+((J35*R35/2.5)*I35*H35)+((E35*F35*J35*R35*I35*H35)/12500000))/3*1000,"")</f>
        <v/>
      </c>
    </row>
    <row r="36">
      <c r="B36" s="6" t="inlineStr">
        <is>
          <t xml:space="preserve">  ↳ RA2PortaTesla</t>
        </is>
      </c>
      <c r="C36" s="6" t="inlineStr">
        <is>
          <t>Armament@PRIMARY</t>
        </is>
      </c>
      <c r="K36" s="5" t="n">
        <v>24000</v>
      </c>
      <c r="L36" s="5" t="n">
        <v>100</v>
      </c>
      <c r="M36" s="5" t="n">
        <v>1</v>
      </c>
      <c r="N36" s="5" t="n"/>
      <c r="O36" s="5" t="n">
        <v>5222</v>
      </c>
      <c r="P36" s="5" t="n">
        <v>1</v>
      </c>
      <c r="Q36">
        <f>L36+IF(M36&gt;1,N(N36)*(M36-1),0)</f>
        <v/>
      </c>
      <c r="R36">
        <f>IFERROR(K36*MAX(M36,1)/Q36*P36,0)</f>
        <v/>
      </c>
      <c r="AA36" s="6" t="inlineStr">
        <is>
          <t>^TeslaWeapon</t>
        </is>
      </c>
    </row>
    <row r="37">
      <c r="B37" s="6" t="inlineStr">
        <is>
          <t xml:space="preserve">  ↳ RA2PortaTesla2</t>
        </is>
      </c>
      <c r="C37" s="6" t="inlineStr">
        <is>
          <t>Armament@PRIMARY2</t>
        </is>
      </c>
      <c r="K37" s="5" t="n">
        <v>24000</v>
      </c>
      <c r="L37" s="5" t="n">
        <v>100</v>
      </c>
      <c r="M37" s="5" t="n">
        <v>1</v>
      </c>
      <c r="N37" s="5" t="n"/>
      <c r="O37" s="5" t="n">
        <v>5777</v>
      </c>
      <c r="P37" s="5" t="n">
        <v>1</v>
      </c>
      <c r="Q37">
        <f>L37+IF(M37&gt;1,N(N37)*(M37-1),0)</f>
        <v/>
      </c>
      <c r="R37">
        <f>IFERROR(K37*MAX(M37,1)/Q37*P37,0)</f>
        <v/>
      </c>
      <c r="AA37" s="6" t="inlineStr">
        <is>
          <t>^TeslaWeapon</t>
        </is>
      </c>
    </row>
    <row r="38">
      <c r="B38" s="6" t="inlineStr">
        <is>
          <t xml:space="preserve">  ↳ RA2PortaTesla3</t>
        </is>
      </c>
      <c r="C38" s="6" t="inlineStr">
        <is>
          <t>Armament@PRIMARY3</t>
        </is>
      </c>
      <c r="K38" s="5" t="n">
        <v>24000</v>
      </c>
      <c r="L38" s="5" t="n">
        <v>100</v>
      </c>
      <c r="M38" s="5" t="n">
        <v>1</v>
      </c>
      <c r="N38" s="5" t="n"/>
      <c r="O38" s="5" t="n">
        <v>6222</v>
      </c>
      <c r="P38" s="5" t="n">
        <v>1</v>
      </c>
      <c r="Q38">
        <f>L38+IF(M38&gt;1,N(N38)*(M38-1),0)</f>
        <v/>
      </c>
      <c r="R38">
        <f>IFERROR(K38*MAX(M38,1)/Q38*P38,0)</f>
        <v/>
      </c>
      <c r="AA38" s="6" t="inlineStr">
        <is>
          <t>^TeslaWeapon</t>
        </is>
      </c>
    </row>
    <row r="39">
      <c r="B39" s="6" t="inlineStr">
        <is>
          <t xml:space="preserve">  ↳ RA2TeslaCoilCharge</t>
        </is>
      </c>
      <c r="C39" s="6" t="inlineStr">
        <is>
          <t>Armament@TeslaCoilCharge</t>
        </is>
      </c>
      <c r="K39" s="5" t="n">
        <v>-1</v>
      </c>
      <c r="L39" s="5" t="n">
        <v>25</v>
      </c>
      <c r="M39" s="5" t="n">
        <v>1</v>
      </c>
      <c r="N39" s="5" t="n"/>
      <c r="O39" s="5" t="n">
        <v>3333</v>
      </c>
      <c r="P39" s="5" t="n">
        <v>1</v>
      </c>
      <c r="Q39">
        <f>L39+IF(M39&gt;1,N(N39)*(M39-1),0)</f>
        <v/>
      </c>
      <c r="R39">
        <f>IFERROR(K39*MAX(M39,1)/Q39*P39,0)</f>
        <v/>
      </c>
      <c r="AA39" s="6" t="inlineStr"/>
    </row>
    <row r="40">
      <c r="B40" s="6" t="inlineStr">
        <is>
          <t xml:space="preserve">  ↳ RA2PortaTesla</t>
        </is>
      </c>
      <c r="C40" s="6" t="inlineStr">
        <is>
          <t>Armament@GARRISONED</t>
        </is>
      </c>
      <c r="K40" s="5" t="n">
        <v>24000</v>
      </c>
      <c r="L40" s="5" t="n">
        <v>100</v>
      </c>
      <c r="M40" s="5" t="n">
        <v>1</v>
      </c>
      <c r="N40" s="5" t="n"/>
      <c r="O40" s="5" t="n">
        <v>5222</v>
      </c>
      <c r="P40" s="5" t="n">
        <v>1</v>
      </c>
      <c r="Q40">
        <f>L40+IF(M40&gt;1,N(N40)*(M40-1),0)</f>
        <v/>
      </c>
      <c r="R40">
        <f>IFERROR(K40*MAX(M40,1)/Q40*P40,0)</f>
        <v/>
      </c>
      <c r="AA40" s="6" t="inlineStr">
        <is>
          <t>^TeslaWeapon</t>
        </is>
      </c>
    </row>
    <row r="41">
      <c r="B41" s="6" t="inlineStr">
        <is>
          <t xml:space="preserve">  ↳ RA2PortaTesla2</t>
        </is>
      </c>
      <c r="C41" s="6" t="inlineStr">
        <is>
          <t>Armament@GARRISONED2</t>
        </is>
      </c>
      <c r="K41" s="5" t="n">
        <v>24000</v>
      </c>
      <c r="L41" s="5" t="n">
        <v>100</v>
      </c>
      <c r="M41" s="5" t="n">
        <v>1</v>
      </c>
      <c r="N41" s="5" t="n"/>
      <c r="O41" s="5" t="n">
        <v>5777</v>
      </c>
      <c r="P41" s="5" t="n">
        <v>1</v>
      </c>
      <c r="Q41">
        <f>L41+IF(M41&gt;1,N(N41)*(M41-1),0)</f>
        <v/>
      </c>
      <c r="R41">
        <f>IFERROR(K41*MAX(M41,1)/Q41*P41,0)</f>
        <v/>
      </c>
      <c r="AA41" s="6" t="inlineStr">
        <is>
          <t>^TeslaWeapon</t>
        </is>
      </c>
    </row>
    <row r="42">
      <c r="B42" s="6" t="inlineStr">
        <is>
          <t xml:space="preserve">  ↳ RA2PortaTesla3</t>
        </is>
      </c>
      <c r="C42" s="6" t="inlineStr">
        <is>
          <t>Armament@GARRISONED3</t>
        </is>
      </c>
      <c r="K42" s="5" t="n">
        <v>24000</v>
      </c>
      <c r="L42" s="5" t="n">
        <v>100</v>
      </c>
      <c r="M42" s="5" t="n">
        <v>1</v>
      </c>
      <c r="N42" s="5" t="n"/>
      <c r="O42" s="5" t="n">
        <v>6222</v>
      </c>
      <c r="P42" s="5" t="n">
        <v>1</v>
      </c>
      <c r="Q42">
        <f>L42+IF(M42&gt;1,N(N42)*(M42-1),0)</f>
        <v/>
      </c>
      <c r="R42">
        <f>IFERROR(K42*MAX(M42,1)/Q42*P42,0)</f>
        <v/>
      </c>
      <c r="AA42" s="6" t="inlineStr">
        <is>
          <t>^TeslaWeapon</t>
        </is>
      </c>
    </row>
    <row r="43">
      <c r="A43" s="3" t="inlineStr">
        <is>
          <t>VEHICLES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>
      <c r="A44" t="inlineStr">
        <is>
          <t>redalert2</t>
        </is>
      </c>
      <c r="B44" t="inlineStr">
        <is>
          <t>ra2_soviets_apocalypsetank</t>
        </is>
      </c>
      <c r="C44" t="inlineStr">
        <is>
          <t>Apocalypse Tank</t>
        </is>
      </c>
      <c r="D44" t="inlineStr"/>
      <c r="E44" s="5" t="n">
        <v>350000</v>
      </c>
      <c r="F44" s="5" t="n">
        <v>55</v>
      </c>
      <c r="G44" t="inlineStr">
        <is>
          <t>Superheavy</t>
        </is>
      </c>
      <c r="H44" s="5" t="n">
        <v>0.75</v>
      </c>
      <c r="I44" s="5" t="n">
        <v>1</v>
      </c>
      <c r="J44" s="5" t="n">
        <v>1</v>
      </c>
      <c r="O44">
        <f>MAX(O45,O46,O47,O48,O49,O50,O51,O52,O53,O54)</f>
        <v/>
      </c>
      <c r="R44">
        <f>R45+R46+R47+R48+R49+R50+R51+R52+R53+R54</f>
        <v/>
      </c>
      <c r="S44">
        <f>(E44/100000+F44/100+(O44/1000)*J44/5+R44/200)*200*I44*H44</f>
        <v/>
      </c>
      <c r="T44">
        <f>((E44*F44/25000)+((O44/1000)*J44*R44/2.5))*I44*H44</f>
        <v/>
      </c>
      <c r="U44">
        <f>(E44*F44*(O44/1000)*J44*R44*I44*H44)/12500000</f>
        <v/>
      </c>
      <c r="V44">
        <f>(S44+T44+U44)/3</f>
        <v/>
      </c>
      <c r="W44" s="5" t="n">
        <v>1750</v>
      </c>
      <c r="X44">
        <f>IFERROR(V44-W44,"")</f>
        <v/>
      </c>
      <c r="Y44">
        <f>IFERROR(ABS(X44)/MAX(W44,1),"")</f>
        <v/>
      </c>
      <c r="Z44">
        <f>IFERROR((W44-(((E44/100000+F44/100+R44/200)*200*I44*H44)+((E44*F44/25000)*I44*H44))/3)/(((J44/5)*200*I44*H44)+((J44*R44/2.5)*I44*H44)+((E44*F44*J44*R44*I44*H44)/12500000))/3*1000,"")</f>
        <v/>
      </c>
    </row>
    <row r="45">
      <c r="B45" s="6" t="inlineStr">
        <is>
          <t xml:space="preserve">  ↳ RA2120xmm</t>
        </is>
      </c>
      <c r="C45" s="6" t="inlineStr">
        <is>
          <t>Armament@PRIMARY</t>
        </is>
      </c>
      <c r="K45" s="5" t="n">
        <v>4000</v>
      </c>
      <c r="L45" s="5" t="n">
        <v>63</v>
      </c>
      <c r="M45" s="5" t="n">
        <v>2</v>
      </c>
      <c r="N45" s="5" t="n">
        <v>5</v>
      </c>
      <c r="O45" s="5" t="n">
        <v>6992</v>
      </c>
      <c r="P45" s="5" t="n">
        <v>1</v>
      </c>
      <c r="Q45">
        <f>L45+IF(M45&gt;1,N(N45)*(M45-1),0)</f>
        <v/>
      </c>
      <c r="R45">
        <f>IFERROR(K45*MAX(M45,1)/Q45*P45,0)</f>
        <v/>
      </c>
      <c r="AA45" s="6" t="inlineStr">
        <is>
          <t>^TankDestroyerCannon, ^ShrapnelWeapon, ^RA2HeavyCannon</t>
        </is>
      </c>
    </row>
    <row r="46">
      <c r="B46" s="6" t="inlineStr">
        <is>
          <t xml:space="preserve">  ↳ RA2120xmm_rad</t>
        </is>
      </c>
      <c r="C46" s="6" t="inlineStr">
        <is>
          <t>Armament@PRIMARYRad</t>
        </is>
      </c>
      <c r="K46" s="5" t="n">
        <v>2000</v>
      </c>
      <c r="L46" s="5" t="n">
        <v>63</v>
      </c>
      <c r="M46" s="5" t="n">
        <v>2</v>
      </c>
      <c r="N46" s="5" t="n">
        <v>5</v>
      </c>
      <c r="O46" s="5" t="n">
        <v>6992</v>
      </c>
      <c r="P46" s="5" t="n">
        <v>1</v>
      </c>
      <c r="Q46">
        <f>L46+IF(M46&gt;1,N(N46)*(M46-1),0)</f>
        <v/>
      </c>
      <c r="R46">
        <f>IFERROR(K46*MAX(M46,1)/Q46*P46,0)</f>
        <v/>
      </c>
      <c r="AA46" s="6" t="inlineStr">
        <is>
          <t>^LightChemicalWeapon, ^MediumChemicalWeapon, ^HeavyChemicalWeapon, ^TankDestroyerCannon, ^ShrapnelWeapon, ^RA2HeavyCannon, ^RA2RadShell</t>
        </is>
      </c>
    </row>
    <row r="47">
      <c r="B47" s="6" t="inlineStr">
        <is>
          <t xml:space="preserve">  ↳ RA2120xmm_fire</t>
        </is>
      </c>
      <c r="C47" s="6" t="inlineStr">
        <is>
          <t>Armament@PRIMARYFire</t>
        </is>
      </c>
      <c r="K47" s="5" t="n">
        <v>4000</v>
      </c>
      <c r="L47" s="5" t="n">
        <v>63</v>
      </c>
      <c r="M47" s="5" t="n">
        <v>2</v>
      </c>
      <c r="N47" s="5" t="n">
        <v>5</v>
      </c>
      <c r="O47" s="5" t="n">
        <v>6992</v>
      </c>
      <c r="P47" s="5" t="n">
        <v>1</v>
      </c>
      <c r="Q47">
        <f>L47+IF(M47&gt;1,N(N47)*(M47-1),0)</f>
        <v/>
      </c>
      <c r="R47">
        <f>IFERROR(K47*MAX(M47,1)/Q47*P47,0)</f>
        <v/>
      </c>
      <c r="AA47" s="6" t="inlineStr">
        <is>
          <t>^TankDestroyerCannon, ^ShrapnelWeapon, ^RA2HeavyCannon</t>
        </is>
      </c>
    </row>
    <row r="48">
      <c r="B48" s="6" t="inlineStr">
        <is>
          <t xml:space="preserve">  ↳ RA2120xmm_tesla</t>
        </is>
      </c>
      <c r="C48" s="6" t="inlineStr">
        <is>
          <t>Armament@PRIMARYTesla</t>
        </is>
      </c>
      <c r="K48" s="5" t="n">
        <v>4000</v>
      </c>
      <c r="L48" s="5" t="n">
        <v>63</v>
      </c>
      <c r="M48" s="5" t="n">
        <v>2</v>
      </c>
      <c r="N48" s="5" t="n">
        <v>5</v>
      </c>
      <c r="O48" s="5" t="n">
        <v>6992</v>
      </c>
      <c r="P48" s="5" t="n">
        <v>1</v>
      </c>
      <c r="Q48">
        <f>L48+IF(M48&gt;1,N(N48)*(M48-1),0)</f>
        <v/>
      </c>
      <c r="R48">
        <f>IFERROR(K48*MAX(M48,1)/Q48*P48,0)</f>
        <v/>
      </c>
      <c r="AA48" s="6" t="inlineStr">
        <is>
          <t>^TankDestroyerCannon, ^ShrapnelWeapon, ^RA2HeavyCannon</t>
        </is>
      </c>
    </row>
    <row r="49">
      <c r="B49" s="6" t="inlineStr">
        <is>
          <t xml:space="preserve">  ↳ RA2MammothTusk</t>
        </is>
      </c>
      <c r="C49" s="6" t="inlineStr">
        <is>
          <t>Armament@SECONDARY</t>
        </is>
      </c>
      <c r="K49" s="5" t="n">
        <v>16000</v>
      </c>
      <c r="L49" s="5" t="n">
        <v>68</v>
      </c>
      <c r="M49" s="5" t="n">
        <v>2</v>
      </c>
      <c r="N49" s="5" t="n"/>
      <c r="O49" s="5" t="n">
        <v>6100</v>
      </c>
      <c r="P49" s="5" t="n">
        <v>1</v>
      </c>
      <c r="Q49">
        <f>L49+IF(M49&gt;1,N(N49)*(M49-1),0)</f>
        <v/>
      </c>
      <c r="R49">
        <f>IFERROR(K49*MAX(M49,1)/Q49*P49,0)</f>
        <v/>
      </c>
      <c r="AA49" s="6" t="inlineStr">
        <is>
          <t>^RA2MediumMissile</t>
        </is>
      </c>
    </row>
    <row r="50">
      <c r="B50" s="6" t="inlineStr">
        <is>
          <t xml:space="preserve">  ↳ RA2120xmm_elite</t>
        </is>
      </c>
      <c r="C50" s="6" t="inlineStr">
        <is>
          <t>Armament@PRIMARYELITE</t>
        </is>
      </c>
      <c r="K50" s="5" t="n">
        <v>4000</v>
      </c>
      <c r="L50" s="5" t="n">
        <v>63</v>
      </c>
      <c r="M50" s="5" t="n">
        <v>4</v>
      </c>
      <c r="N50" s="5" t="n">
        <v>3</v>
      </c>
      <c r="O50" s="5" t="n">
        <v>7992</v>
      </c>
      <c r="P50" s="5" t="n">
        <v>1</v>
      </c>
      <c r="Q50">
        <f>L50+IF(M50&gt;1,N(N50)*(M50-1),0)</f>
        <v/>
      </c>
      <c r="R50">
        <f>IFERROR(K50*MAX(M50,1)/Q50*P50,0)</f>
        <v/>
      </c>
      <c r="AA50" s="6" t="inlineStr">
        <is>
          <t>^TankDestroyerCannon, ^ShrapnelWeapon, ^RA2HeavyCannon, ^RA2EliteEffects</t>
        </is>
      </c>
    </row>
    <row r="51">
      <c r="B51" s="6" t="inlineStr">
        <is>
          <t xml:space="preserve">  ↳ RA2120xmm_elite_rad</t>
        </is>
      </c>
      <c r="C51" s="6" t="inlineStr">
        <is>
          <t>Armament@PRIMARYELITERad</t>
        </is>
      </c>
      <c r="K51" s="5" t="n">
        <v>2000</v>
      </c>
      <c r="L51" s="5" t="n">
        <v>63</v>
      </c>
      <c r="M51" s="5" t="n">
        <v>4</v>
      </c>
      <c r="N51" s="5" t="n">
        <v>3</v>
      </c>
      <c r="O51" s="5" t="n">
        <v>7992</v>
      </c>
      <c r="P51" s="5" t="n">
        <v>1</v>
      </c>
      <c r="Q51">
        <f>L51+IF(M51&gt;1,N(N51)*(M51-1),0)</f>
        <v/>
      </c>
      <c r="R51">
        <f>IFERROR(K51*MAX(M51,1)/Q51*P51,0)</f>
        <v/>
      </c>
      <c r="AA51" s="6" t="inlineStr">
        <is>
          <t>^LightChemicalWeapon, ^MediumChemicalWeapon, ^HeavyChemicalWeapon, ^TankDestroyerCannon, ^ShrapnelWeapon, ^RA2HeavyCannon, ^RA2RadShell, ^RA2EliteEffects</t>
        </is>
      </c>
    </row>
    <row r="52">
      <c r="B52" s="6" t="inlineStr">
        <is>
          <t xml:space="preserve">  ↳ RA2120xmm_elite_fire</t>
        </is>
      </c>
      <c r="C52" s="6" t="inlineStr">
        <is>
          <t>Armament@PRIMARYELITEFire</t>
        </is>
      </c>
      <c r="K52" s="5" t="n">
        <v>4000</v>
      </c>
      <c r="L52" s="5" t="n">
        <v>63</v>
      </c>
      <c r="M52" s="5" t="n">
        <v>4</v>
      </c>
      <c r="N52" s="5" t="n">
        <v>3</v>
      </c>
      <c r="O52" s="5" t="n">
        <v>7992</v>
      </c>
      <c r="P52" s="5" t="n">
        <v>1</v>
      </c>
      <c r="Q52">
        <f>L52+IF(M52&gt;1,N(N52)*(M52-1),0)</f>
        <v/>
      </c>
      <c r="R52">
        <f>IFERROR(K52*MAX(M52,1)/Q52*P52,0)</f>
        <v/>
      </c>
      <c r="AA52" s="6" t="inlineStr">
        <is>
          <t>^TankDestroyerCannon, ^ShrapnelWeapon, ^RA2HeavyCannon, ^RA2EliteEffects</t>
        </is>
      </c>
    </row>
    <row r="53">
      <c r="B53" s="6" t="inlineStr">
        <is>
          <t xml:space="preserve">  ↳ RA2120xmm_elite_tesla</t>
        </is>
      </c>
      <c r="C53" s="6" t="inlineStr">
        <is>
          <t>Armament@PRIMARYELITETesla</t>
        </is>
      </c>
      <c r="K53" s="5" t="n">
        <v>4000</v>
      </c>
      <c r="L53" s="5" t="n">
        <v>63</v>
      </c>
      <c r="M53" s="5" t="n">
        <v>4</v>
      </c>
      <c r="N53" s="5" t="n">
        <v>3</v>
      </c>
      <c r="O53" s="5" t="n">
        <v>7992</v>
      </c>
      <c r="P53" s="5" t="n">
        <v>1</v>
      </c>
      <c r="Q53">
        <f>L53+IF(M53&gt;1,N(N53)*(M53-1),0)</f>
        <v/>
      </c>
      <c r="R53">
        <f>IFERROR(K53*MAX(M53,1)/Q53*P53,0)</f>
        <v/>
      </c>
      <c r="AA53" s="6" t="inlineStr">
        <is>
          <t>^TankDestroyerCannon, ^ShrapnelWeapon, ^RA2HeavyCannon, ^RA2EliteEffects</t>
        </is>
      </c>
    </row>
    <row r="54">
      <c r="B54" s="6" t="inlineStr">
        <is>
          <t xml:space="preserve">  ↳ RA2MammothTusk_elite</t>
        </is>
      </c>
      <c r="C54" s="6" t="inlineStr">
        <is>
          <t>Armament@SECONDARYELITE</t>
        </is>
      </c>
      <c r="K54" s="5" t="n">
        <v>16000</v>
      </c>
      <c r="L54" s="5" t="n">
        <v>68</v>
      </c>
      <c r="M54" s="5" t="n">
        <v>4</v>
      </c>
      <c r="N54" s="5" t="n"/>
      <c r="O54" s="5" t="n">
        <v>7100</v>
      </c>
      <c r="P54" s="5" t="n">
        <v>1</v>
      </c>
      <c r="Q54">
        <f>L54+IF(M54&gt;1,N(N54)*(M54-1),0)</f>
        <v/>
      </c>
      <c r="R54">
        <f>IFERROR(K54*MAX(M54,1)/Q54*P54,0)</f>
        <v/>
      </c>
      <c r="AA54" s="6" t="inlineStr">
        <is>
          <t>^RA2MediumMissile</t>
        </is>
      </c>
    </row>
    <row r="55">
      <c r="A55" t="inlineStr">
        <is>
          <t>redalert2</t>
        </is>
      </c>
      <c r="B55" t="inlineStr">
        <is>
          <t>ra2_soviets_flaktrack</t>
        </is>
      </c>
      <c r="C55" t="inlineStr">
        <is>
          <t>Flak Track</t>
        </is>
      </c>
      <c r="D55" t="inlineStr"/>
      <c r="E55" s="5" t="n">
        <v>45000</v>
      </c>
      <c r="F55" s="5" t="n">
        <v>95</v>
      </c>
      <c r="G55" t="inlineStr">
        <is>
          <t>Light</t>
        </is>
      </c>
      <c r="H55" s="5" t="n">
        <v>1</v>
      </c>
      <c r="I55" s="5" t="n">
        <v>1.25</v>
      </c>
      <c r="J55" s="5" t="n">
        <v>1</v>
      </c>
      <c r="O55">
        <f>MAX(O56,O57,O58,O59)</f>
        <v/>
      </c>
      <c r="R55">
        <f>R56+R57+R58+R59</f>
        <v/>
      </c>
      <c r="S55">
        <f>(E55/100000+F55/100+(O55/1000)*J55/5+R55/200)*200*I55*H55</f>
        <v/>
      </c>
      <c r="T55">
        <f>((E55*F55/25000)+((O55/1000)*J55*R55/2.5))*I55*H55</f>
        <v/>
      </c>
      <c r="U55">
        <f>(E55*F55*(O55/1000)*J55*R55*I55*H55)/12500000</f>
        <v/>
      </c>
      <c r="V55">
        <f>(S55+T55+U55)/3</f>
        <v/>
      </c>
      <c r="W55" s="5" t="n">
        <v>900</v>
      </c>
      <c r="X55">
        <f>IFERROR(V55-W55,"")</f>
        <v/>
      </c>
      <c r="Y55">
        <f>IFERROR(ABS(X55)/MAX(W55,1),"")</f>
        <v/>
      </c>
      <c r="Z55">
        <f>IFERROR((W55-(((E55/100000+F55/100+R55/200)*200*I55*H55)+((E55*F55/25000)*I55*H55))/3)/(((J55/5)*200*I55*H55)+((J55*R55/2.5)*I55*H55)+((E55*F55*J55*R55*I55*H55)/12500000))/3*1000,"")</f>
        <v/>
      </c>
    </row>
    <row r="56">
      <c r="B56" s="6" t="inlineStr">
        <is>
          <t xml:space="preserve">  ↳ RA2FlakTrackAAGun</t>
        </is>
      </c>
      <c r="C56" s="6" t="inlineStr">
        <is>
          <t>Armament@AA</t>
        </is>
      </c>
      <c r="K56" s="5" t="n">
        <v>2000</v>
      </c>
      <c r="L56" s="5" t="n">
        <v>25</v>
      </c>
      <c r="M56" s="5" t="n">
        <v>1</v>
      </c>
      <c r="N56" s="5" t="n"/>
      <c r="O56" s="5" t="n">
        <v>8292</v>
      </c>
      <c r="P56" s="5" t="n">
        <v>1</v>
      </c>
      <c r="Q56">
        <f>L56+IF(M56&gt;1,N(N56)*(M56-1),0)</f>
        <v/>
      </c>
      <c r="R56">
        <f>IFERROR(K56*MAX(M56,1)/Q56*P56,0)</f>
        <v/>
      </c>
      <c r="AA56" s="6" t="inlineStr">
        <is>
          <t>^SmallArms, ^Grenade, ^Chaingun, ^RA2FlakWeapon</t>
        </is>
      </c>
    </row>
    <row r="57">
      <c r="B57" s="6" t="inlineStr">
        <is>
          <t xml:space="preserve">  ↳ RA2FlakTrackGun</t>
        </is>
      </c>
      <c r="C57" s="6" t="inlineStr">
        <is>
          <t>Armament@AG</t>
        </is>
      </c>
      <c r="K57" s="5" t="n">
        <v>2000</v>
      </c>
      <c r="L57" s="5" t="n">
        <v>18</v>
      </c>
      <c r="M57" s="5" t="n">
        <v>1</v>
      </c>
      <c r="N57" s="5" t="n"/>
      <c r="O57" s="5" t="n">
        <v>5528</v>
      </c>
      <c r="P57" s="5" t="n">
        <v>1</v>
      </c>
      <c r="Q57">
        <f>L57+IF(M57&gt;1,N(N57)*(M57-1),0)</f>
        <v/>
      </c>
      <c r="R57">
        <f>IFERROR(K57*MAX(M57,1)/Q57*P57,0)</f>
        <v/>
      </c>
      <c r="AA57" s="6" t="inlineStr">
        <is>
          <t>^SmallArms, ^Grenade, ^Chaingun, ^RA2FlakWeapon</t>
        </is>
      </c>
    </row>
    <row r="58">
      <c r="B58" s="6" t="inlineStr">
        <is>
          <t xml:space="preserve">  ↳ RA2FlakTrackAAGunE</t>
        </is>
      </c>
      <c r="C58" s="6" t="inlineStr">
        <is>
          <t>Armament@AAE</t>
        </is>
      </c>
      <c r="K58" s="5" t="n">
        <v>2000</v>
      </c>
      <c r="L58" s="5" t="n">
        <v>25</v>
      </c>
      <c r="M58" s="5" t="n">
        <v>2</v>
      </c>
      <c r="N58" s="5" t="n">
        <v>3</v>
      </c>
      <c r="O58" s="5" t="n">
        <v>9292</v>
      </c>
      <c r="P58" s="5" t="n">
        <v>1</v>
      </c>
      <c r="Q58">
        <f>L58+IF(M58&gt;1,N(N58)*(M58-1),0)</f>
        <v/>
      </c>
      <c r="R58">
        <f>IFERROR(K58*MAX(M58,1)/Q58*P58,0)</f>
        <v/>
      </c>
      <c r="AA58" s="6" t="inlineStr">
        <is>
          <t>^SmallArms, ^Grenade, ^Chaingun, ^RA2FlakWeapon</t>
        </is>
      </c>
    </row>
    <row r="59">
      <c r="B59" s="6" t="inlineStr">
        <is>
          <t xml:space="preserve">  ↳ RA2FlakTrackGunE</t>
        </is>
      </c>
      <c r="C59" s="6" t="inlineStr">
        <is>
          <t>Armament@AGE</t>
        </is>
      </c>
      <c r="K59" s="5" t="n">
        <v>2000</v>
      </c>
      <c r="L59" s="5" t="n">
        <v>18</v>
      </c>
      <c r="M59" s="5" t="n">
        <v>2</v>
      </c>
      <c r="N59" s="5" t="n">
        <v>3</v>
      </c>
      <c r="O59" s="5" t="n">
        <v>6528</v>
      </c>
      <c r="P59" s="5" t="n">
        <v>1</v>
      </c>
      <c r="Q59">
        <f>L59+IF(M59&gt;1,N(N59)*(M59-1),0)</f>
        <v/>
      </c>
      <c r="R59">
        <f>IFERROR(K59*MAX(M59,1)/Q59*P59,0)</f>
        <v/>
      </c>
      <c r="AA59" s="6" t="inlineStr">
        <is>
          <t>^SmallArms, ^Grenade, ^Chaingun, ^RA2FlakWeapon</t>
        </is>
      </c>
    </row>
    <row r="60">
      <c r="A60" t="inlineStr">
        <is>
          <t>redalert2</t>
        </is>
      </c>
      <c r="B60" t="inlineStr">
        <is>
          <t>ra2_soviets_mobileconstructionvehicle</t>
        </is>
      </c>
      <c r="C60" t="inlineStr">
        <is>
          <t>Soviet Mobile Construction Vehicle</t>
        </is>
      </c>
      <c r="D60" t="inlineStr"/>
      <c r="E60" s="5" t="n">
        <v>300000</v>
      </c>
      <c r="F60" s="5" t="n">
        <v>75</v>
      </c>
      <c r="G60" t="inlineStr">
        <is>
          <t>Medium</t>
        </is>
      </c>
      <c r="H60" s="5" t="n">
        <v>1</v>
      </c>
      <c r="I60" s="5" t="n">
        <v>1</v>
      </c>
      <c r="J60" s="5" t="n">
        <v>1</v>
      </c>
      <c r="W60" s="5" t="n">
        <v>5000</v>
      </c>
    </row>
    <row r="61">
      <c r="A61" t="inlineStr">
        <is>
          <t>redalert2</t>
        </is>
      </c>
      <c r="B61" t="inlineStr">
        <is>
          <t>ra2_soviets_rhinoheavytank</t>
        </is>
      </c>
      <c r="C61" t="inlineStr">
        <is>
          <t>Rhino Heavy Tank</t>
        </is>
      </c>
      <c r="D61" t="inlineStr"/>
      <c r="E61" s="5" t="n">
        <v>130000</v>
      </c>
      <c r="F61" s="5" t="n">
        <v>85</v>
      </c>
      <c r="G61" t="inlineStr">
        <is>
          <t>Heavy</t>
        </is>
      </c>
      <c r="H61" s="5" t="n">
        <v>1</v>
      </c>
      <c r="I61" s="5" t="n">
        <v>1</v>
      </c>
      <c r="J61" s="5" t="n">
        <v>1</v>
      </c>
      <c r="O61">
        <f>MAX(O62,O63,O64,O65,O66,O67,O68,O69)</f>
        <v/>
      </c>
      <c r="R61">
        <f>R62+R63+R64+R65+R66+R67+R68+R69</f>
        <v/>
      </c>
      <c r="S61">
        <f>(E61/100000+F61/100+(O61/1000)*J61/5+R61/200)*200*I61*H61</f>
        <v/>
      </c>
      <c r="T61">
        <f>((E61*F61/25000)+((O61/1000)*J61*R61/2.5))*I61*H61</f>
        <v/>
      </c>
      <c r="U61">
        <f>(E61*F61*(O61/1000)*J61*R61*I61*H61)/12500000</f>
        <v/>
      </c>
      <c r="V61">
        <f>(S61+T61+U61)/3</f>
        <v/>
      </c>
      <c r="W61" s="5" t="n">
        <v>850</v>
      </c>
      <c r="X61">
        <f>IFERROR(V61-W61,"")</f>
        <v/>
      </c>
      <c r="Y61">
        <f>IFERROR(ABS(X61)/MAX(W61,1),"")</f>
        <v/>
      </c>
      <c r="Z61">
        <f>IFERROR((W61-(((E61/100000+F61/100+R61/200)*200*I61*H61)+((E61*F61/25000)*I61*H61))/3)/(((J61/5)*200*I61*H61)+((J61*R61/2.5)*I61*H61)+((E61*F61*J61*R61*I61*H61)/12500000))/3*1000,"")</f>
        <v/>
      </c>
    </row>
    <row r="62">
      <c r="B62" s="6" t="inlineStr">
        <is>
          <t xml:space="preserve">  ↳ RA2120mm</t>
        </is>
      </c>
      <c r="C62" s="6" t="inlineStr">
        <is>
          <t>Armament@PRIMARY</t>
        </is>
      </c>
      <c r="K62" s="5" t="n">
        <v>10000</v>
      </c>
      <c r="L62" s="5" t="n">
        <v>54</v>
      </c>
      <c r="M62" s="5" t="n">
        <v>1</v>
      </c>
      <c r="N62" s="5" t="n"/>
      <c r="O62" s="5" t="n">
        <v>5374</v>
      </c>
      <c r="P62" s="5" t="n">
        <v>1</v>
      </c>
      <c r="Q62">
        <f>L62+IF(M62&gt;1,N(N62)*(M62-1),0)</f>
        <v/>
      </c>
      <c r="R62">
        <f>IFERROR(K62*MAX(M62,1)/Q62*P62,0)</f>
        <v/>
      </c>
      <c r="AA62" s="6" t="inlineStr">
        <is>
          <t>^RA2MediumCannon</t>
        </is>
      </c>
    </row>
    <row r="63">
      <c r="B63" s="6" t="inlineStr">
        <is>
          <t xml:space="preserve">  ↳ RA2120mm_rad</t>
        </is>
      </c>
      <c r="C63" s="6" t="inlineStr">
        <is>
          <t>Armament@PRIMARYRad</t>
        </is>
      </c>
      <c r="K63" s="5" t="n">
        <v>6000</v>
      </c>
      <c r="L63" s="5" t="n">
        <v>54</v>
      </c>
      <c r="M63" s="5" t="n">
        <v>1</v>
      </c>
      <c r="N63" s="5" t="n"/>
      <c r="O63" s="5" t="n">
        <v>5374</v>
      </c>
      <c r="P63" s="5" t="n">
        <v>1</v>
      </c>
      <c r="Q63">
        <f>L63+IF(M63&gt;1,N(N63)*(M63-1),0)</f>
        <v/>
      </c>
      <c r="R63">
        <f>IFERROR(K63*MAX(M63,1)/Q63*P63,0)</f>
        <v/>
      </c>
      <c r="AA63" s="6" t="inlineStr">
        <is>
          <t>^MediumChemicalWeapon, ^RA2MediumCannon, ^RA2RadShell</t>
        </is>
      </c>
    </row>
    <row r="64">
      <c r="B64" s="6" t="inlineStr">
        <is>
          <t xml:space="preserve">  ↳ RA2120mm_fire</t>
        </is>
      </c>
      <c r="C64" s="6" t="inlineStr">
        <is>
          <t>Armament@PRIMARYFire</t>
        </is>
      </c>
      <c r="K64" s="5" t="n">
        <v>10000</v>
      </c>
      <c r="L64" s="5" t="n">
        <v>54</v>
      </c>
      <c r="M64" s="5" t="n">
        <v>1</v>
      </c>
      <c r="N64" s="5" t="n"/>
      <c r="O64" s="5" t="n">
        <v>5374</v>
      </c>
      <c r="P64" s="5" t="n">
        <v>1</v>
      </c>
      <c r="Q64">
        <f>L64+IF(M64&gt;1,N(N64)*(M64-1),0)</f>
        <v/>
      </c>
      <c r="R64">
        <f>IFERROR(K64*MAX(M64,1)/Q64*P64,0)</f>
        <v/>
      </c>
      <c r="AA64" s="6" t="inlineStr">
        <is>
          <t>^RA2MediumCannon</t>
        </is>
      </c>
    </row>
    <row r="65">
      <c r="B65" s="6" t="inlineStr">
        <is>
          <t xml:space="preserve">  ↳ RA2120mm_tesla</t>
        </is>
      </c>
      <c r="C65" s="6" t="inlineStr">
        <is>
          <t>Armament@PRIMARYTesla</t>
        </is>
      </c>
      <c r="K65" s="5" t="n">
        <v>10000</v>
      </c>
      <c r="L65" s="5" t="n">
        <v>54</v>
      </c>
      <c r="M65" s="5" t="n">
        <v>1</v>
      </c>
      <c r="N65" s="5" t="n"/>
      <c r="O65" s="5" t="n">
        <v>5374</v>
      </c>
      <c r="P65" s="5" t="n">
        <v>1</v>
      </c>
      <c r="Q65">
        <f>L65+IF(M65&gt;1,N(N65)*(M65-1),0)</f>
        <v/>
      </c>
      <c r="R65">
        <f>IFERROR(K65*MAX(M65,1)/Q65*P65,0)</f>
        <v/>
      </c>
      <c r="AA65" s="6" t="inlineStr">
        <is>
          <t>^RA2MediumCannon</t>
        </is>
      </c>
    </row>
    <row r="66">
      <c r="B66" s="6" t="inlineStr">
        <is>
          <t xml:space="preserve">  ↳ RA2120mm_elite</t>
        </is>
      </c>
      <c r="C66" s="6" t="inlineStr">
        <is>
          <t>Armament@PRIMARYELITE</t>
        </is>
      </c>
      <c r="K66" s="5" t="n">
        <v>10000</v>
      </c>
      <c r="L66" s="5" t="n">
        <v>54</v>
      </c>
      <c r="M66" s="5" t="n">
        <v>2</v>
      </c>
      <c r="N66" s="5" t="n">
        <v>3</v>
      </c>
      <c r="O66" s="5" t="n">
        <v>6374</v>
      </c>
      <c r="P66" s="5" t="n">
        <v>1</v>
      </c>
      <c r="Q66">
        <f>L66+IF(M66&gt;1,N(N66)*(M66-1),0)</f>
        <v/>
      </c>
      <c r="R66">
        <f>IFERROR(K66*MAX(M66,1)/Q66*P66,0)</f>
        <v/>
      </c>
      <c r="AA66" s="6" t="inlineStr">
        <is>
          <t>^RA2MediumCannon, ^RA2EliteEffects</t>
        </is>
      </c>
    </row>
    <row r="67">
      <c r="B67" s="6" t="inlineStr">
        <is>
          <t xml:space="preserve">  ↳ RA2120mm_elite_rad</t>
        </is>
      </c>
      <c r="C67" s="6" t="inlineStr">
        <is>
          <t>Armament@PRIMARYELITERad</t>
        </is>
      </c>
      <c r="K67" s="5" t="n">
        <v>6000</v>
      </c>
      <c r="L67" s="5" t="n">
        <v>54</v>
      </c>
      <c r="M67" s="5" t="n">
        <v>2</v>
      </c>
      <c r="N67" s="5" t="n">
        <v>3</v>
      </c>
      <c r="O67" s="5" t="n">
        <v>6374</v>
      </c>
      <c r="P67" s="5" t="n">
        <v>1</v>
      </c>
      <c r="Q67">
        <f>L67+IF(M67&gt;1,N(N67)*(M67-1),0)</f>
        <v/>
      </c>
      <c r="R67">
        <f>IFERROR(K67*MAX(M67,1)/Q67*P67,0)</f>
        <v/>
      </c>
      <c r="AA67" s="6" t="inlineStr">
        <is>
          <t>^MediumChemicalWeapon, ^RA2MediumCannon, ^RA2RadShell, ^RA2EliteEffects</t>
        </is>
      </c>
    </row>
    <row r="68">
      <c r="B68" s="6" t="inlineStr">
        <is>
          <t xml:space="preserve">  ↳ RA2120mm_elite_fire</t>
        </is>
      </c>
      <c r="C68" s="6" t="inlineStr">
        <is>
          <t>Armament@PRIMARYELITEFire</t>
        </is>
      </c>
      <c r="K68" s="5" t="n">
        <v>10000</v>
      </c>
      <c r="L68" s="5" t="n">
        <v>54</v>
      </c>
      <c r="M68" s="5" t="n">
        <v>2</v>
      </c>
      <c r="N68" s="5" t="n">
        <v>3</v>
      </c>
      <c r="O68" s="5" t="n">
        <v>6374</v>
      </c>
      <c r="P68" s="5" t="n">
        <v>1</v>
      </c>
      <c r="Q68">
        <f>L68+IF(M68&gt;1,N(N68)*(M68-1),0)</f>
        <v/>
      </c>
      <c r="R68">
        <f>IFERROR(K68*MAX(M68,1)/Q68*P68,0)</f>
        <v/>
      </c>
      <c r="AA68" s="6" t="inlineStr">
        <is>
          <t>^RA2MediumCannon, ^RA2EliteEffects</t>
        </is>
      </c>
    </row>
    <row r="69">
      <c r="B69" s="6" t="inlineStr">
        <is>
          <t xml:space="preserve">  ↳ RA2120mm_elite_tesla</t>
        </is>
      </c>
      <c r="C69" s="6" t="inlineStr">
        <is>
          <t>Armament@PRIMARYELITETesla</t>
        </is>
      </c>
      <c r="K69" s="5" t="n">
        <v>10000</v>
      </c>
      <c r="L69" s="5" t="n">
        <v>54</v>
      </c>
      <c r="M69" s="5" t="n">
        <v>2</v>
      </c>
      <c r="N69" s="5" t="n">
        <v>3</v>
      </c>
      <c r="O69" s="5" t="n">
        <v>6374</v>
      </c>
      <c r="P69" s="5" t="n">
        <v>1</v>
      </c>
      <c r="Q69">
        <f>L69+IF(M69&gt;1,N(N69)*(M69-1),0)</f>
        <v/>
      </c>
      <c r="R69">
        <f>IFERROR(K69*MAX(M69,1)/Q69*P69,0)</f>
        <v/>
      </c>
      <c r="AA69" s="6" t="inlineStr">
        <is>
          <t>^RA2MediumCannon, ^RA2EliteEffects</t>
        </is>
      </c>
    </row>
    <row r="70">
      <c r="A70" t="inlineStr">
        <is>
          <t>redalert2</t>
        </is>
      </c>
      <c r="B70" t="inlineStr">
        <is>
          <t>ra2_soviets_terrordrone</t>
        </is>
      </c>
      <c r="C70" t="inlineStr">
        <is>
          <t>Terror Drone</t>
        </is>
      </c>
      <c r="D70" t="inlineStr"/>
      <c r="E70" s="5" t="n">
        <v>10000</v>
      </c>
      <c r="F70" s="5" t="n">
        <v>200</v>
      </c>
      <c r="G70" t="inlineStr">
        <is>
          <t>Scout</t>
        </is>
      </c>
      <c r="H70" s="5" t="n">
        <v>1</v>
      </c>
      <c r="I70" s="5" t="n">
        <v>1</v>
      </c>
      <c r="J70" s="5" t="n">
        <v>1</v>
      </c>
      <c r="O70">
        <f>MAX(O71,O72)</f>
        <v/>
      </c>
      <c r="R70">
        <f>R71+R72</f>
        <v/>
      </c>
      <c r="S70">
        <f>(E70/100000+F70/100+(O70/1000)*J70/5+R70/200)*200*I70*H70</f>
        <v/>
      </c>
      <c r="T70">
        <f>((E70*F70/25000)+((O70/1000)*J70*R70/2.5))*I70*H70</f>
        <v/>
      </c>
      <c r="U70">
        <f>(E70*F70*(O70/1000)*J70*R70*I70*H70)/12500000</f>
        <v/>
      </c>
      <c r="V70">
        <f>(S70+T70+U70)/3</f>
        <v/>
      </c>
      <c r="W70" s="5" t="n">
        <v>600</v>
      </c>
      <c r="X70">
        <f>IFERROR(V70-W70,"")</f>
        <v/>
      </c>
      <c r="Y70">
        <f>IFERROR(ABS(X70)/MAX(W70,1),"")</f>
        <v/>
      </c>
      <c r="Z70">
        <f>IFERROR((W70-(((E70/100000+F70/100+R70/200)*200*I70*H70)+((E70*F70/25000)*I70*H70))/3)/(((J70/5)*200*I70*H70)+((J70*R70/2.5)*I70*H70)+((E70*F70*J70*R70*I70*H70)/12500000))/3*1000,"")</f>
        <v/>
      </c>
    </row>
    <row r="71">
      <c r="B71" s="6" t="inlineStr">
        <is>
          <t xml:space="preserve">  ↳ RA2DroneJump</t>
        </is>
      </c>
      <c r="C71" s="6" t="inlineStr">
        <is>
          <t>Armament</t>
        </is>
      </c>
      <c r="K71" s="5" t="n">
        <v>100000</v>
      </c>
      <c r="L71" s="5" t="n">
        <v>40</v>
      </c>
      <c r="M71" s="5" t="n">
        <v>1</v>
      </c>
      <c r="N71" s="5" t="n"/>
      <c r="O71" s="5" t="n">
        <v>4000</v>
      </c>
      <c r="P71" s="5" t="n">
        <v>1</v>
      </c>
      <c r="Q71">
        <f>L71+IF(M71&gt;1,N(N71)*(M71-1),0)</f>
        <v/>
      </c>
      <c r="R71">
        <f>IFERROR(K71*MAX(M71,1)/Q71*P71,0)</f>
        <v/>
      </c>
      <c r="AA71" s="6" t="inlineStr"/>
    </row>
    <row r="72">
      <c r="B72" s="6" t="inlineStr">
        <is>
          <t xml:space="preserve">  ↳ RA2DroneJumpE</t>
        </is>
      </c>
      <c r="C72" s="6" t="inlineStr">
        <is>
          <t>Armament@Elite</t>
        </is>
      </c>
      <c r="K72" s="5" t="n">
        <v>100000</v>
      </c>
      <c r="L72" s="5" t="n">
        <v>10</v>
      </c>
      <c r="M72" s="5" t="n">
        <v>1</v>
      </c>
      <c r="N72" s="5" t="n"/>
      <c r="O72" s="5" t="n">
        <v>4000</v>
      </c>
      <c r="P72" s="5" t="n">
        <v>1</v>
      </c>
      <c r="Q72">
        <f>L72+IF(M72&gt;1,N(N72)*(M72-1),0)</f>
        <v/>
      </c>
      <c r="R72">
        <f>IFERROR(K72*MAX(M72,1)/Q72*P72,0)</f>
        <v/>
      </c>
      <c r="AA72" s="6" t="inlineStr">
        <is>
          <t>RA2DroneJump</t>
        </is>
      </c>
    </row>
    <row r="73">
      <c r="A73" t="inlineStr">
        <is>
          <t>redalert2</t>
        </is>
      </c>
      <c r="B73" t="inlineStr">
        <is>
          <t>ra2_soviets_teslatank</t>
        </is>
      </c>
      <c r="C73" t="inlineStr">
        <is>
          <t>Tesla Tank</t>
        </is>
      </c>
      <c r="D73" t="inlineStr"/>
      <c r="E73" s="5" t="n">
        <v>75000</v>
      </c>
      <c r="F73" s="5" t="n">
        <v>75</v>
      </c>
      <c r="G73" t="inlineStr">
        <is>
          <t>Medium</t>
        </is>
      </c>
      <c r="H73" s="5" t="n">
        <v>1</v>
      </c>
      <c r="I73" s="5" t="n">
        <v>1</v>
      </c>
      <c r="J73" s="5" t="n">
        <v>1</v>
      </c>
      <c r="O73">
        <f>MAX(O74,O75,O76)</f>
        <v/>
      </c>
      <c r="R73">
        <f>R74+R75+R76</f>
        <v/>
      </c>
      <c r="S73">
        <f>(E73/100000+F73/100+(O73/1000)*J73/5+R73/200)*200*I73*H73</f>
        <v/>
      </c>
      <c r="T73">
        <f>((E73*F73/25000)+((O73/1000)*J73*R73/2.5))*I73*H73</f>
        <v/>
      </c>
      <c r="U73">
        <f>(E73*F73*(O73/1000)*J73*R73*I73*H73)/12500000</f>
        <v/>
      </c>
      <c r="V73">
        <f>(S73+T73+U73)/3</f>
        <v/>
      </c>
      <c r="W73" s="5" t="n">
        <v>1800</v>
      </c>
      <c r="X73">
        <f>IFERROR(V73-W73,"")</f>
        <v/>
      </c>
      <c r="Y73">
        <f>IFERROR(ABS(X73)/MAX(W73,1),"")</f>
        <v/>
      </c>
      <c r="Z73">
        <f>IFERROR((W73-(((E73/100000+F73/100+R73/200)*200*I73*H73)+((E73*F73/25000)*I73*H73))/3)/(((J73/5)*200*I73*H73)+((J73*R73/2.5)*I73*H73)+((E73*F73*J73*R73*I73*H73)/12500000))/3*1000,"")</f>
        <v/>
      </c>
    </row>
    <row r="74">
      <c r="B74" s="6" t="inlineStr">
        <is>
          <t xml:space="preserve">  ↳ RA2TankBolt</t>
        </is>
      </c>
      <c r="C74" s="6" t="inlineStr">
        <is>
          <t>Armament@PRIMARY</t>
        </is>
      </c>
      <c r="K74" s="5" t="n">
        <v>12000</v>
      </c>
      <c r="L74" s="5" t="n">
        <v>55</v>
      </c>
      <c r="M74" s="5" t="n">
        <v>2</v>
      </c>
      <c r="N74" s="5" t="n">
        <v>5</v>
      </c>
      <c r="O74" s="5" t="n">
        <v>7500</v>
      </c>
      <c r="P74" s="5" t="n">
        <v>1</v>
      </c>
      <c r="Q74">
        <f>L74+IF(M74&gt;1,N(N74)*(M74-1),0)</f>
        <v/>
      </c>
      <c r="R74">
        <f>IFERROR(K74*MAX(M74,1)/Q74*P74,0)</f>
        <v/>
      </c>
      <c r="AA74" s="6" t="inlineStr">
        <is>
          <t>^TeslaWeapon</t>
        </is>
      </c>
    </row>
    <row r="75">
      <c r="B75" s="6" t="inlineStr">
        <is>
          <t xml:space="preserve">  ↳ RA2TankBolt2</t>
        </is>
      </c>
      <c r="C75" s="6" t="inlineStr">
        <is>
          <t>Armament@PRIMARY2</t>
        </is>
      </c>
      <c r="K75" s="5" t="n">
        <v>12000</v>
      </c>
      <c r="L75" s="5" t="n">
        <v>55</v>
      </c>
      <c r="M75" s="5" t="n">
        <v>2</v>
      </c>
      <c r="N75" s="5" t="n">
        <v>5</v>
      </c>
      <c r="O75" s="5" t="n">
        <v>8000</v>
      </c>
      <c r="P75" s="5" t="n">
        <v>1</v>
      </c>
      <c r="Q75">
        <f>L75+IF(M75&gt;1,N(N75)*(M75-1),0)</f>
        <v/>
      </c>
      <c r="R75">
        <f>IFERROR(K75*MAX(M75,1)/Q75*P75,0)</f>
        <v/>
      </c>
      <c r="AA75" s="6" t="inlineStr">
        <is>
          <t>^TeslaWeapon</t>
        </is>
      </c>
    </row>
    <row r="76">
      <c r="B76" s="6" t="inlineStr">
        <is>
          <t xml:space="preserve">  ↳ RA2TankBolt3</t>
        </is>
      </c>
      <c r="C76" s="6" t="inlineStr">
        <is>
          <t>Armament@PRIMARY3</t>
        </is>
      </c>
      <c r="K76" s="5" t="n">
        <v>12000</v>
      </c>
      <c r="L76" s="5" t="n">
        <v>55</v>
      </c>
      <c r="M76" s="5" t="n">
        <v>2</v>
      </c>
      <c r="N76" s="5" t="n">
        <v>5</v>
      </c>
      <c r="O76" s="5" t="n">
        <v>8500</v>
      </c>
      <c r="P76" s="5" t="n">
        <v>1</v>
      </c>
      <c r="Q76">
        <f>L76+IF(M76&gt;1,N(N76)*(M76-1),0)</f>
        <v/>
      </c>
      <c r="R76">
        <f>IFERROR(K76*MAX(M76,1)/Q76*P76,0)</f>
        <v/>
      </c>
      <c r="AA76" s="6" t="inlineStr">
        <is>
          <t>^TeslaWeapon</t>
        </is>
      </c>
    </row>
    <row r="77">
      <c r="A77" t="inlineStr">
        <is>
          <t>redalert2</t>
        </is>
      </c>
      <c r="B77" t="inlineStr">
        <is>
          <t>ra2_soviets_v3rocketlauncher</t>
        </is>
      </c>
      <c r="C77" t="inlineStr">
        <is>
          <t>V3 Rocket Launcher</t>
        </is>
      </c>
      <c r="D77" t="inlineStr"/>
      <c r="E77" s="5" t="n">
        <v>37500</v>
      </c>
      <c r="F77" s="5" t="n">
        <v>75</v>
      </c>
      <c r="G77" t="inlineStr">
        <is>
          <t>Light</t>
        </is>
      </c>
      <c r="H77" s="5" t="n">
        <v>1</v>
      </c>
      <c r="I77" s="5" t="n">
        <v>0.25</v>
      </c>
      <c r="J77" s="5" t="n">
        <v>1</v>
      </c>
      <c r="O77">
        <f>MAX(O78,O79)</f>
        <v/>
      </c>
      <c r="R77">
        <f>R78+R79</f>
        <v/>
      </c>
      <c r="S77">
        <f>(E77/100000+F77/100+(O77/1000)*J77/5+R77/200)*200*I77*H77</f>
        <v/>
      </c>
      <c r="T77">
        <f>((E77*F77/25000)+((O77/1000)*J77*R77/2.5))*I77*H77</f>
        <v/>
      </c>
      <c r="U77">
        <f>(E77*F77*(O77/1000)*J77*R77*I77*H77)/12500000</f>
        <v/>
      </c>
      <c r="V77">
        <f>(S77+T77+U77)/3</f>
        <v/>
      </c>
      <c r="W77" s="5" t="n">
        <v>900</v>
      </c>
      <c r="X77">
        <f>IFERROR(V77-W77,"")</f>
        <v/>
      </c>
      <c r="Y77">
        <f>IFERROR(ABS(X77)/MAX(W77,1),"")</f>
        <v/>
      </c>
      <c r="Z77">
        <f>IFERROR((W77-(((E77/100000+F77/100+R77/200)*200*I77*H77)+((E77*F77/25000)*I77*H77))/3)/(((J77/5)*200*I77*H77)+((J77*R77/2.5)*I77*H77)+((E77*F77*J77*R77*I77*H77)/12500000))/3*1000,"")</f>
        <v/>
      </c>
    </row>
    <row r="78">
      <c r="B78" s="6" t="inlineStr">
        <is>
          <t xml:space="preserve">  ↳ V3Launch</t>
        </is>
      </c>
      <c r="C78" s="6" t="inlineStr">
        <is>
          <t>Armament</t>
        </is>
      </c>
      <c r="K78" s="5" t="n"/>
      <c r="L78" s="5" t="n">
        <v>50</v>
      </c>
      <c r="M78" s="5" t="n">
        <v>1</v>
      </c>
      <c r="N78" s="5" t="n"/>
      <c r="O78" s="5" t="n">
        <v>15000</v>
      </c>
      <c r="P78" s="5" t="n">
        <v>1</v>
      </c>
      <c r="Q78">
        <f>L78+IF(M78&gt;1,N(N78)*(M78-1),0)</f>
        <v/>
      </c>
      <c r="R78">
        <f>IFERROR(K78*MAX(M78,1)/Q78*P78,0)</f>
        <v/>
      </c>
      <c r="AA78" s="6" t="inlineStr"/>
    </row>
    <row r="79">
      <c r="B79" s="6" t="inlineStr">
        <is>
          <t xml:space="preserve">  ↳ V3LaunchE</t>
        </is>
      </c>
      <c r="C79" s="6" t="inlineStr">
        <is>
          <t>Armament@PRIMARYELITE</t>
        </is>
      </c>
      <c r="K79" s="5" t="n"/>
      <c r="L79" s="5" t="n">
        <v>50</v>
      </c>
      <c r="M79" s="5" t="n">
        <v>1</v>
      </c>
      <c r="N79" s="5" t="n"/>
      <c r="O79" s="5" t="n">
        <v>20000</v>
      </c>
      <c r="P79" s="5" t="n">
        <v>1</v>
      </c>
      <c r="Q79">
        <f>L79+IF(M79&gt;1,N(N79)*(M79-1),0)</f>
        <v/>
      </c>
      <c r="R79">
        <f>IFERROR(K79*MAX(M79,1)/Q79*P79,0)</f>
        <v/>
      </c>
      <c r="AA79" s="6" t="inlineStr"/>
    </row>
    <row r="80">
      <c r="A80" t="inlineStr">
        <is>
          <t>redalert2</t>
        </is>
      </c>
      <c r="B80" t="inlineStr">
        <is>
          <t>ra2_soviets_warminer</t>
        </is>
      </c>
      <c r="C80" t="inlineStr">
        <is>
          <t>War Miner</t>
        </is>
      </c>
      <c r="D80" t="inlineStr"/>
      <c r="E80" s="5" t="n">
        <v>125000</v>
      </c>
      <c r="F80" s="5" t="n">
        <v>75</v>
      </c>
      <c r="G80" t="inlineStr">
        <is>
          <t>Medium</t>
        </is>
      </c>
      <c r="H80" s="5" t="n">
        <v>1</v>
      </c>
      <c r="I80" s="5" t="n">
        <v>1</v>
      </c>
      <c r="J80" s="5" t="n">
        <v>1</v>
      </c>
      <c r="O80">
        <f>MAX(O81)</f>
        <v/>
      </c>
      <c r="R80">
        <f>R81</f>
        <v/>
      </c>
      <c r="S80">
        <f>(E80/100000+F80/100+(O80/1000)*J80/5+R80/200)*200*I80*H80</f>
        <v/>
      </c>
      <c r="T80">
        <f>((E80*F80/25000)+((O80/1000)*J80*R80/2.5))*I80*H80</f>
        <v/>
      </c>
      <c r="U80">
        <f>(E80*F80*(O80/1000)*J80*R80*I80*H80)/12500000</f>
        <v/>
      </c>
      <c r="V80">
        <f>(S80+T80+U80)/3</f>
        <v/>
      </c>
      <c r="W80" s="5" t="n">
        <v>1200</v>
      </c>
      <c r="X80">
        <f>IFERROR(V80-W80,"")</f>
        <v/>
      </c>
      <c r="Y80">
        <f>IFERROR(ABS(X80)/MAX(W80,1),"")</f>
        <v/>
      </c>
      <c r="Z80">
        <f>IFERROR((W80-(((E80/100000+F80/100+R80/200)*200*I80*H80)+((E80*F80/25000)*I80*H80))/3)/(((J80/5)*200*I80*H80)+((J80*R80/2.5)*I80*H80)+((E80*F80*J80*R80*I80*H80)/12500000))/3*1000,"")</f>
        <v/>
      </c>
    </row>
    <row r="81">
      <c r="B81" s="6" t="inlineStr">
        <is>
          <t xml:space="preserve">  ↳ RA220mmrapid</t>
        </is>
      </c>
      <c r="C81" s="6" t="inlineStr">
        <is>
          <t>Armament@PRIMARY</t>
        </is>
      </c>
      <c r="K81" s="5" t="n">
        <v>4000</v>
      </c>
      <c r="L81" s="5" t="n">
        <v>15</v>
      </c>
      <c r="M81" s="5" t="n">
        <v>1</v>
      </c>
      <c r="N81" s="5" t="n"/>
      <c r="O81" s="5" t="n">
        <v>5000</v>
      </c>
      <c r="P81" s="5" t="n">
        <v>1</v>
      </c>
      <c r="Q81">
        <f>L81+IF(M81&gt;1,N(N81)*(M81-1),0)</f>
        <v/>
      </c>
      <c r="R81">
        <f>IFERROR(K81*MAX(M81,1)/Q81*P81,0)</f>
        <v/>
      </c>
      <c r="AA81" s="6" t="inlineStr">
        <is>
          <t>^RA2SmallArms, ^RA2Chaingun</t>
        </is>
      </c>
    </row>
    <row r="82">
      <c r="A82" s="3" t="inlineStr">
        <is>
          <t>AIRCRAFT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>
      <c r="A83" t="inlineStr">
        <is>
          <t>redalert2</t>
        </is>
      </c>
      <c r="B83" t="inlineStr">
        <is>
          <t>ra2_soviets_kirovairship</t>
        </is>
      </c>
      <c r="C83" t="inlineStr">
        <is>
          <t>Kirov Airship</t>
        </is>
      </c>
      <c r="D83" t="inlineStr"/>
      <c r="E83" s="5" t="n">
        <v>800000</v>
      </c>
      <c r="F83" s="5" t="n">
        <v>30</v>
      </c>
      <c r="G83" t="inlineStr">
        <is>
          <t>Spaceship</t>
        </is>
      </c>
      <c r="H83" s="5" t="n">
        <v>1</v>
      </c>
      <c r="I83" s="5" t="n">
        <v>1</v>
      </c>
      <c r="J83" s="5" t="n">
        <v>1</v>
      </c>
      <c r="O83">
        <f>MAX(O84,O85,O86,O87,O88,O89)</f>
        <v/>
      </c>
      <c r="R83">
        <f>R84+R85+R86+R87+R88+R89</f>
        <v/>
      </c>
      <c r="S83">
        <f>(E83/100000+F83/100+(O83/1000)*J83/5+R83/200)*200*I83*H83</f>
        <v/>
      </c>
      <c r="T83">
        <f>((E83*F83/25000)+((O83/1000)*J83*R83/2.5))*I83*H83</f>
        <v/>
      </c>
      <c r="U83">
        <f>(E83*F83*(O83/1000)*J83*R83*I83*H83)/12500000</f>
        <v/>
      </c>
      <c r="V83">
        <f>(S83+T83+U83)/3</f>
        <v/>
      </c>
      <c r="W83" s="5" t="n">
        <v>4000</v>
      </c>
      <c r="X83">
        <f>IFERROR(V83-W83,"")</f>
        <v/>
      </c>
      <c r="Y83">
        <f>IFERROR(ABS(X83)/MAX(W83,1),"")</f>
        <v/>
      </c>
      <c r="Z83">
        <f>IFERROR((W83-(((E83/100000+F83/100+R83/200)*200*I83*H83)+((E83*F83/25000)*I83*H83))/3)/(((J83/5)*200*I83*H83)+((J83*R83/2.5)*I83*H83)+((E83*F83*J83*R83*I83*H83)/12500000))/3*1000,"")</f>
        <v/>
      </c>
    </row>
    <row r="84">
      <c r="B84" s="6" t="inlineStr">
        <is>
          <t xml:space="preserve">  ↳ RA2KirovBomb</t>
        </is>
      </c>
      <c r="C84" s="6" t="inlineStr">
        <is>
          <t>Armament@PRIMARY</t>
        </is>
      </c>
      <c r="K84" s="5" t="n">
        <v>80000</v>
      </c>
      <c r="L84" s="5" t="n">
        <v>50</v>
      </c>
      <c r="M84" s="5" t="n">
        <v>1</v>
      </c>
      <c r="N84" s="5" t="n"/>
      <c r="O84" s="5" t="n">
        <v>2500</v>
      </c>
      <c r="P84" s="5" t="n">
        <v>1</v>
      </c>
      <c r="Q84">
        <f>L84+IF(M84&gt;1,N(N84)*(M84-1),0)</f>
        <v/>
      </c>
      <c r="R84">
        <f>IFERROR(K84*MAX(M84,1)/Q84*P84,0)</f>
        <v/>
      </c>
      <c r="AA84" s="6" t="inlineStr">
        <is>
          <t>^HeavyBomb</t>
        </is>
      </c>
    </row>
    <row r="85">
      <c r="B85" s="6" t="inlineStr">
        <is>
          <t xml:space="preserve">  ↳ RA2KirovBomb_rad</t>
        </is>
      </c>
      <c r="C85" s="6" t="inlineStr">
        <is>
          <t>Armament@PRIMARYRad</t>
        </is>
      </c>
      <c r="K85" s="5" t="n">
        <v>48000</v>
      </c>
      <c r="L85" s="5" t="n">
        <v>50</v>
      </c>
      <c r="M85" s="5" t="n">
        <v>1</v>
      </c>
      <c r="N85" s="5" t="n"/>
      <c r="O85" s="5" t="n">
        <v>2500</v>
      </c>
      <c r="P85" s="5" t="n">
        <v>1</v>
      </c>
      <c r="Q85">
        <f>L85+IF(M85&gt;1,N(N85)*(M85-1),0)</f>
        <v/>
      </c>
      <c r="R85">
        <f>IFERROR(K85*MAX(M85,1)/Q85*P85,0)</f>
        <v/>
      </c>
      <c r="AA85" s="6" t="inlineStr">
        <is>
          <t>^HeavyChemicalWeapon, ^HeavyBomb, ^RA2RadShell</t>
        </is>
      </c>
    </row>
    <row r="86">
      <c r="B86" s="6" t="inlineStr">
        <is>
          <t xml:space="preserve">  ↳ RA2KirovBomb_fire</t>
        </is>
      </c>
      <c r="C86" s="6" t="inlineStr">
        <is>
          <t>Armament@PRIMARYFire</t>
        </is>
      </c>
      <c r="K86" s="5" t="n">
        <v>80000</v>
      </c>
      <c r="L86" s="5" t="n">
        <v>50</v>
      </c>
      <c r="M86" s="5" t="n">
        <v>1</v>
      </c>
      <c r="N86" s="5" t="n"/>
      <c r="O86" s="5" t="n">
        <v>2500</v>
      </c>
      <c r="P86" s="5" t="n">
        <v>1</v>
      </c>
      <c r="Q86">
        <f>L86+IF(M86&gt;1,N(N86)*(M86-1),0)</f>
        <v/>
      </c>
      <c r="R86">
        <f>IFERROR(K86*MAX(M86,1)/Q86*P86,0)</f>
        <v/>
      </c>
      <c r="AA86" s="6" t="inlineStr">
        <is>
          <t>^HeavyBomb</t>
        </is>
      </c>
    </row>
    <row r="87">
      <c r="B87" s="6" t="inlineStr">
        <is>
          <t xml:space="preserve">  ↳ RA2KirovBomb_tesla</t>
        </is>
      </c>
      <c r="C87" s="6" t="inlineStr">
        <is>
          <t>Armament@PRIMARYTesla</t>
        </is>
      </c>
      <c r="K87" s="5" t="n">
        <v>80000</v>
      </c>
      <c r="L87" s="5" t="n">
        <v>50</v>
      </c>
      <c r="M87" s="5" t="n">
        <v>1</v>
      </c>
      <c r="N87" s="5" t="n"/>
      <c r="O87" s="5" t="n">
        <v>2500</v>
      </c>
      <c r="P87" s="5" t="n">
        <v>1</v>
      </c>
      <c r="Q87">
        <f>L87+IF(M87&gt;1,N(N87)*(M87-1),0)</f>
        <v/>
      </c>
      <c r="R87">
        <f>IFERROR(K87*MAX(M87,1)/Q87*P87,0)</f>
        <v/>
      </c>
      <c r="AA87" s="6" t="inlineStr">
        <is>
          <t>^TeslaChargedWeapon, ^HeavyBomb</t>
        </is>
      </c>
    </row>
    <row r="88">
      <c r="B88" s="6" t="inlineStr">
        <is>
          <t xml:space="preserve">  ↳ RA2KirovBomb_nuclear</t>
        </is>
      </c>
      <c r="C88" s="6" t="inlineStr">
        <is>
          <t>Armament@PRIMARYNuclear</t>
        </is>
      </c>
      <c r="K88" s="5" t="n">
        <v>80000</v>
      </c>
      <c r="L88" s="5" t="n">
        <v>50</v>
      </c>
      <c r="M88" s="5" t="n">
        <v>1</v>
      </c>
      <c r="N88" s="5" t="n"/>
      <c r="O88" s="5" t="n">
        <v>2500</v>
      </c>
      <c r="P88" s="5" t="n">
        <v>1</v>
      </c>
      <c r="Q88">
        <f>L88+IF(M88&gt;1,N(N88)*(M88-1),0)</f>
        <v/>
      </c>
      <c r="R88">
        <f>IFERROR(K88*MAX(M88,1)/Q88*P88,0)</f>
        <v/>
      </c>
      <c r="AA88" s="6" t="inlineStr">
        <is>
          <t>^NuclearWarhead, ^HeavyBomb</t>
        </is>
      </c>
    </row>
    <row r="89">
      <c r="B89" s="6" t="inlineStr">
        <is>
          <t xml:space="preserve">  ↳ RA2KirovBomb_nuclear_E</t>
        </is>
      </c>
      <c r="C89" s="6" t="inlineStr">
        <is>
          <t>Armament@PRIMARYNuclearELITE</t>
        </is>
      </c>
      <c r="K89" s="5" t="n">
        <v>100000</v>
      </c>
      <c r="L89" s="5" t="n">
        <v>50</v>
      </c>
      <c r="M89" s="5" t="n">
        <v>1</v>
      </c>
      <c r="N89" s="5" t="n"/>
      <c r="O89" s="5" t="n">
        <v>2500</v>
      </c>
      <c r="P89" s="5" t="n">
        <v>1</v>
      </c>
      <c r="Q89">
        <f>L89+IF(M89&gt;1,N(N89)*(M89-1),0)</f>
        <v/>
      </c>
      <c r="R89">
        <f>IFERROR(K89*MAX(M89,1)/Q89*P89,0)</f>
        <v/>
      </c>
      <c r="AA89" s="6" t="inlineStr">
        <is>
          <t>^NuclearWarhead, ^HeavyBomb</t>
        </is>
      </c>
    </row>
    <row r="90">
      <c r="A90" t="inlineStr">
        <is>
          <t>redalert2</t>
        </is>
      </c>
      <c r="B90" t="inlineStr">
        <is>
          <t>ra2_soviets_migbomber</t>
        </is>
      </c>
      <c r="C90" t="inlineStr">
        <is>
          <t>MiG Bomber</t>
        </is>
      </c>
      <c r="D90" t="inlineStr"/>
      <c r="E90" s="5" t="n">
        <v>57500</v>
      </c>
      <c r="F90" s="5" t="n">
        <v>215</v>
      </c>
      <c r="G90" t="inlineStr">
        <is>
          <t>Bomber</t>
        </is>
      </c>
      <c r="H90" s="5" t="n">
        <v>1</v>
      </c>
      <c r="I90" s="5" t="n">
        <v>1</v>
      </c>
      <c r="J90" s="5" t="n">
        <v>1</v>
      </c>
      <c r="O90">
        <f>MAX(O91,O92,O93,O94,O95,O96,O97,O98)</f>
        <v/>
      </c>
      <c r="R90">
        <f>R91+R92+R93+R94+R95+R96+R97+R98</f>
        <v/>
      </c>
      <c r="S90">
        <f>(E90/100000+F90/100+(O90/1000)*J90/5+R90/200)*200*I90*H90</f>
        <v/>
      </c>
      <c r="T90">
        <f>((E90*F90/25000)+((O90/1000)*J90*R90/2.5))*I90*H90</f>
        <v/>
      </c>
      <c r="U90">
        <f>(E90*F90*(O90/1000)*J90*R90*I90*H90)/12500000</f>
        <v/>
      </c>
      <c r="V90">
        <f>(S90+T90+U90)/3</f>
        <v/>
      </c>
      <c r="W90" s="5" t="n">
        <v>2000</v>
      </c>
      <c r="X90">
        <f>IFERROR(V90-W90,"")</f>
        <v/>
      </c>
      <c r="Y90">
        <f>IFERROR(ABS(X90)/MAX(W90,1),"")</f>
        <v/>
      </c>
      <c r="Z90">
        <f>IFERROR((W90-(((E90/100000+F90/100+R90/200)*200*I90*H90)+((E90*F90/25000)*I90*H90))/3)/(((J90/5)*200*I90*H90)+((J90*R90/2.5)*I90*H90)+((E90*F90*J90*R90*I90*H90)/12500000))/3*1000,"")</f>
        <v/>
      </c>
    </row>
    <row r="91">
      <c r="B91" s="6" t="inlineStr">
        <is>
          <t xml:space="preserve">  ↳ MigMissiles</t>
        </is>
      </c>
      <c r="C91" s="6" t="inlineStr">
        <is>
          <t>Armament</t>
        </is>
      </c>
      <c r="K91" s="5" t="n">
        <v>8000</v>
      </c>
      <c r="L91" s="5" t="n">
        <v>50</v>
      </c>
      <c r="M91" s="5" t="n">
        <v>4</v>
      </c>
      <c r="N91" s="5" t="n">
        <v>2</v>
      </c>
      <c r="O91" s="5" t="n">
        <v>7600</v>
      </c>
      <c r="P91" s="5" t="n">
        <v>1</v>
      </c>
      <c r="Q91">
        <f>L91+IF(M91&gt;1,N(N91)*(M91-1),0)</f>
        <v/>
      </c>
      <c r="R91">
        <f>IFERROR(K91*MAX(M91,1)/Q91*P91,0)</f>
        <v/>
      </c>
      <c r="AA91" s="6" t="inlineStr">
        <is>
          <t>^HeavyBomb, ^HeavyAAWeapon, ^FlakWeapon, ^RA2MediumMissile</t>
        </is>
      </c>
    </row>
    <row r="92">
      <c r="B92" s="6" t="inlineStr">
        <is>
          <t xml:space="preserve">  ↳ MigMissiles_rad</t>
        </is>
      </c>
      <c r="C92" s="6" t="inlineStr">
        <is>
          <t>Armament@rad</t>
        </is>
      </c>
      <c r="K92" s="5" t="n">
        <v>8000</v>
      </c>
      <c r="L92" s="5" t="n">
        <v>50</v>
      </c>
      <c r="M92" s="5" t="n">
        <v>4</v>
      </c>
      <c r="N92" s="5" t="n">
        <v>2</v>
      </c>
      <c r="O92" s="5" t="n">
        <v>7600</v>
      </c>
      <c r="P92" s="5" t="n">
        <v>1</v>
      </c>
      <c r="Q92">
        <f>L92+IF(M92&gt;1,N(N92)*(M92-1),0)</f>
        <v/>
      </c>
      <c r="R92">
        <f>IFERROR(K92*MAX(M92,1)/Q92*P92,0)</f>
        <v/>
      </c>
      <c r="AA92" s="6" t="inlineStr">
        <is>
          <t>^MediumChemicalWeapon, ^HeavyChemicalWeapon, ^HeavyBomb, ^HeavyAAWeapon, ^FlakWeapon, ^RA2MediumMissile, ^RA2RadShell</t>
        </is>
      </c>
    </row>
    <row r="93">
      <c r="B93" s="6" t="inlineStr">
        <is>
          <t xml:space="preserve">  ↳ MigMissiles_fire</t>
        </is>
      </c>
      <c r="C93" s="6" t="inlineStr">
        <is>
          <t>Armament@fire</t>
        </is>
      </c>
      <c r="K93" s="5" t="n">
        <v>8000</v>
      </c>
      <c r="L93" s="5" t="n">
        <v>50</v>
      </c>
      <c r="M93" s="5" t="n">
        <v>4</v>
      </c>
      <c r="N93" s="5" t="n">
        <v>2</v>
      </c>
      <c r="O93" s="5" t="n">
        <v>7600</v>
      </c>
      <c r="P93" s="5" t="n">
        <v>1</v>
      </c>
      <c r="Q93">
        <f>L93+IF(M93&gt;1,N(N93)*(M93-1),0)</f>
        <v/>
      </c>
      <c r="R93">
        <f>IFERROR(K93*MAX(M93,1)/Q93*P93,0)</f>
        <v/>
      </c>
      <c r="AA93" s="6" t="inlineStr">
        <is>
          <t>^HeavyBomb, ^HeavyAAWeapon, ^FlakWeapon, ^RA2MediumMissile</t>
        </is>
      </c>
    </row>
    <row r="94">
      <c r="B94" s="6" t="inlineStr">
        <is>
          <t xml:space="preserve">  ↳ MigMissiles_tesla</t>
        </is>
      </c>
      <c r="C94" s="6" t="inlineStr">
        <is>
          <t>Armament@tesla</t>
        </is>
      </c>
      <c r="K94" s="5" t="n">
        <v>8000</v>
      </c>
      <c r="L94" s="5" t="n">
        <v>50</v>
      </c>
      <c r="M94" s="5" t="n">
        <v>4</v>
      </c>
      <c r="N94" s="5" t="n">
        <v>2</v>
      </c>
      <c r="O94" s="5" t="n">
        <v>7600</v>
      </c>
      <c r="P94" s="5" t="n">
        <v>1</v>
      </c>
      <c r="Q94">
        <f>L94+IF(M94&gt;1,N(N94)*(M94-1),0)</f>
        <v/>
      </c>
      <c r="R94">
        <f>IFERROR(K94*MAX(M94,1)/Q94*P94,0)</f>
        <v/>
      </c>
      <c r="AA94" s="6" t="inlineStr">
        <is>
          <t>^HeavyBomb, ^HeavyAAWeapon, ^FlakWeapon, ^RA2MediumMissile</t>
        </is>
      </c>
    </row>
    <row r="95">
      <c r="B95" s="6" t="inlineStr">
        <is>
          <t xml:space="preserve">  ↳ MigMissilesE</t>
        </is>
      </c>
      <c r="C95" s="6" t="inlineStr">
        <is>
          <t>Armament@PRIMARYELITE</t>
        </is>
      </c>
      <c r="K95" s="5" t="n">
        <v>8000</v>
      </c>
      <c r="L95" s="5" t="n">
        <v>50</v>
      </c>
      <c r="M95" s="5" t="n">
        <v>8</v>
      </c>
      <c r="N95" s="5" t="n">
        <v>2</v>
      </c>
      <c r="O95" s="5" t="n">
        <v>8600</v>
      </c>
      <c r="P95" s="5" t="n">
        <v>1</v>
      </c>
      <c r="Q95">
        <f>L95+IF(M95&gt;1,N(N95)*(M95-1),0)</f>
        <v/>
      </c>
      <c r="R95">
        <f>IFERROR(K95*MAX(M95,1)/Q95*P95,0)</f>
        <v/>
      </c>
      <c r="AA95" s="6" t="inlineStr">
        <is>
          <t>^HeavyBomb, ^HeavyAAWeapon, ^FlakWeapon, ^RA2MediumMissile</t>
        </is>
      </c>
    </row>
    <row r="96">
      <c r="B96" s="6" t="inlineStr">
        <is>
          <t xml:space="preserve">  ↳ MigMissilesE_tesla</t>
        </is>
      </c>
      <c r="C96" s="6" t="inlineStr">
        <is>
          <t>Armament@PRIMARYELITERad</t>
        </is>
      </c>
      <c r="K96" s="5" t="n">
        <v>8000</v>
      </c>
      <c r="L96" s="5" t="n">
        <v>50</v>
      </c>
      <c r="M96" s="5" t="n">
        <v>8</v>
      </c>
      <c r="N96" s="5" t="n">
        <v>2</v>
      </c>
      <c r="O96" s="5" t="n">
        <v>8600</v>
      </c>
      <c r="P96" s="5" t="n">
        <v>1</v>
      </c>
      <c r="Q96">
        <f>L96+IF(M96&gt;1,N(N96)*(M96-1),0)</f>
        <v/>
      </c>
      <c r="R96">
        <f>IFERROR(K96*MAX(M96,1)/Q96*P96,0)</f>
        <v/>
      </c>
      <c r="AA96" s="6" t="inlineStr">
        <is>
          <t>^HeavyBomb, ^HeavyAAWeapon, ^FlakWeapon, ^RA2MediumMissile</t>
        </is>
      </c>
    </row>
    <row r="97">
      <c r="B97" s="6" t="inlineStr">
        <is>
          <t xml:space="preserve">  ↳ MigMissiles_AA</t>
        </is>
      </c>
      <c r="C97" s="6" t="inlineStr">
        <is>
          <t>Armament@AA</t>
        </is>
      </c>
      <c r="K97" s="5" t="n">
        <v>8000</v>
      </c>
      <c r="L97" s="5" t="n">
        <v>50</v>
      </c>
      <c r="M97" s="5" t="n">
        <v>4</v>
      </c>
      <c r="N97" s="5" t="n">
        <v>2</v>
      </c>
      <c r="O97" s="5" t="n">
        <v>7600</v>
      </c>
      <c r="P97" s="5" t="n">
        <v>1</v>
      </c>
      <c r="Q97">
        <f>L97+IF(M97&gt;1,N(N97)*(M97-1),0)</f>
        <v/>
      </c>
      <c r="R97">
        <f>IFERROR(K97*MAX(M97,1)/Q97*P97,0)</f>
        <v/>
      </c>
      <c r="AA97" s="6" t="inlineStr">
        <is>
          <t>^HeavyBomb, ^HeavyAAWeapon, ^FlakWeapon, ^RA2MediumMissile</t>
        </is>
      </c>
    </row>
    <row r="98">
      <c r="B98" s="6" t="inlineStr">
        <is>
          <t xml:space="preserve">  ↳ MigMissiles_AA_ELITE</t>
        </is>
      </c>
      <c r="C98" s="6" t="inlineStr">
        <is>
          <t>Armament@AAELITE</t>
        </is>
      </c>
      <c r="K98" s="5" t="n">
        <v>8000</v>
      </c>
      <c r="L98" s="5" t="n">
        <v>50</v>
      </c>
      <c r="M98" s="5" t="n">
        <v>8</v>
      </c>
      <c r="N98" s="5" t="n">
        <v>2</v>
      </c>
      <c r="O98" s="5" t="n">
        <v>8600</v>
      </c>
      <c r="P98" s="5" t="n">
        <v>1</v>
      </c>
      <c r="Q98">
        <f>L98+IF(M98&gt;1,N(N98)*(M98-1),0)</f>
        <v/>
      </c>
      <c r="R98">
        <f>IFERROR(K98*MAX(M98,1)/Q98*P98,0)</f>
        <v/>
      </c>
      <c r="AA98" s="6" t="inlineStr">
        <is>
          <t>^HeavyBomb, ^HeavyAAWeapon, ^FlakWeapon, ^RA2MediumMissile</t>
        </is>
      </c>
    </row>
    <row r="99">
      <c r="A99" t="inlineStr">
        <is>
          <t>redalert2</t>
        </is>
      </c>
      <c r="B99" t="inlineStr">
        <is>
          <t>ra2_soviets_siegechopper</t>
        </is>
      </c>
      <c r="C99" t="inlineStr">
        <is>
          <t>Siege Chopper</t>
        </is>
      </c>
      <c r="D99" t="inlineStr"/>
      <c r="E99" s="5" t="n">
        <v>55000</v>
      </c>
      <c r="F99" s="5" t="n">
        <v>150</v>
      </c>
      <c r="G99" t="inlineStr">
        <is>
          <t>Helicopter</t>
        </is>
      </c>
      <c r="H99" s="5" t="n">
        <v>1</v>
      </c>
      <c r="I99" s="5" t="n">
        <v>1</v>
      </c>
      <c r="J99" s="5" t="n">
        <v>1</v>
      </c>
      <c r="O99">
        <f>MAX(O100,O101,O102,O103,O104,O105,O106,O107,O108,O109)</f>
        <v/>
      </c>
      <c r="R99">
        <f>R100+R101+R102+R103+R104+R105+R106+R107+R108+R109</f>
        <v/>
      </c>
      <c r="S99">
        <f>(E99/100000+F99/100+(O99/1000)*J99/5+R99/200)*200*I99*H99</f>
        <v/>
      </c>
      <c r="T99">
        <f>((E99*F99/25000)+((O99/1000)*J99*R99/2.5))*I99*H99</f>
        <v/>
      </c>
      <c r="U99">
        <f>(E99*F99*(O99/1000)*J99*R99*I99*H99)/12500000</f>
        <v/>
      </c>
      <c r="V99">
        <f>(S99+T99+U99)/3</f>
        <v/>
      </c>
      <c r="W99" s="5" t="n">
        <v>1500</v>
      </c>
      <c r="X99">
        <f>IFERROR(V99-W99,"")</f>
        <v/>
      </c>
      <c r="Y99">
        <f>IFERROR(ABS(X99)/MAX(W99,1),"")</f>
        <v/>
      </c>
      <c r="Z99">
        <f>IFERROR((W99-(((E99/100000+F99/100+R99/200)*200*I99*H99)+((E99*F99/25000)*I99*H99))/3)/(((J99/5)*200*I99*H99)+((J99*R99/2.5)*I99*H99)+((E99*F99*J99*R99*I99*H99)/12500000))/3*1000,"")</f>
        <v/>
      </c>
    </row>
    <row r="100">
      <c r="B100" s="6" t="inlineStr">
        <is>
          <t xml:space="preserve">  ↳ BlackHawkCannon</t>
        </is>
      </c>
      <c r="C100" s="6" t="inlineStr">
        <is>
          <t>Armament@PRIMARY</t>
        </is>
      </c>
      <c r="K100" s="5" t="n">
        <v>2000</v>
      </c>
      <c r="L100" s="5" t="n">
        <v>3</v>
      </c>
      <c r="M100" s="5" t="n">
        <v>1</v>
      </c>
      <c r="N100" s="5" t="n"/>
      <c r="O100" s="5" t="n">
        <v>4750</v>
      </c>
      <c r="P100" s="5" t="n">
        <v>1</v>
      </c>
      <c r="Q100">
        <f>L100+IF(M100&gt;1,N(N100)*(M100-1),0)</f>
        <v/>
      </c>
      <c r="R100">
        <f>IFERROR(K100*MAX(M100,1)/Q100*P100,0)</f>
        <v/>
      </c>
      <c r="AA100" s="6" t="inlineStr">
        <is>
          <t>^RA2SmallArms, ^RA2Chaingun</t>
        </is>
      </c>
    </row>
    <row r="101">
      <c r="B101" s="6" t="inlineStr">
        <is>
          <t xml:space="preserve">  ↳ deploytargeting.5c0</t>
        </is>
      </c>
      <c r="C101" s="6" t="inlineStr">
        <is>
          <t>Armament@DeployTargeter</t>
        </is>
      </c>
      <c r="K101" s="5" t="n"/>
      <c r="L101" s="5" t="n">
        <v>50</v>
      </c>
      <c r="M101" s="5" t="n">
        <v>1</v>
      </c>
      <c r="N101" s="5" t="n"/>
      <c r="O101" s="5" t="n">
        <v>5000</v>
      </c>
      <c r="P101" s="5" t="n">
        <v>1</v>
      </c>
      <c r="Q101">
        <f>L101+IF(M101&gt;1,N(N101)*(M101-1),0)</f>
        <v/>
      </c>
      <c r="R101">
        <f>IFERROR(K101*MAX(M101,1)/Q101*P101,0)</f>
        <v/>
      </c>
      <c r="AA101" s="6" t="inlineStr">
        <is>
          <t>^deploytargeting</t>
        </is>
      </c>
    </row>
    <row r="102">
      <c r="B102" s="6" t="inlineStr">
        <is>
          <t xml:space="preserve">  ↳ RA160mm</t>
        </is>
      </c>
      <c r="C102" s="6" t="inlineStr">
        <is>
          <t>Armament@Deployed</t>
        </is>
      </c>
      <c r="K102" s="5" t="n">
        <v>60000</v>
      </c>
      <c r="L102" s="5" t="n">
        <v>88</v>
      </c>
      <c r="M102" s="5" t="n">
        <v>1</v>
      </c>
      <c r="N102" s="5" t="n"/>
      <c r="O102" s="5" t="n">
        <v>11111</v>
      </c>
      <c r="P102" s="5" t="n">
        <v>1</v>
      </c>
      <c r="Q102">
        <f>L102+IF(M102&gt;1,N(N102)*(M102-1),0)</f>
        <v/>
      </c>
      <c r="R102">
        <f>IFERROR(K102*MAX(M102,1)/Q102*P102,0)</f>
        <v/>
      </c>
      <c r="AA102" s="6" t="inlineStr">
        <is>
          <t>^ShrapnelWeapon, ^RA2Grenade</t>
        </is>
      </c>
    </row>
    <row r="103">
      <c r="B103" s="6" t="inlineStr">
        <is>
          <t xml:space="preserve">  ↳ RA160mm_rad</t>
        </is>
      </c>
      <c r="C103" s="6" t="inlineStr">
        <is>
          <t>Armament@DeployedRad</t>
        </is>
      </c>
      <c r="K103" s="5" t="n">
        <v>36000</v>
      </c>
      <c r="L103" s="5" t="n">
        <v>88</v>
      </c>
      <c r="M103" s="5" t="n">
        <v>1</v>
      </c>
      <c r="N103" s="5" t="n"/>
      <c r="O103" s="5" t="n">
        <v>11111</v>
      </c>
      <c r="P103" s="5" t="n">
        <v>1</v>
      </c>
      <c r="Q103">
        <f>L103+IF(M103&gt;1,N(N103)*(M103-1),0)</f>
        <v/>
      </c>
      <c r="R103">
        <f>IFERROR(K103*MAX(M103,1)/Q103*P103,0)</f>
        <v/>
      </c>
      <c r="AA103" s="6" t="inlineStr">
        <is>
          <t>^LightChemicalWeapon, ^MediumChemicalWeapon, ^ShrapnelWeapon, ^RA2Grenade, ^RA2RadShell</t>
        </is>
      </c>
    </row>
    <row r="104">
      <c r="B104" s="6" t="inlineStr">
        <is>
          <t xml:space="preserve">  ↳ RA160mm_fire</t>
        </is>
      </c>
      <c r="C104" s="6" t="inlineStr">
        <is>
          <t>Armament@DeployedFire</t>
        </is>
      </c>
      <c r="K104" s="5" t="n">
        <v>60000</v>
      </c>
      <c r="L104" s="5" t="n">
        <v>88</v>
      </c>
      <c r="M104" s="5" t="n">
        <v>1</v>
      </c>
      <c r="N104" s="5" t="n"/>
      <c r="O104" s="5" t="n">
        <v>11111</v>
      </c>
      <c r="P104" s="5" t="n">
        <v>1</v>
      </c>
      <c r="Q104">
        <f>L104+IF(M104&gt;1,N(N104)*(M104-1),0)</f>
        <v/>
      </c>
      <c r="R104">
        <f>IFERROR(K104*MAX(M104,1)/Q104*P104,0)</f>
        <v/>
      </c>
      <c r="AA104" s="6" t="inlineStr">
        <is>
          <t>^ShrapnelWeapon, ^RA2Grenade</t>
        </is>
      </c>
    </row>
    <row r="105">
      <c r="B105" s="6" t="inlineStr">
        <is>
          <t xml:space="preserve">  ↳ RA160mm_tesla</t>
        </is>
      </c>
      <c r="C105" s="6" t="inlineStr">
        <is>
          <t>Armament@DeployedTesla</t>
        </is>
      </c>
      <c r="K105" s="5" t="n">
        <v>60000</v>
      </c>
      <c r="L105" s="5" t="n">
        <v>88</v>
      </c>
      <c r="M105" s="5" t="n">
        <v>1</v>
      </c>
      <c r="N105" s="5" t="n"/>
      <c r="O105" s="5" t="n">
        <v>11111</v>
      </c>
      <c r="P105" s="5" t="n">
        <v>1</v>
      </c>
      <c r="Q105">
        <f>L105+IF(M105&gt;1,N(N105)*(M105-1),0)</f>
        <v/>
      </c>
      <c r="R105">
        <f>IFERROR(K105*MAX(M105,1)/Q105*P105,0)</f>
        <v/>
      </c>
      <c r="AA105" s="6" t="inlineStr">
        <is>
          <t>^ShrapnelWeapon, ^RA2Grenade</t>
        </is>
      </c>
    </row>
    <row r="106">
      <c r="B106" s="6" t="inlineStr">
        <is>
          <t xml:space="preserve">  ↳ RA160mmE_elite</t>
        </is>
      </c>
      <c r="C106" s="6" t="inlineStr">
        <is>
          <t>Armament@DeployedElite</t>
        </is>
      </c>
      <c r="K106" s="5" t="n">
        <v>60000</v>
      </c>
      <c r="L106" s="5" t="n">
        <v>88</v>
      </c>
      <c r="M106" s="5" t="n">
        <v>2</v>
      </c>
      <c r="N106" s="5" t="n">
        <v>3</v>
      </c>
      <c r="O106" s="5" t="n">
        <v>12345</v>
      </c>
      <c r="P106" s="5" t="n">
        <v>1</v>
      </c>
      <c r="Q106">
        <f>L106+IF(M106&gt;1,N(N106)*(M106-1),0)</f>
        <v/>
      </c>
      <c r="R106">
        <f>IFERROR(K106*MAX(M106,1)/Q106*P106,0)</f>
        <v/>
      </c>
      <c r="AA106" s="6" t="inlineStr">
        <is>
          <t>^ShrapnelWeapon, ^RA2Grenade, ^RA2EliteEffects</t>
        </is>
      </c>
    </row>
    <row r="107">
      <c r="B107" s="6" t="inlineStr">
        <is>
          <t xml:space="preserve">  ↳ RA160mmE_elite_rad</t>
        </is>
      </c>
      <c r="C107" s="6" t="inlineStr">
        <is>
          <t>Armament@DeployedEliteRad</t>
        </is>
      </c>
      <c r="K107" s="5" t="n">
        <v>36000</v>
      </c>
      <c r="L107" s="5" t="n">
        <v>88</v>
      </c>
      <c r="M107" s="5" t="n">
        <v>1</v>
      </c>
      <c r="N107" s="5" t="n"/>
      <c r="O107" s="5" t="n">
        <v>12345</v>
      </c>
      <c r="P107" s="5" t="n">
        <v>1</v>
      </c>
      <c r="Q107">
        <f>L107+IF(M107&gt;1,N(N107)*(M107-1),0)</f>
        <v/>
      </c>
      <c r="R107">
        <f>IFERROR(K107*MAX(M107,1)/Q107*P107,0)</f>
        <v/>
      </c>
      <c r="AA107" s="6" t="inlineStr">
        <is>
          <t>^NuclearWarhead, ^LightChemicalWeapon, ^MediumChemicalWeapon, ^ShrapnelWeapon, ^RA2Grenade, ^RA2RadShell, ^RA2EliteEffects</t>
        </is>
      </c>
    </row>
    <row r="108">
      <c r="B108" s="6" t="inlineStr">
        <is>
          <t xml:space="preserve">  ↳ RA160mmE_elite_fire</t>
        </is>
      </c>
      <c r="C108" s="6" t="inlineStr">
        <is>
          <t>Armament@DeployedEliteFire</t>
        </is>
      </c>
      <c r="K108" s="5" t="n">
        <v>60000</v>
      </c>
      <c r="L108" s="5" t="n">
        <v>88</v>
      </c>
      <c r="M108" s="5" t="n">
        <v>1</v>
      </c>
      <c r="N108" s="5" t="n"/>
      <c r="O108" s="5" t="n">
        <v>12345</v>
      </c>
      <c r="P108" s="5" t="n">
        <v>1</v>
      </c>
      <c r="Q108">
        <f>L108+IF(M108&gt;1,N(N108)*(M108-1),0)</f>
        <v/>
      </c>
      <c r="R108">
        <f>IFERROR(K108*MAX(M108,1)/Q108*P108,0)</f>
        <v/>
      </c>
      <c r="AA108" s="6" t="inlineStr">
        <is>
          <t>^ShrapnelWeapon, ^RA2Grenade, ^RA2EliteEffects</t>
        </is>
      </c>
    </row>
    <row r="109">
      <c r="B109" s="6" t="inlineStr">
        <is>
          <t xml:space="preserve">  ↳ RA160mmE_elite_tesla</t>
        </is>
      </c>
      <c r="C109" s="6" t="inlineStr">
        <is>
          <t>Armament@DeployedEliteTesla</t>
        </is>
      </c>
      <c r="K109" s="5" t="n">
        <v>60000</v>
      </c>
      <c r="L109" s="5" t="n">
        <v>88</v>
      </c>
      <c r="M109" s="5" t="n">
        <v>1</v>
      </c>
      <c r="N109" s="5" t="n"/>
      <c r="O109" s="5" t="n">
        <v>12345</v>
      </c>
      <c r="P109" s="5" t="n">
        <v>1</v>
      </c>
      <c r="Q109">
        <f>L109+IF(M109&gt;1,N(N109)*(M109-1),0)</f>
        <v/>
      </c>
      <c r="R109">
        <f>IFERROR(K109*MAX(M109,1)/Q109*P109,0)</f>
        <v/>
      </c>
      <c r="AA109" s="6" t="inlineStr">
        <is>
          <t>^ShrapnelWeapon, ^RA2Grenade, ^RA2EliteEffects</t>
        </is>
      </c>
    </row>
    <row r="110">
      <c r="A110" t="inlineStr">
        <is>
          <t>redalert2</t>
        </is>
      </c>
      <c r="B110" t="inlineStr">
        <is>
          <t>ra2_soviets_transportkirov</t>
        </is>
      </c>
      <c r="C110" t="inlineStr">
        <is>
          <t>Transport Kirov</t>
        </is>
      </c>
      <c r="D110" t="inlineStr"/>
      <c r="E110" s="5" t="n">
        <v>265000</v>
      </c>
      <c r="F110" s="5" t="n">
        <v>35</v>
      </c>
      <c r="G110" t="inlineStr">
        <is>
          <t>Helicopter</t>
        </is>
      </c>
      <c r="H110" s="5" t="n">
        <v>1</v>
      </c>
      <c r="I110" s="5" t="n">
        <v>1.25</v>
      </c>
      <c r="J110" s="5" t="n">
        <v>1</v>
      </c>
      <c r="O110">
        <f>MAX(O111)</f>
        <v/>
      </c>
      <c r="R110">
        <f>R111</f>
        <v/>
      </c>
      <c r="S110">
        <f>(E110/100000+F110/100+(O110/1000)*J110/5+R110/200)*200*I110*H110</f>
        <v/>
      </c>
      <c r="T110">
        <f>((E110*F110/25000)+((O110/1000)*J110*R110/2.5))*I110*H110</f>
        <v/>
      </c>
      <c r="U110">
        <f>(E110*F110*(O110/1000)*J110*R110*I110*H110)/12500000</f>
        <v/>
      </c>
      <c r="V110">
        <f>(S110+T110+U110)/3</f>
        <v/>
      </c>
      <c r="W110" s="5" t="n">
        <v>3600</v>
      </c>
      <c r="X110">
        <f>IFERROR(V110-W110,"")</f>
        <v/>
      </c>
      <c r="Y110">
        <f>IFERROR(ABS(X110)/MAX(W110,1),"")</f>
        <v/>
      </c>
      <c r="Z110">
        <f>IFERROR((W110-(((E110/100000+F110/100+R110/200)*200*I110*H110)+((E110*F110/25000)*I110*H110))/3)/(((J110/5)*200*I110*H110)+((J110*R110/2.5)*I110*H110)+((E110*F110*J110*R110*I110*H110)/12500000))/3*1000,"")</f>
        <v/>
      </c>
    </row>
    <row r="111">
      <c r="B111" s="6" t="inlineStr">
        <is>
          <t xml:space="preserve">  ↳ BlackHawkCannon</t>
        </is>
      </c>
      <c r="C111" s="6" t="inlineStr">
        <is>
          <t>Armament@PRIMARY</t>
        </is>
      </c>
      <c r="K111" s="5" t="n">
        <v>2000</v>
      </c>
      <c r="L111" s="5" t="n">
        <v>3</v>
      </c>
      <c r="M111" s="5" t="n">
        <v>1</v>
      </c>
      <c r="N111" s="5" t="n"/>
      <c r="O111" s="5" t="n">
        <v>4750</v>
      </c>
      <c r="P111" s="5" t="n">
        <v>1</v>
      </c>
      <c r="Q111">
        <f>L111+IF(M111&gt;1,N(N111)*(M111-1),0)</f>
        <v/>
      </c>
      <c r="R111">
        <f>IFERROR(K111*MAX(M111,1)/Q111*P111,0)</f>
        <v/>
      </c>
      <c r="AA111" s="6" t="inlineStr">
        <is>
          <t>^RA2SmallArms, ^RA2Chaingun</t>
        </is>
      </c>
    </row>
    <row r="112">
      <c r="A112" s="3" t="inlineStr">
        <is>
          <t>NAVAL</t>
        </is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</row>
    <row r="113">
      <c r="A113" t="inlineStr">
        <is>
          <t>redalert2</t>
        </is>
      </c>
      <c r="B113" t="inlineStr">
        <is>
          <t>ra2_soviets_seascorpion</t>
        </is>
      </c>
      <c r="C113" t="inlineStr">
        <is>
          <t>actor_hyd.name</t>
        </is>
      </c>
      <c r="D113" t="inlineStr"/>
      <c r="E113" s="5" t="n">
        <v>25000</v>
      </c>
      <c r="F113" s="5" t="n">
        <v>120</v>
      </c>
      <c r="G113" t="inlineStr">
        <is>
          <t>Light</t>
        </is>
      </c>
      <c r="H113" s="5" t="n">
        <v>1</v>
      </c>
      <c r="I113" s="5" t="n">
        <v>1</v>
      </c>
      <c r="J113" s="5" t="n">
        <v>1</v>
      </c>
      <c r="O113">
        <f>MAX(O114,O115)</f>
        <v/>
      </c>
      <c r="R113">
        <f>R114+R115</f>
        <v/>
      </c>
      <c r="S113">
        <f>(E113/100000+F113/100+(O113/1000)*J113/5+R113/200)*200*I113*H113</f>
        <v/>
      </c>
      <c r="T113">
        <f>((E113*F113/25000)+((O113/1000)*J113*R113/2.5))*I113*H113</f>
        <v/>
      </c>
      <c r="U113">
        <f>(E113*F113*(O113/1000)*J113*R113*I113*H113)/12500000</f>
        <v/>
      </c>
      <c r="V113">
        <f>(S113+T113+U113)/3</f>
        <v/>
      </c>
      <c r="W113" s="5" t="n">
        <v>600</v>
      </c>
      <c r="X113">
        <f>IFERROR(V113-W113,"")</f>
        <v/>
      </c>
      <c r="Y113">
        <f>IFERROR(ABS(X113)/MAX(W113,1),"")</f>
        <v/>
      </c>
      <c r="Z113">
        <f>IFERROR((W113-(((E113/100000+F113/100+R113/200)*200*I113*H113)+((E113*F113/25000)*I113*H113))/3)/(((J113/5)*200*I113*H113)+((J113*R113/2.5)*I113*H113)+((E113*F113*J113*R113*I113*H113)/12500000))/3*1000,"")</f>
        <v/>
      </c>
    </row>
    <row r="114">
      <c r="B114" s="6" t="inlineStr">
        <is>
          <t xml:space="preserve">  ↳ SeaScorpionAA</t>
        </is>
      </c>
      <c r="C114" s="6" t="inlineStr">
        <is>
          <t>Armament@AA</t>
        </is>
      </c>
      <c r="K114" s="5" t="n">
        <v>8000</v>
      </c>
      <c r="L114" s="5" t="n">
        <v>17</v>
      </c>
      <c r="M114" s="5" t="n">
        <v>1</v>
      </c>
      <c r="N114" s="5" t="n"/>
      <c r="O114" s="5" t="n">
        <v>13500</v>
      </c>
      <c r="P114" s="5" t="n">
        <v>1</v>
      </c>
      <c r="Q114">
        <f>L114+IF(M114&gt;1,N(N114)*(M114-1),0)</f>
        <v/>
      </c>
      <c r="R114">
        <f>IFERROR(K114*MAX(M114,1)/Q114*P114,0)</f>
        <v/>
      </c>
      <c r="AA114" s="6" t="inlineStr">
        <is>
          <t>^RA2FlakWeapon</t>
        </is>
      </c>
    </row>
    <row r="115">
      <c r="B115" s="6" t="inlineStr">
        <is>
          <t xml:space="preserve">  ↳ RA2FlakTrackGun</t>
        </is>
      </c>
      <c r="C115" s="6" t="inlineStr">
        <is>
          <t>Armament@AG</t>
        </is>
      </c>
      <c r="K115" s="5" t="n">
        <v>2000</v>
      </c>
      <c r="L115" s="5" t="n">
        <v>18</v>
      </c>
      <c r="M115" s="5" t="n">
        <v>1</v>
      </c>
      <c r="N115" s="5" t="n"/>
      <c r="O115" s="5" t="n">
        <v>5528</v>
      </c>
      <c r="P115" s="5" t="n">
        <v>1</v>
      </c>
      <c r="Q115">
        <f>L115+IF(M115&gt;1,N(N115)*(M115-1),0)</f>
        <v/>
      </c>
      <c r="R115">
        <f>IFERROR(K115*MAX(M115,1)/Q115*P115,0)</f>
        <v/>
      </c>
      <c r="AA115" s="6" t="inlineStr">
        <is>
          <t>^SmallArms, ^Grenade, ^Chaingun, ^RA2FlakWeapon</t>
        </is>
      </c>
    </row>
    <row r="116">
      <c r="A116" s="3" t="inlineStr">
        <is>
          <t>DEFENSES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>
      <c r="A117" t="inlineStr">
        <is>
          <t>redalert2</t>
        </is>
      </c>
      <c r="B117" t="inlineStr">
        <is>
          <t>ra2_soviets_battlebunker</t>
        </is>
      </c>
      <c r="C117" t="inlineStr">
        <is>
          <t>Battle Bunker</t>
        </is>
      </c>
      <c r="D117" t="inlineStr"/>
      <c r="E117" s="5" t="n">
        <v>80000</v>
      </c>
      <c r="F117" s="5" t="n">
        <v>100</v>
      </c>
      <c r="G117" t="inlineStr">
        <is>
          <t>Steel</t>
        </is>
      </c>
      <c r="H117" s="5" t="n">
        <v>1</v>
      </c>
      <c r="I117" s="5" t="n">
        <v>1</v>
      </c>
      <c r="J117" s="5" t="n">
        <v>1</v>
      </c>
      <c r="W117" s="5" t="n">
        <v>800</v>
      </c>
    </row>
    <row r="118">
      <c r="A118" t="inlineStr">
        <is>
          <t>redalert2</t>
        </is>
      </c>
      <c r="B118" t="inlineStr">
        <is>
          <t>ra2_soviets_concretebarrier</t>
        </is>
      </c>
      <c r="C118" t="inlineStr">
        <is>
          <t>Concrete Barrier</t>
        </is>
      </c>
      <c r="D118" t="inlineStr"/>
      <c r="E118" s="5" t="n">
        <v>100000</v>
      </c>
      <c r="F118" s="5" t="n">
        <v>100</v>
      </c>
      <c r="G118" t="inlineStr">
        <is>
          <t>Concrete</t>
        </is>
      </c>
      <c r="H118" s="5" t="n">
        <v>1</v>
      </c>
      <c r="I118" s="5" t="n">
        <v>1</v>
      </c>
      <c r="J118" s="5" t="n">
        <v>1</v>
      </c>
      <c r="W118" s="5" t="n">
        <v>200</v>
      </c>
    </row>
    <row r="119">
      <c r="A119" t="inlineStr">
        <is>
          <t>redalert2</t>
        </is>
      </c>
      <c r="B119" t="inlineStr">
        <is>
          <t>ra2_soviets_flakcannon</t>
        </is>
      </c>
      <c r="C119" t="inlineStr">
        <is>
          <t>Flak Cannon</t>
        </is>
      </c>
      <c r="D119" t="inlineStr"/>
      <c r="E119" s="5" t="n">
        <v>60000</v>
      </c>
      <c r="F119" s="5" t="n">
        <v>100</v>
      </c>
      <c r="G119" t="inlineStr">
        <is>
          <t>Concrete</t>
        </is>
      </c>
      <c r="H119" s="5" t="n">
        <v>1</v>
      </c>
      <c r="I119" s="5" t="n">
        <v>0.225</v>
      </c>
      <c r="J119" s="5" t="n">
        <v>1</v>
      </c>
      <c r="O119">
        <f>MAX(O120)</f>
        <v/>
      </c>
      <c r="R119">
        <f>R120</f>
        <v/>
      </c>
      <c r="S119">
        <f>(E119/100000+F119/100+(O119/1000)*J119/5+R119/200)*200*I119*H119</f>
        <v/>
      </c>
      <c r="T119">
        <f>((E119*F119/25000)+((O119/1000)*J119*R119/2.5))*I119*H119</f>
        <v/>
      </c>
      <c r="U119">
        <f>(E119*F119*(O119/1000)*J119*R119*I119*H119)/12500000</f>
        <v/>
      </c>
      <c r="V119">
        <f>(S119+T119+U119)/3</f>
        <v/>
      </c>
      <c r="W119" s="5" t="n">
        <v>700</v>
      </c>
      <c r="X119">
        <f>IFERROR(V119-W119,"")</f>
        <v/>
      </c>
      <c r="Y119">
        <f>IFERROR(ABS(X119)/MAX(W119,1),"")</f>
        <v/>
      </c>
      <c r="Z119">
        <f>IFERROR((W119-(((E119/100000+F119/100+R119/200)*200*I119*H119)+((E119*F119/25000)*I119*H119))/3)/(((J119/5)*200*I119*H119)+((J119*R119/2.5)*I119*H119)+((E119*F119*J119*R119*I119*H119)/12500000))/3*1000,"")</f>
        <v/>
      </c>
    </row>
    <row r="120">
      <c r="B120" s="6" t="inlineStr">
        <is>
          <t xml:space="preserve">  ↳ RA2TURRETFLAKAA</t>
        </is>
      </c>
      <c r="C120" s="6" t="inlineStr">
        <is>
          <t>Armament</t>
        </is>
      </c>
      <c r="K120" s="5" t="n">
        <v>10000</v>
      </c>
      <c r="L120" s="5" t="n">
        <v>15</v>
      </c>
      <c r="M120" s="5" t="n">
        <v>1</v>
      </c>
      <c r="N120" s="5" t="n"/>
      <c r="O120" s="5" t="n">
        <v>12936</v>
      </c>
      <c r="P120" s="5" t="n">
        <v>1</v>
      </c>
      <c r="Q120">
        <f>L120+IF(M120&gt;1,N(N120)*(M120-1),0)</f>
        <v/>
      </c>
      <c r="R120">
        <f>IFERROR(K120*MAX(M120,1)/Q120*P120,0)</f>
        <v/>
      </c>
      <c r="AA120" s="6" t="inlineStr">
        <is>
          <t>^RA2FlakWeapon</t>
        </is>
      </c>
    </row>
    <row r="121">
      <c r="A121" t="inlineStr">
        <is>
          <t>redalert2</t>
        </is>
      </c>
      <c r="B121" t="inlineStr">
        <is>
          <t>ra2_soviets_ironcurtain</t>
        </is>
      </c>
      <c r="C121" t="inlineStr">
        <is>
          <t>Iron Curtain</t>
        </is>
      </c>
      <c r="D121" t="inlineStr"/>
      <c r="E121" s="5" t="n">
        <v>1000000</v>
      </c>
      <c r="F121" s="5" t="n">
        <v>100</v>
      </c>
      <c r="G121" t="inlineStr">
        <is>
          <t>Concrete</t>
        </is>
      </c>
      <c r="H121" s="5" t="n">
        <v>1</v>
      </c>
      <c r="I121" s="5" t="n">
        <v>1</v>
      </c>
      <c r="J121" s="5" t="n">
        <v>1</v>
      </c>
      <c r="W121" s="5" t="n">
        <v>5000</v>
      </c>
    </row>
    <row r="122">
      <c r="A122" t="inlineStr">
        <is>
          <t>redalert2</t>
        </is>
      </c>
      <c r="B122" t="inlineStr">
        <is>
          <t>ra2_soviets_nuclearmissilesilo</t>
        </is>
      </c>
      <c r="C122" t="inlineStr">
        <is>
          <t>Nuclear Missile Silo</t>
        </is>
      </c>
      <c r="D122" t="inlineStr"/>
      <c r="E122" s="5" t="n">
        <v>1000000</v>
      </c>
      <c r="F122" s="5" t="n">
        <v>100</v>
      </c>
      <c r="G122" t="inlineStr">
        <is>
          <t>Concrete</t>
        </is>
      </c>
      <c r="H122" s="5" t="n">
        <v>1</v>
      </c>
      <c r="I122" s="5" t="n">
        <v>1</v>
      </c>
      <c r="J122" s="5" t="n">
        <v>1</v>
      </c>
      <c r="W122" s="5" t="n">
        <v>10000</v>
      </c>
    </row>
    <row r="123">
      <c r="A123" t="inlineStr">
        <is>
          <t>redalert2</t>
        </is>
      </c>
      <c r="B123" t="inlineStr">
        <is>
          <t>ra2_soviets_sentrygun</t>
        </is>
      </c>
      <c r="C123" t="inlineStr">
        <is>
          <t>Sentry Gun</t>
        </is>
      </c>
      <c r="D123" t="inlineStr"/>
      <c r="E123" s="5" t="n">
        <v>57000</v>
      </c>
      <c r="F123" s="5" t="n">
        <v>100</v>
      </c>
      <c r="G123" t="inlineStr">
        <is>
          <t>Concrete</t>
        </is>
      </c>
      <c r="H123" s="5" t="n">
        <v>1</v>
      </c>
      <c r="I123" s="5" t="n">
        <v>0.35</v>
      </c>
      <c r="J123" s="5" t="n">
        <v>1</v>
      </c>
      <c r="O123">
        <f>MAX(O124)</f>
        <v/>
      </c>
      <c r="R123">
        <f>R124</f>
        <v/>
      </c>
      <c r="S123">
        <f>(E123/100000+F123/100+(O123/1000)*J123/5+R123/200)*200*I123*H123</f>
        <v/>
      </c>
      <c r="T123">
        <f>((E123*F123/25000)+((O123/1000)*J123*R123/2.5))*I123*H123</f>
        <v/>
      </c>
      <c r="U123">
        <f>(E123*F123*(O123/1000)*J123*R123*I123*H123)/12500000</f>
        <v/>
      </c>
      <c r="V123">
        <f>(S123+T123+U123)/3</f>
        <v/>
      </c>
      <c r="W123" s="5" t="n">
        <v>500</v>
      </c>
      <c r="X123">
        <f>IFERROR(V123-W123,"")</f>
        <v/>
      </c>
      <c r="Y123">
        <f>IFERROR(ABS(X123)/MAX(W123,1),"")</f>
        <v/>
      </c>
      <c r="Z123">
        <f>IFERROR((W123-(((E123/100000+F123/100+R123/200)*200*I123*H123)+((E123*F123/25000)*I123*H123))/3)/(((J123/5)*200*I123*H123)+((J123*R123/2.5)*I123*H123)+((E123*F123*J123*R123*I123*H123)/12500000))/3*1000,"")</f>
        <v/>
      </c>
    </row>
    <row r="124">
      <c r="B124" s="6" t="inlineStr">
        <is>
          <t xml:space="preserve">  ↳ RA2vulcan</t>
        </is>
      </c>
      <c r="C124" s="6" t="inlineStr">
        <is>
          <t>Armament</t>
        </is>
      </c>
      <c r="K124" s="5" t="n">
        <v>2000</v>
      </c>
      <c r="L124" s="5" t="n">
        <v>14</v>
      </c>
      <c r="M124" s="5" t="n">
        <v>3</v>
      </c>
      <c r="N124" s="5" t="n">
        <v>3</v>
      </c>
      <c r="O124" s="5" t="n">
        <v>6577</v>
      </c>
      <c r="P124" s="5" t="n">
        <v>1</v>
      </c>
      <c r="Q124">
        <f>L124+IF(M124&gt;1,N(N124)*(M124-1),0)</f>
        <v/>
      </c>
      <c r="R124">
        <f>IFERROR(K124*MAX(M124,1)/Q124*P124,0)</f>
        <v/>
      </c>
      <c r="AA124" s="6" t="inlineStr">
        <is>
          <t>^RA2SmallArms, ^RA2Chaingun</t>
        </is>
      </c>
    </row>
    <row r="125">
      <c r="A125" t="inlineStr">
        <is>
          <t>redalert2</t>
        </is>
      </c>
      <c r="B125" t="inlineStr">
        <is>
          <t>ra2_soviets_teslacoil</t>
        </is>
      </c>
      <c r="C125" t="inlineStr">
        <is>
          <t>Tesla Coil</t>
        </is>
      </c>
      <c r="D125" t="inlineStr"/>
      <c r="E125" s="5" t="n">
        <v>120000</v>
      </c>
      <c r="F125" s="5" t="n">
        <v>100</v>
      </c>
      <c r="G125" t="inlineStr">
        <is>
          <t>Steel</t>
        </is>
      </c>
      <c r="H125" s="5" t="n">
        <v>1</v>
      </c>
      <c r="I125" s="5" t="n">
        <v>1</v>
      </c>
      <c r="J125" s="5" t="n">
        <v>1</v>
      </c>
      <c r="O125">
        <f>MAX(O126,O127,O128,O129,O130,O131)</f>
        <v/>
      </c>
      <c r="R125">
        <f>R126+R127+R128+R129+R130+R131</f>
        <v/>
      </c>
      <c r="S125">
        <f>(E125/100000+F125/100+(O125/1000)*J125/5+R125/200)*200*I125*H125</f>
        <v/>
      </c>
      <c r="T125">
        <f>((E125*F125/25000)+((O125/1000)*J125*R125/2.5))*I125*H125</f>
        <v/>
      </c>
      <c r="U125">
        <f>(E125*F125*(O125/1000)*J125*R125*I125*H125)/12500000</f>
        <v/>
      </c>
      <c r="V125">
        <f>(S125+T125+U125)/3</f>
        <v/>
      </c>
      <c r="W125" s="5" t="n">
        <v>2000</v>
      </c>
      <c r="X125">
        <f>IFERROR(V125-W125,"")</f>
        <v/>
      </c>
      <c r="Y125">
        <f>IFERROR(ABS(X125)/MAX(W125,1),"")</f>
        <v/>
      </c>
      <c r="Z125">
        <f>IFERROR((W125-(((E125/100000+F125/100+R125/200)*200*I125*H125)+((E125*F125/25000)*I125*H125))/3)/(((J125/5)*200*I125*H125)+((J125*R125/2.5)*I125*H125)+((E125*F125*J125*R125*I125*H125)/12500000))/3*1000,"")</f>
        <v/>
      </c>
    </row>
    <row r="126">
      <c r="B126" s="6" t="inlineStr">
        <is>
          <t xml:space="preserve">  ↳ RA2CoilBolt</t>
        </is>
      </c>
      <c r="C126" s="6" t="inlineStr">
        <is>
          <t>Armament</t>
        </is>
      </c>
      <c r="K126" s="5" t="n">
        <v>64000</v>
      </c>
      <c r="L126" s="5" t="n">
        <v>3</v>
      </c>
      <c r="M126" s="5" t="n">
        <v>1</v>
      </c>
      <c r="N126" s="5" t="n"/>
      <c r="O126" s="5" t="n">
        <v>8842</v>
      </c>
      <c r="P126" s="5" t="n">
        <v>1</v>
      </c>
      <c r="Q126">
        <f>L126+IF(M126&gt;1,N(N126)*(M126-1),0)</f>
        <v/>
      </c>
      <c r="R126">
        <f>IFERROR(K126*MAX(M126,1)/Q126*P126,0)</f>
        <v/>
      </c>
      <c r="AA126" s="6" t="inlineStr">
        <is>
          <t>^TeslaWeapon</t>
        </is>
      </c>
    </row>
    <row r="127">
      <c r="B127" s="6" t="inlineStr">
        <is>
          <t xml:space="preserve">  ↳ RA2CoilBolt2</t>
        </is>
      </c>
      <c r="C127" s="6" t="inlineStr">
        <is>
          <t>Armament@2</t>
        </is>
      </c>
      <c r="K127" s="5" t="n">
        <v>64000</v>
      </c>
      <c r="L127" s="5" t="n">
        <v>3</v>
      </c>
      <c r="M127" s="5" t="n">
        <v>1</v>
      </c>
      <c r="N127" s="5" t="n"/>
      <c r="O127" s="5" t="n">
        <v>8842</v>
      </c>
      <c r="P127" s="5" t="n">
        <v>1</v>
      </c>
      <c r="Q127">
        <f>L127+IF(M127&gt;1,N(N127)*(M127-1),0)</f>
        <v/>
      </c>
      <c r="R127">
        <f>IFERROR(K127*MAX(M127,1)/Q127*P127,0)</f>
        <v/>
      </c>
      <c r="AA127" s="6" t="inlineStr">
        <is>
          <t>^TeslaWeapon</t>
        </is>
      </c>
    </row>
    <row r="128">
      <c r="B128" s="6" t="inlineStr">
        <is>
          <t xml:space="preserve">  ↳ RA2CoilBolt3</t>
        </is>
      </c>
      <c r="C128" s="6" t="inlineStr">
        <is>
          <t>Armament@3</t>
        </is>
      </c>
      <c r="K128" s="5" t="n">
        <v>64000</v>
      </c>
      <c r="L128" s="5" t="n">
        <v>3</v>
      </c>
      <c r="M128" s="5" t="n">
        <v>1</v>
      </c>
      <c r="N128" s="5" t="n"/>
      <c r="O128" s="5" t="n">
        <v>8842</v>
      </c>
      <c r="P128" s="5" t="n">
        <v>1</v>
      </c>
      <c r="Q128">
        <f>L128+IF(M128&gt;1,N(N128)*(M128-1),0)</f>
        <v/>
      </c>
      <c r="R128">
        <f>IFERROR(K128*MAX(M128,1)/Q128*P128,0)</f>
        <v/>
      </c>
      <c r="AA128" s="6" t="inlineStr">
        <is>
          <t>^TeslaWeapon</t>
        </is>
      </c>
    </row>
    <row r="129">
      <c r="B129" s="6" t="inlineStr">
        <is>
          <t xml:space="preserve">  ↳ RA2OPCoilBolt1</t>
        </is>
      </c>
      <c r="C129" s="6" t="inlineStr">
        <is>
          <t>Armament@Charged1</t>
        </is>
      </c>
      <c r="K129" s="5" t="n">
        <v>64000</v>
      </c>
      <c r="L129" s="5" t="n">
        <v>3</v>
      </c>
      <c r="M129" s="5" t="n">
        <v>1</v>
      </c>
      <c r="N129" s="5" t="n"/>
      <c r="O129" s="5" t="n">
        <v>8842</v>
      </c>
      <c r="P129" s="5" t="n">
        <v>1</v>
      </c>
      <c r="Q129">
        <f>L129+IF(M129&gt;1,N(N129)*(M129-1),0)</f>
        <v/>
      </c>
      <c r="R129">
        <f>IFERROR(K129*MAX(M129,1)/Q129*P129,0)</f>
        <v/>
      </c>
      <c r="AA129" s="6" t="inlineStr">
        <is>
          <t>^TeslaChargedWeapon</t>
        </is>
      </c>
    </row>
    <row r="130">
      <c r="B130" s="6" t="inlineStr">
        <is>
          <t xml:space="preserve">  ↳ RA2OPCoilBolt2</t>
        </is>
      </c>
      <c r="C130" s="6" t="inlineStr">
        <is>
          <t>Armament@Charged2</t>
        </is>
      </c>
      <c r="K130" s="5" t="n">
        <v>64000</v>
      </c>
      <c r="L130" s="5" t="n">
        <v>3</v>
      </c>
      <c r="M130" s="5" t="n">
        <v>1</v>
      </c>
      <c r="N130" s="5" t="n"/>
      <c r="O130" s="5" t="n">
        <v>8842</v>
      </c>
      <c r="P130" s="5" t="n">
        <v>1</v>
      </c>
      <c r="Q130">
        <f>L130+IF(M130&gt;1,N(N130)*(M130-1),0)</f>
        <v/>
      </c>
      <c r="R130">
        <f>IFERROR(K130*MAX(M130,1)/Q130*P130,0)</f>
        <v/>
      </c>
      <c r="AA130" s="6" t="inlineStr">
        <is>
          <t>^TeslaChargedWeapon</t>
        </is>
      </c>
    </row>
    <row r="131">
      <c r="B131" s="6" t="inlineStr">
        <is>
          <t xml:space="preserve">  ↳ RA2OPCoilBolt3</t>
        </is>
      </c>
      <c r="C131" s="6" t="inlineStr">
        <is>
          <t>Armament@Charged3</t>
        </is>
      </c>
      <c r="K131" s="5" t="n">
        <v>64000</v>
      </c>
      <c r="L131" s="5" t="n">
        <v>3</v>
      </c>
      <c r="M131" s="5" t="n">
        <v>1</v>
      </c>
      <c r="N131" s="5" t="n"/>
      <c r="O131" s="5" t="n">
        <v>8842</v>
      </c>
      <c r="P131" s="5" t="n">
        <v>1</v>
      </c>
      <c r="Q131">
        <f>L131+IF(M131&gt;1,N(N131)*(M131-1),0)</f>
        <v/>
      </c>
      <c r="R131">
        <f>IFERROR(K131*MAX(M131,1)/Q131*P131,0)</f>
        <v/>
      </c>
      <c r="AA131" s="6" t="inlineStr">
        <is>
          <t>^TeslaChargedWeapon</t>
        </is>
      </c>
    </row>
    <row r="132">
      <c r="A132" s="3" t="inlineStr">
        <is>
          <t>BUILDINGS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>
      <c r="A133" t="inlineStr">
        <is>
          <t>redalert2</t>
        </is>
      </c>
      <c r="B133" t="inlineStr">
        <is>
          <t>ra2_soviets_airfield</t>
        </is>
      </c>
      <c r="C133" t="inlineStr">
        <is>
          <t>Soviet Airfield</t>
        </is>
      </c>
      <c r="D133" t="inlineStr"/>
      <c r="E133" s="5" t="n">
        <v>250000</v>
      </c>
      <c r="F133" s="5" t="n"/>
      <c r="G133" t="inlineStr">
        <is>
          <t>Wood</t>
        </is>
      </c>
      <c r="H133" s="5" t="n">
        <v>1</v>
      </c>
      <c r="I133" s="5" t="n">
        <v>1</v>
      </c>
      <c r="J133" s="5" t="n">
        <v>1</v>
      </c>
      <c r="W133" s="5" t="n">
        <v>1000</v>
      </c>
    </row>
    <row r="134">
      <c r="A134" t="inlineStr">
        <is>
          <t>redalert2</t>
        </is>
      </c>
      <c r="B134" t="inlineStr">
        <is>
          <t>ra2_soviets_barracks</t>
        </is>
      </c>
      <c r="C134" t="inlineStr">
        <is>
          <t>Soviet Barracks</t>
        </is>
      </c>
      <c r="D134" t="inlineStr"/>
      <c r="E134" s="5" t="n">
        <v>200000</v>
      </c>
      <c r="F134" s="5" t="n"/>
      <c r="G134" t="inlineStr">
        <is>
          <t>Wood</t>
        </is>
      </c>
      <c r="H134" s="5" t="n">
        <v>1</v>
      </c>
      <c r="I134" s="5" t="n">
        <v>1</v>
      </c>
      <c r="J134" s="5" t="n">
        <v>1</v>
      </c>
      <c r="W134" s="5" t="n">
        <v>1000</v>
      </c>
    </row>
    <row r="135">
      <c r="A135" t="inlineStr">
        <is>
          <t>redalert2</t>
        </is>
      </c>
      <c r="B135" t="inlineStr">
        <is>
          <t>ra2_soviets_battlelab</t>
        </is>
      </c>
      <c r="C135" t="inlineStr">
        <is>
          <t>Soviet Battle Lab</t>
        </is>
      </c>
      <c r="D135" t="inlineStr"/>
      <c r="E135" s="5" t="n">
        <v>500000</v>
      </c>
      <c r="F135" s="5" t="n"/>
      <c r="G135" t="inlineStr">
        <is>
          <t>Concrete</t>
        </is>
      </c>
      <c r="H135" s="5" t="n">
        <v>1</v>
      </c>
      <c r="I135" s="5" t="n">
        <v>1</v>
      </c>
      <c r="J135" s="5" t="n">
        <v>1</v>
      </c>
      <c r="W135" s="5" t="n">
        <v>5000</v>
      </c>
    </row>
    <row r="136">
      <c r="A136" t="inlineStr">
        <is>
          <t>redalert2</t>
        </is>
      </c>
      <c r="B136" t="inlineStr">
        <is>
          <t>ra2_soviets_constructionyard</t>
        </is>
      </c>
      <c r="C136" t="inlineStr">
        <is>
          <t>Soviet Construction Yard</t>
        </is>
      </c>
      <c r="D136" t="inlineStr"/>
      <c r="E136" s="5" t="n">
        <v>1000000</v>
      </c>
      <c r="F136" s="5" t="n"/>
      <c r="G136" t="inlineStr">
        <is>
          <t>Concrete</t>
        </is>
      </c>
      <c r="H136" s="5" t="n">
        <v>1</v>
      </c>
      <c r="I136" s="5" t="n">
        <v>1</v>
      </c>
      <c r="J136" s="5" t="n">
        <v>1</v>
      </c>
      <c r="W136" s="5" t="n">
        <v>5000</v>
      </c>
    </row>
    <row r="137">
      <c r="A137" t="inlineStr">
        <is>
          <t>redalert2</t>
        </is>
      </c>
      <c r="B137" t="inlineStr">
        <is>
          <t>ra2_soviets_industrialplant</t>
        </is>
      </c>
      <c r="C137" t="inlineStr">
        <is>
          <t>Industrial Plant</t>
        </is>
      </c>
      <c r="D137" t="inlineStr"/>
      <c r="E137" s="5" t="n">
        <v>500000</v>
      </c>
      <c r="F137" s="5" t="n"/>
      <c r="G137" t="inlineStr">
        <is>
          <t>Concrete</t>
        </is>
      </c>
      <c r="H137" s="5" t="n">
        <v>1</v>
      </c>
      <c r="I137" s="5" t="n">
        <v>1</v>
      </c>
      <c r="J137" s="5" t="n">
        <v>1</v>
      </c>
      <c r="W137" s="5" t="n">
        <v>5000</v>
      </c>
    </row>
    <row r="138">
      <c r="A138" t="inlineStr">
        <is>
          <t>redalert2</t>
        </is>
      </c>
      <c r="B138" t="inlineStr">
        <is>
          <t>ra2_soviets_nuclearreactor</t>
        </is>
      </c>
      <c r="C138" t="inlineStr">
        <is>
          <t>Nuclear Reactor</t>
        </is>
      </c>
      <c r="D138" t="inlineStr"/>
      <c r="E138" s="5" t="n">
        <v>400000</v>
      </c>
      <c r="F138" s="5" t="n"/>
      <c r="G138" t="inlineStr">
        <is>
          <t>Concrete</t>
        </is>
      </c>
      <c r="H138" s="5" t="n">
        <v>1</v>
      </c>
      <c r="I138" s="5" t="n">
        <v>1</v>
      </c>
      <c r="J138" s="5" t="n">
        <v>1</v>
      </c>
      <c r="W138" s="5" t="n">
        <v>2000</v>
      </c>
    </row>
    <row r="139">
      <c r="A139" t="inlineStr">
        <is>
          <t>redalert2</t>
        </is>
      </c>
      <c r="B139" t="inlineStr">
        <is>
          <t>ra2_soviets_orerefinery</t>
        </is>
      </c>
      <c r="C139" t="inlineStr">
        <is>
          <t>Soviet Ore Refinery</t>
        </is>
      </c>
      <c r="D139" t="inlineStr"/>
      <c r="E139" s="5" t="n">
        <v>300000</v>
      </c>
      <c r="F139" s="5" t="n"/>
      <c r="G139" t="inlineStr">
        <is>
          <t>Concrete</t>
        </is>
      </c>
      <c r="H139" s="5" t="n">
        <v>1</v>
      </c>
      <c r="I139" s="5" t="n">
        <v>1</v>
      </c>
      <c r="J139" s="5" t="n">
        <v>1</v>
      </c>
      <c r="W139" s="5" t="n">
        <v>2000</v>
      </c>
    </row>
    <row r="140">
      <c r="A140" t="inlineStr">
        <is>
          <t>redalert2</t>
        </is>
      </c>
      <c r="B140" t="inlineStr">
        <is>
          <t>ra2_soviets_radar</t>
        </is>
      </c>
      <c r="C140" t="inlineStr">
        <is>
          <t>Soviet Radar</t>
        </is>
      </c>
      <c r="D140" t="inlineStr"/>
      <c r="E140" s="5" t="n">
        <v>250000</v>
      </c>
      <c r="F140" s="5" t="n"/>
      <c r="G140" t="inlineStr">
        <is>
          <t>Wood</t>
        </is>
      </c>
      <c r="H140" s="5" t="n">
        <v>1</v>
      </c>
      <c r="I140" s="5" t="n">
        <v>1</v>
      </c>
      <c r="J140" s="5" t="n">
        <v>1</v>
      </c>
      <c r="W140" s="5" t="n">
        <v>2500</v>
      </c>
    </row>
    <row r="141">
      <c r="A141" t="inlineStr">
        <is>
          <t>redalert2</t>
        </is>
      </c>
      <c r="B141" t="inlineStr">
        <is>
          <t>ra2_soviets_servicedepot</t>
        </is>
      </c>
      <c r="C141" t="inlineStr">
        <is>
          <t>Soviet Service Depot</t>
        </is>
      </c>
      <c r="D141" t="inlineStr"/>
      <c r="E141" s="5" t="n">
        <v>250000</v>
      </c>
      <c r="F141" s="5" t="n"/>
      <c r="G141" t="inlineStr">
        <is>
          <t>Concrete</t>
        </is>
      </c>
      <c r="H141" s="5" t="n">
        <v>1</v>
      </c>
      <c r="I141" s="5" t="n">
        <v>1</v>
      </c>
      <c r="J141" s="5" t="n">
        <v>1</v>
      </c>
      <c r="W141" s="5" t="n">
        <v>1000</v>
      </c>
    </row>
    <row r="142">
      <c r="A142" t="inlineStr">
        <is>
          <t>redalert2</t>
        </is>
      </c>
      <c r="B142" t="inlineStr">
        <is>
          <t>ra2_soviets_teslareactor</t>
        </is>
      </c>
      <c r="C142" t="inlineStr">
        <is>
          <t>Tesla Reactor</t>
        </is>
      </c>
      <c r="D142" t="inlineStr"/>
      <c r="E142" s="5" t="n">
        <v>150000</v>
      </c>
      <c r="F142" s="5" t="n"/>
      <c r="G142" t="inlineStr">
        <is>
          <t>Wood</t>
        </is>
      </c>
      <c r="H142" s="5" t="n">
        <v>1</v>
      </c>
      <c r="I142" s="5" t="n">
        <v>1</v>
      </c>
      <c r="J142" s="5" t="n">
        <v>1</v>
      </c>
      <c r="W142" s="5" t="n">
        <v>600</v>
      </c>
    </row>
    <row r="143">
      <c r="A143" t="inlineStr">
        <is>
          <t>redalert2</t>
        </is>
      </c>
      <c r="B143" t="inlineStr">
        <is>
          <t>ra2_soviets_warfactory</t>
        </is>
      </c>
      <c r="C143" t="inlineStr">
        <is>
          <t>Soviet War Factory</t>
        </is>
      </c>
      <c r="D143" t="inlineStr"/>
      <c r="E143" s="5" t="n">
        <v>400000</v>
      </c>
      <c r="F143" s="5" t="n"/>
      <c r="G143" t="inlineStr">
        <is>
          <t>Concrete</t>
        </is>
      </c>
      <c r="H143" s="5" t="n">
        <v>1</v>
      </c>
      <c r="I143" s="5" t="n">
        <v>1</v>
      </c>
      <c r="J143" s="5" t="n">
        <v>1</v>
      </c>
      <c r="W143" s="5" t="n">
        <v>2000</v>
      </c>
    </row>
    <row r="144">
      <c r="A144" s="3" t="inlineStr">
        <is>
          <t>UPGRADES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</row>
    <row r="145">
      <c r="A145" t="inlineStr">
        <is>
          <t>redalert2</t>
        </is>
      </c>
      <c r="B145" t="inlineStr">
        <is>
          <t>ra2_soviets_doctrine_conscription</t>
        </is>
      </c>
      <c r="C145" t="inlineStr">
        <is>
          <t>Conscription</t>
        </is>
      </c>
      <c r="D145" t="inlineStr"/>
      <c r="E145" s="5" t="n"/>
      <c r="F145" s="5" t="n"/>
      <c r="H145" s="5" t="n">
        <v>1</v>
      </c>
      <c r="I145" s="5" t="n">
        <v>1</v>
      </c>
      <c r="J145" s="5" t="n">
        <v>1</v>
      </c>
      <c r="W145" s="5" t="n">
        <v>5000</v>
      </c>
    </row>
    <row r="146">
      <c r="A146" t="inlineStr">
        <is>
          <t>redalert2</t>
        </is>
      </c>
      <c r="B146" t="inlineStr">
        <is>
          <t>ra2_soviets_doctrine_firemunitions</t>
        </is>
      </c>
      <c r="C146" t="inlineStr">
        <is>
          <t>Fire Munitions</t>
        </is>
      </c>
      <c r="D146" t="inlineStr"/>
      <c r="E146" s="5" t="n"/>
      <c r="F146" s="5" t="n"/>
      <c r="H146" s="5" t="n">
        <v>1</v>
      </c>
      <c r="I146" s="5" t="n">
        <v>1</v>
      </c>
      <c r="J146" s="5" t="n">
        <v>1</v>
      </c>
      <c r="W146" s="5" t="n">
        <v>5000</v>
      </c>
    </row>
    <row r="147">
      <c r="A147" t="inlineStr">
        <is>
          <t>redalert2</t>
        </is>
      </c>
      <c r="B147" t="inlineStr">
        <is>
          <t>ra2_soviets_doctrine_harshenvironmentinfantryconditioning</t>
        </is>
      </c>
      <c r="C147" t="inlineStr">
        <is>
          <t>Harsh Environment Infantry Conditioning</t>
        </is>
      </c>
      <c r="D147" t="inlineStr"/>
      <c r="E147" s="5" t="n"/>
      <c r="F147" s="5" t="n"/>
      <c r="H147" s="5" t="n">
        <v>1</v>
      </c>
      <c r="I147" s="5" t="n">
        <v>1</v>
      </c>
      <c r="J147" s="5" t="n">
        <v>1</v>
      </c>
      <c r="W147" s="5" t="n">
        <v>5000</v>
      </c>
    </row>
    <row r="148">
      <c r="A148" t="inlineStr">
        <is>
          <t>redalert2</t>
        </is>
      </c>
      <c r="B148" t="inlineStr">
        <is>
          <t>ra2_soviets_doctrine_heavyarmorplatings</t>
        </is>
      </c>
      <c r="C148" t="inlineStr">
        <is>
          <t>Heavy Armor Platings</t>
        </is>
      </c>
      <c r="D148" t="inlineStr"/>
      <c r="E148" s="5" t="n"/>
      <c r="F148" s="5" t="n"/>
      <c r="H148" s="5" t="n">
        <v>1</v>
      </c>
      <c r="I148" s="5" t="n">
        <v>1</v>
      </c>
      <c r="J148" s="5" t="n">
        <v>1</v>
      </c>
      <c r="W148" s="5" t="n">
        <v>5000</v>
      </c>
    </row>
    <row r="149">
      <c r="A149" t="inlineStr">
        <is>
          <t>redalert2</t>
        </is>
      </c>
      <c r="B149" t="inlineStr">
        <is>
          <t>ra2_soviets_doctrine_nuclearmunitions</t>
        </is>
      </c>
      <c r="C149" t="inlineStr">
        <is>
          <t>Nuclear Munitions</t>
        </is>
      </c>
      <c r="D149" t="inlineStr"/>
      <c r="E149" s="5" t="n"/>
      <c r="F149" s="5" t="n"/>
      <c r="H149" s="5" t="n">
        <v>1</v>
      </c>
      <c r="I149" s="5" t="n">
        <v>1</v>
      </c>
      <c r="J149" s="5" t="n">
        <v>1</v>
      </c>
      <c r="W149" s="5" t="n">
        <v>5000</v>
      </c>
    </row>
    <row r="150">
      <c r="A150" t="inlineStr">
        <is>
          <t>redalert2</t>
        </is>
      </c>
      <c r="B150" t="inlineStr">
        <is>
          <t>ra2_soviets_doctrine_reactivearmor</t>
        </is>
      </c>
      <c r="C150" t="inlineStr">
        <is>
          <t>Reactive Armor</t>
        </is>
      </c>
      <c r="D150" t="inlineStr"/>
      <c r="E150" s="5" t="n"/>
      <c r="F150" s="5" t="n"/>
      <c r="H150" s="5" t="n">
        <v>1</v>
      </c>
      <c r="I150" s="5" t="n">
        <v>1</v>
      </c>
      <c r="J150" s="5" t="n">
        <v>1</v>
      </c>
      <c r="W150" s="5" t="n">
        <v>5000</v>
      </c>
    </row>
    <row r="151">
      <c r="A151" t="inlineStr">
        <is>
          <t>redalert2</t>
        </is>
      </c>
      <c r="B151" t="inlineStr">
        <is>
          <t>ra2_soviets_doctrine_shocktroopertraining</t>
        </is>
      </c>
      <c r="C151" t="inlineStr">
        <is>
          <t>Shock Trooper Training</t>
        </is>
      </c>
      <c r="D151" t="inlineStr"/>
      <c r="E151" s="5" t="n"/>
      <c r="F151" s="5" t="n"/>
      <c r="H151" s="5" t="n">
        <v>1</v>
      </c>
      <c r="I151" s="5" t="n">
        <v>1</v>
      </c>
      <c r="J151" s="5" t="n">
        <v>1</v>
      </c>
      <c r="W151" s="5" t="n">
        <v>5000</v>
      </c>
    </row>
    <row r="152">
      <c r="A152" t="inlineStr">
        <is>
          <t>redalert2</t>
        </is>
      </c>
      <c r="B152" t="inlineStr">
        <is>
          <t>ra2_soviets_doctrine_tesladischargearmor</t>
        </is>
      </c>
      <c r="C152" t="inlineStr">
        <is>
          <t>Tesla Discharge Armor</t>
        </is>
      </c>
      <c r="D152" t="inlineStr"/>
      <c r="E152" s="5" t="n"/>
      <c r="F152" s="5" t="n"/>
      <c r="H152" s="5" t="n">
        <v>1</v>
      </c>
      <c r="I152" s="5" t="n">
        <v>1</v>
      </c>
      <c r="J152" s="5" t="n">
        <v>1</v>
      </c>
      <c r="W152" s="5" t="n">
        <v>5000</v>
      </c>
    </row>
    <row r="153">
      <c r="A153" t="inlineStr">
        <is>
          <t>redalert2</t>
        </is>
      </c>
      <c r="B153" t="inlineStr">
        <is>
          <t>ra2_soviets_doctrine_teslamunitions</t>
        </is>
      </c>
      <c r="C153" t="inlineStr">
        <is>
          <t>Tesla Munitions</t>
        </is>
      </c>
      <c r="D153" t="inlineStr"/>
      <c r="E153" s="5" t="n"/>
      <c r="F153" s="5" t="n"/>
      <c r="H153" s="5" t="n">
        <v>1</v>
      </c>
      <c r="I153" s="5" t="n">
        <v>1</v>
      </c>
      <c r="J153" s="5" t="n">
        <v>1</v>
      </c>
      <c r="W153" s="5" t="n">
        <v>5000</v>
      </c>
    </row>
    <row r="154">
      <c r="A154" t="inlineStr">
        <is>
          <t>redalert2</t>
        </is>
      </c>
      <c r="B154" t="inlineStr">
        <is>
          <t>ra2_soviets_upgrade_gastroburners</t>
        </is>
      </c>
      <c r="C154" t="inlineStr">
        <is>
          <t>Gastroburners</t>
        </is>
      </c>
      <c r="D154" t="inlineStr"/>
      <c r="E154" s="5" t="n"/>
      <c r="F154" s="5" t="n"/>
      <c r="H154" s="5" t="n">
        <v>1</v>
      </c>
      <c r="I154" s="5" t="n">
        <v>1</v>
      </c>
      <c r="J154" s="5" t="n">
        <v>1</v>
      </c>
      <c r="W154" s="5" t="n">
        <v>7500</v>
      </c>
    </row>
    <row r="155">
      <c r="A155" t="inlineStr">
        <is>
          <t>redalert2</t>
        </is>
      </c>
      <c r="B155" t="inlineStr">
        <is>
          <t>ra2_soviets_upgrade_grindertanktreads</t>
        </is>
      </c>
      <c r="C155" t="inlineStr">
        <is>
          <t>Grinder Tank Treads</t>
        </is>
      </c>
      <c r="D155" t="inlineStr"/>
      <c r="E155" s="5" t="n"/>
      <c r="F155" s="5" t="n"/>
      <c r="H155" s="5" t="n">
        <v>1</v>
      </c>
      <c r="I155" s="5" t="n">
        <v>1</v>
      </c>
      <c r="J155" s="5" t="n">
        <v>1</v>
      </c>
      <c r="W155" s="5" t="n">
        <v>7500</v>
      </c>
    </row>
    <row r="156">
      <c r="A156" t="inlineStr">
        <is>
          <t>redalert2</t>
        </is>
      </c>
      <c r="B156" t="inlineStr">
        <is>
          <t>ra2_soviets_upgrade_heavycannons</t>
        </is>
      </c>
      <c r="C156" t="inlineStr">
        <is>
          <t>Heavy Cannons</t>
        </is>
      </c>
      <c r="D156" t="inlineStr"/>
      <c r="E156" s="5" t="n"/>
      <c r="F156" s="5" t="n"/>
      <c r="H156" s="5" t="n">
        <v>1</v>
      </c>
      <c r="I156" s="5" t="n">
        <v>1</v>
      </c>
      <c r="J156" s="5" t="n">
        <v>1</v>
      </c>
      <c r="W156" s="5" t="n">
        <v>7500</v>
      </c>
    </row>
    <row r="157">
      <c r="A157" t="inlineStr">
        <is>
          <t>redalert2</t>
        </is>
      </c>
      <c r="B157" t="inlineStr">
        <is>
          <t>ra2_soviets_upgrade_kirovarmorplatings</t>
        </is>
      </c>
      <c r="C157" t="inlineStr">
        <is>
          <t>Kirov Armor Platings</t>
        </is>
      </c>
      <c r="D157" t="inlineStr"/>
      <c r="E157" s="5" t="n"/>
      <c r="F157" s="5" t="n"/>
      <c r="H157" s="5" t="n">
        <v>1</v>
      </c>
      <c r="I157" s="5" t="n">
        <v>1</v>
      </c>
      <c r="J157" s="5" t="n">
        <v>1</v>
      </c>
      <c r="W157" s="5" t="n">
        <v>7500</v>
      </c>
    </row>
    <row r="158">
      <c r="A158" t="inlineStr">
        <is>
          <t>redalert2</t>
        </is>
      </c>
      <c r="B158" t="inlineStr">
        <is>
          <t>ra2_soviets_upgrade_kirovatomicbombs</t>
        </is>
      </c>
      <c r="C158" t="inlineStr">
        <is>
          <t>Kirov Atomic Bombs</t>
        </is>
      </c>
      <c r="D158" t="inlineStr"/>
      <c r="E158" s="5" t="n"/>
      <c r="F158" s="5" t="n"/>
      <c r="H158" s="5" t="n">
        <v>1</v>
      </c>
      <c r="I158" s="5" t="n">
        <v>1</v>
      </c>
      <c r="J158" s="5" t="n">
        <v>1</v>
      </c>
      <c r="W158" s="5" t="n">
        <v>7500</v>
      </c>
    </row>
    <row r="159">
      <c r="A159" t="inlineStr">
        <is>
          <t>redalert2</t>
        </is>
      </c>
      <c r="B159" t="inlineStr">
        <is>
          <t>ra2_soviets_upgrade_terrordronesurprise</t>
        </is>
      </c>
      <c r="C159" t="inlineStr">
        <is>
          <t>Terror Drone Surprise</t>
        </is>
      </c>
      <c r="D159" t="inlineStr"/>
      <c r="E159" s="5" t="n"/>
      <c r="F159" s="5" t="n"/>
      <c r="H159" s="5" t="n">
        <v>1</v>
      </c>
      <c r="I159" s="5" t="n">
        <v>1</v>
      </c>
      <c r="J159" s="5" t="n">
        <v>1</v>
      </c>
      <c r="W159" s="5" t="n">
        <v>2500</v>
      </c>
    </row>
    <row r="160">
      <c r="A160" t="inlineStr">
        <is>
          <t>redalert2</t>
        </is>
      </c>
      <c r="B160" t="inlineStr">
        <is>
          <t>ra2_soviets_upgrade_teslacoilchargers</t>
        </is>
      </c>
      <c r="C160" t="inlineStr">
        <is>
          <t>Tesla Coil Chargers</t>
        </is>
      </c>
      <c r="D160" t="inlineStr"/>
      <c r="E160" s="5" t="n"/>
      <c r="F160" s="5" t="n"/>
      <c r="H160" s="5" t="n">
        <v>1</v>
      </c>
      <c r="I160" s="5" t="n">
        <v>1</v>
      </c>
      <c r="J160" s="5" t="n">
        <v>1</v>
      </c>
      <c r="W160" s="5" t="n">
        <v>2500</v>
      </c>
    </row>
    <row r="161">
      <c r="A161" t="inlineStr">
        <is>
          <t>redalert2</t>
        </is>
      </c>
      <c r="B161" t="inlineStr">
        <is>
          <t>ra2_soviets_upgrade_teslaoverload</t>
        </is>
      </c>
      <c r="C161" t="inlineStr">
        <is>
          <t>Tesla Overload</t>
        </is>
      </c>
      <c r="D161" t="inlineStr"/>
      <c r="E161" s="5" t="n"/>
      <c r="F161" s="5" t="n"/>
      <c r="H161" s="5" t="n">
        <v>1</v>
      </c>
      <c r="I161" s="5" t="n">
        <v>1</v>
      </c>
      <c r="J161" s="5" t="n">
        <v>1</v>
      </c>
      <c r="W161" s="5" t="n">
        <v>7500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162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redalert2</t>
        </is>
      </c>
      <c r="B3" t="inlineStr">
        <is>
          <t>yuri_biotrooper</t>
        </is>
      </c>
      <c r="C3" t="inlineStr">
        <is>
          <t>Bio Trooper</t>
        </is>
      </c>
      <c r="D3" t="inlineStr"/>
      <c r="E3" s="5" t="n">
        <v>96000</v>
      </c>
      <c r="F3" s="5" t="n">
        <v>64</v>
      </c>
      <c r="G3" t="inlineStr">
        <is>
          <t>Plate</t>
        </is>
      </c>
      <c r="H3" s="5" t="n">
        <v>0.5</v>
      </c>
      <c r="I3" s="5" t="n">
        <v>0.8</v>
      </c>
      <c r="J3" s="5" t="n">
        <v>1.25</v>
      </c>
      <c r="O3">
        <f>MAX(O4,O5,O6)</f>
        <v/>
      </c>
      <c r="R3">
        <f>R4+R5+R6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400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RA2Chemspray</t>
        </is>
      </c>
      <c r="C4" s="6" t="inlineStr">
        <is>
          <t>Armament@PRIMARY</t>
        </is>
      </c>
      <c r="K4" s="5" t="n">
        <v>4000</v>
      </c>
      <c r="L4" s="5" t="n">
        <v>50</v>
      </c>
      <c r="M4" s="5" t="n">
        <v>6</v>
      </c>
      <c r="N4" s="5" t="n">
        <v>4</v>
      </c>
      <c r="O4" s="5" t="n">
        <v>4840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^MediumChemicalWeapon</t>
        </is>
      </c>
    </row>
    <row r="5">
      <c r="B5" s="6" t="inlineStr">
        <is>
          <t xml:space="preserve">  ↳ RA2Chemspray2</t>
        </is>
      </c>
      <c r="C5" s="6" t="inlineStr">
        <is>
          <t>Armament@Upgrade</t>
        </is>
      </c>
      <c r="K5" s="5" t="n">
        <v>4000</v>
      </c>
      <c r="L5" s="5" t="n">
        <v>50</v>
      </c>
      <c r="M5" s="5" t="n">
        <v>6</v>
      </c>
      <c r="N5" s="5" t="n">
        <v>4</v>
      </c>
      <c r="O5" s="5" t="n">
        <v>4840</v>
      </c>
      <c r="P5" s="5" t="n">
        <v>1</v>
      </c>
      <c r="Q5">
        <f>L5+IF(M5&gt;1,N(N5)*(M5-1),0)</f>
        <v/>
      </c>
      <c r="R5">
        <f>IFERROR(K5*MAX(M5,1)/Q5*P5,0)</f>
        <v/>
      </c>
      <c r="AA5" s="6" t="inlineStr">
        <is>
          <t>^HeavyChemicalWeapon, ^MediumChemicalWeapon</t>
        </is>
      </c>
    </row>
    <row r="6">
      <c r="B6" s="6" t="inlineStr">
        <is>
          <t xml:space="preserve">  ↳ RA2ChemsprayE</t>
        </is>
      </c>
      <c r="C6" s="6" t="inlineStr">
        <is>
          <t>Armament@ELITE</t>
        </is>
      </c>
      <c r="K6" s="5" t="n">
        <v>4000</v>
      </c>
      <c r="L6" s="5" t="n">
        <v>50</v>
      </c>
      <c r="M6" s="5" t="n">
        <v>6</v>
      </c>
      <c r="N6" s="5" t="n">
        <v>4</v>
      </c>
      <c r="O6" s="5" t="n">
        <v>5840</v>
      </c>
      <c r="P6" s="5" t="n">
        <v>1</v>
      </c>
      <c r="Q6">
        <f>L6+IF(M6&gt;1,N(N6)*(M6-1),0)</f>
        <v/>
      </c>
      <c r="R6">
        <f>IFERROR(K6*MAX(M6,1)/Q6*P6,0)</f>
        <v/>
      </c>
      <c r="AA6" s="6" t="inlineStr">
        <is>
          <t>^HeavyChemicalWeapon, ^MediumChemicalWeapon</t>
        </is>
      </c>
    </row>
    <row r="7">
      <c r="B7" s="6" t="inlineStr">
        <is>
          <t xml:space="preserve">  ↳ RA2Chemspray</t>
        </is>
      </c>
      <c r="C7" s="6" t="inlineStr">
        <is>
          <t>Armament@GARRISONED</t>
        </is>
      </c>
      <c r="K7" s="5" t="n">
        <v>4000</v>
      </c>
      <c r="L7" s="5" t="n">
        <v>50</v>
      </c>
      <c r="M7" s="5" t="n">
        <v>6</v>
      </c>
      <c r="N7" s="5" t="n">
        <v>4</v>
      </c>
      <c r="O7" s="5" t="n">
        <v>4840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^MediumChemicalWeapon</t>
        </is>
      </c>
    </row>
    <row r="8">
      <c r="B8" s="6" t="inlineStr">
        <is>
          <t xml:space="preserve">  ↳ RA2Chemspray2</t>
        </is>
      </c>
      <c r="C8" s="6" t="inlineStr">
        <is>
          <t>Armament@GARRISONEDUpgrade</t>
        </is>
      </c>
      <c r="K8" s="5" t="n">
        <v>4000</v>
      </c>
      <c r="L8" s="5" t="n">
        <v>50</v>
      </c>
      <c r="M8" s="5" t="n">
        <v>6</v>
      </c>
      <c r="N8" s="5" t="n">
        <v>4</v>
      </c>
      <c r="O8" s="5" t="n">
        <v>4840</v>
      </c>
      <c r="P8" s="5" t="n">
        <v>1</v>
      </c>
      <c r="Q8">
        <f>L8+IF(M8&gt;1,N(N8)*(M8-1),0)</f>
        <v/>
      </c>
      <c r="R8">
        <f>IFERROR(K8*MAX(M8,1)/Q8*P8,0)</f>
        <v/>
      </c>
      <c r="AA8" s="6" t="inlineStr">
        <is>
          <t>^HeavyChemicalWeapon, ^MediumChemicalWeapon</t>
        </is>
      </c>
    </row>
    <row r="9">
      <c r="B9" s="6" t="inlineStr">
        <is>
          <t xml:space="preserve">  ↳ RA2ChemsprayE</t>
        </is>
      </c>
      <c r="C9" s="6" t="inlineStr">
        <is>
          <t>Armament@GARRISONEDELITE</t>
        </is>
      </c>
      <c r="K9" s="5" t="n">
        <v>4000</v>
      </c>
      <c r="L9" s="5" t="n">
        <v>50</v>
      </c>
      <c r="M9" s="5" t="n">
        <v>6</v>
      </c>
      <c r="N9" s="5" t="n">
        <v>4</v>
      </c>
      <c r="O9" s="5" t="n">
        <v>5840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>
        <is>
          <t>^HeavyChemicalWeapon, ^MediumChemicalWeapon</t>
        </is>
      </c>
    </row>
    <row r="10">
      <c r="A10" t="inlineStr">
        <is>
          <t>redalert2</t>
        </is>
      </c>
      <c r="B10" t="inlineStr">
        <is>
          <t>yuri_brute</t>
        </is>
      </c>
      <c r="C10" t="inlineStr">
        <is>
          <t>Brute</t>
        </is>
      </c>
      <c r="D10" t="inlineStr"/>
      <c r="E10" s="5" t="n">
        <v>45000</v>
      </c>
      <c r="F10" s="5" t="n">
        <v>80</v>
      </c>
      <c r="G10" t="inlineStr">
        <is>
          <t>Plate</t>
        </is>
      </c>
      <c r="H10" s="5" t="n">
        <v>1</v>
      </c>
      <c r="I10" s="5" t="n">
        <v>0.75</v>
      </c>
      <c r="J10" s="5" t="n">
        <v>1</v>
      </c>
      <c r="O10">
        <f>MAX(O11,O12)</f>
        <v/>
      </c>
      <c r="R10">
        <f>R11+R12</f>
        <v/>
      </c>
      <c r="S10">
        <f>(E10/100000+F10/100+(O10/1000)*J10/5+R10/200)*200*I10*H10</f>
        <v/>
      </c>
      <c r="T10">
        <f>((E10*F10/25000)+((O10/1000)*J10*R10/2.5))*I10*H10</f>
        <v/>
      </c>
      <c r="U10">
        <f>(E10*F10*(O10/1000)*J10*R10*I10*H10)/12500000</f>
        <v/>
      </c>
      <c r="V10">
        <f>(S10+T10+U10)/3</f>
        <v/>
      </c>
      <c r="W10" s="5" t="n">
        <v>400</v>
      </c>
      <c r="X10">
        <f>IFERROR(V10-W10,"")</f>
        <v/>
      </c>
      <c r="Y10">
        <f>IFERROR(ABS(X10)/MAX(W10,1),"")</f>
        <v/>
      </c>
      <c r="Z10">
        <f>IFERROR((W10-(((E10/100000+F10/100+R10/200)*200*I10*H10)+((E10*F10/25000)*I10*H10))/3)/(((J10/5)*200*I10*H10)+((J10*R10/2.5)*I10*H10)+((E10*F10*J10*R10*I10*H10)/12500000))/3*1000,"")</f>
        <v/>
      </c>
    </row>
    <row r="11">
      <c r="B11" s="6" t="inlineStr">
        <is>
          <t xml:space="preserve">  ↳ RA2BrutePunch</t>
        </is>
      </c>
      <c r="C11" s="6" t="inlineStr">
        <is>
          <t>Armament@PRIMARY</t>
        </is>
      </c>
      <c r="K11" s="5" t="n">
        <v>20000</v>
      </c>
      <c r="L11" s="5" t="n">
        <v>37</v>
      </c>
      <c r="M11" s="5" t="n">
        <v>1</v>
      </c>
      <c r="N11" s="5" t="n"/>
      <c r="O11" s="5" t="n">
        <v>1616</v>
      </c>
      <c r="P11" s="5" t="n">
        <v>1</v>
      </c>
      <c r="Q11">
        <f>L11+IF(M11&gt;1,N(N11)*(M11-1),0)</f>
        <v/>
      </c>
      <c r="R11">
        <f>IFERROR(K11*MAX(M11,1)/Q11*P11,0)</f>
        <v/>
      </c>
      <c r="AA11" s="6" t="inlineStr">
        <is>
          <t>^SwordWeapon</t>
        </is>
      </c>
    </row>
    <row r="12">
      <c r="B12" s="6" t="inlineStr">
        <is>
          <t xml:space="preserve">  ↳ RA2BrutePunchE</t>
        </is>
      </c>
      <c r="C12" s="6" t="inlineStr">
        <is>
          <t>Armament@ELITE</t>
        </is>
      </c>
      <c r="K12" s="5" t="n">
        <v>20000</v>
      </c>
      <c r="L12" s="5" t="n">
        <v>37</v>
      </c>
      <c r="M12" s="5" t="n">
        <v>2</v>
      </c>
      <c r="N12" s="5" t="n">
        <v>3</v>
      </c>
      <c r="O12" s="5" t="n">
        <v>1616</v>
      </c>
      <c r="P12" s="5" t="n">
        <v>1</v>
      </c>
      <c r="Q12">
        <f>L12+IF(M12&gt;1,N(N12)*(M12-1),0)</f>
        <v/>
      </c>
      <c r="R12">
        <f>IFERROR(K12*MAX(M12,1)/Q12*P12,0)</f>
        <v/>
      </c>
      <c r="AA12" s="6" t="inlineStr">
        <is>
          <t>^SwordWeapon</t>
        </is>
      </c>
    </row>
    <row r="13">
      <c r="A13" t="inlineStr">
        <is>
          <t>redalert2</t>
        </is>
      </c>
      <c r="B13" t="inlineStr">
        <is>
          <t>yuri_clone</t>
        </is>
      </c>
      <c r="C13" t="inlineStr">
        <is>
          <t>Yuri Clone</t>
        </is>
      </c>
      <c r="D13" t="inlineStr"/>
      <c r="E13" s="5" t="n">
        <v>5000</v>
      </c>
      <c r="F13" s="5" t="n">
        <v>50</v>
      </c>
      <c r="G13" t="inlineStr">
        <is>
          <t>None</t>
        </is>
      </c>
      <c r="H13" s="5" t="n">
        <v>1</v>
      </c>
      <c r="I13" s="5" t="n">
        <v>1</v>
      </c>
      <c r="J13" s="5" t="n">
        <v>1</v>
      </c>
      <c r="O13">
        <f>MAX(O14)</f>
        <v/>
      </c>
      <c r="R13">
        <f>R14</f>
        <v/>
      </c>
      <c r="S13">
        <f>(E13/100000+F13/100+(O13/1000)*J13/5+R13/200)*200*I13*H13</f>
        <v/>
      </c>
      <c r="T13">
        <f>((E13*F13/25000)+((O13/1000)*J13*R13/2.5))*I13*H13</f>
        <v/>
      </c>
      <c r="U13">
        <f>(E13*F13*(O13/1000)*J13*R13*I13*H13)/12500000</f>
        <v/>
      </c>
      <c r="V13">
        <f>(S13+T13+U13)/3</f>
        <v/>
      </c>
      <c r="W13" s="5" t="n">
        <v>500</v>
      </c>
      <c r="X13">
        <f>IFERROR(V13-W13,"")</f>
        <v/>
      </c>
      <c r="Y13">
        <f>IFERROR(ABS(X13)/MAX(W13,1),"")</f>
        <v/>
      </c>
      <c r="Z13">
        <f>IFERROR((W13-(((E13/100000+F13/100+R13/200)*200*I13*H13)+((E13*F13/25000)*I13*H13))/3)/(((J13/5)*200*I13*H13)+((J13*R13/2.5)*I13*H13)+((E13*F13*J13*R13*I13*H13)/12500000))/3*1000,"")</f>
        <v/>
      </c>
    </row>
    <row r="14">
      <c r="B14" s="6" t="inlineStr">
        <is>
          <t xml:space="preserve">  ↳ RA2MindControl</t>
        </is>
      </c>
      <c r="C14" s="6" t="inlineStr">
        <is>
          <t>Armament@CONTROL</t>
        </is>
      </c>
      <c r="K14" s="5" t="n">
        <v>0</v>
      </c>
      <c r="L14" s="5" t="n">
        <v>75</v>
      </c>
      <c r="M14" s="5" t="n">
        <v>1</v>
      </c>
      <c r="N14" s="5" t="n"/>
      <c r="O14" s="5" t="n">
        <v>7000</v>
      </c>
      <c r="P14" s="5" t="n">
        <v>1</v>
      </c>
      <c r="Q14">
        <f>L14+IF(M14&gt;1,N(N14)*(M14-1),0)</f>
        <v/>
      </c>
      <c r="R14">
        <f>IFERROR(K14*MAX(M14,1)/Q14*P14,0)</f>
        <v/>
      </c>
      <c r="AA14" s="6" t="inlineStr"/>
    </row>
    <row r="15">
      <c r="A15" t="inlineStr">
        <is>
          <t>redalert2</t>
        </is>
      </c>
      <c r="B15" t="inlineStr">
        <is>
          <t>yuri_cosmonaut</t>
        </is>
      </c>
      <c r="C15" t="inlineStr">
        <is>
          <t>Cosmonaut</t>
        </is>
      </c>
      <c r="D15" t="inlineStr"/>
      <c r="E15" s="5" t="n">
        <v>28000</v>
      </c>
      <c r="F15" s="5" t="n">
        <v>165</v>
      </c>
      <c r="G15" t="inlineStr">
        <is>
          <t>Scout</t>
        </is>
      </c>
      <c r="H15" s="5" t="n">
        <v>1</v>
      </c>
      <c r="I15" s="5" t="n">
        <v>1</v>
      </c>
      <c r="J15" s="5" t="n">
        <v>1</v>
      </c>
      <c r="O15">
        <f>MAX(O16)</f>
        <v/>
      </c>
      <c r="R15">
        <f>R16</f>
        <v/>
      </c>
      <c r="S15">
        <f>(E15/100000+F15/100+(O15/1000)*J15/5+R15/200)*200*I15*H15</f>
        <v/>
      </c>
      <c r="T15">
        <f>((E15*F15/25000)+((O15/1000)*J15*R15/2.5))*I15*H15</f>
        <v/>
      </c>
      <c r="U15">
        <f>(E15*F15*(O15/1000)*J15*R15*I15*H15)/12500000</f>
        <v/>
      </c>
      <c r="V15">
        <f>(S15+T15+U15)/3</f>
        <v/>
      </c>
      <c r="W15" s="5" t="n">
        <v>1100</v>
      </c>
      <c r="X15">
        <f>IFERROR(V15-W15,"")</f>
        <v/>
      </c>
      <c r="Y15">
        <f>IFERROR(ABS(X15)/MAX(W15,1),"")</f>
        <v/>
      </c>
      <c r="Z15">
        <f>IFERROR((W15-(((E15/100000+F15/100+R15/200)*200*I15*H15)+((E15*F15/25000)*I15*H15))/3)/(((J15/5)*200*I15*H15)+((J15*R15/2.5)*I15*H15)+((E15*F15*J15*R15*I15*H15)/12500000))/3*1000,"")</f>
        <v/>
      </c>
    </row>
    <row r="16">
      <c r="B16" s="6" t="inlineStr">
        <is>
          <t xml:space="preserve">  ↳ RA2CosmonautLaser</t>
        </is>
      </c>
      <c r="C16" s="6" t="inlineStr">
        <is>
          <t>Armament@PRIMARY</t>
        </is>
      </c>
      <c r="K16" s="5" t="n">
        <v>2000</v>
      </c>
      <c r="L16" s="5" t="n">
        <v>11</v>
      </c>
      <c r="M16" s="5" t="n">
        <v>1</v>
      </c>
      <c r="N16" s="5" t="n"/>
      <c r="O16" s="5" t="n">
        <v>4750</v>
      </c>
      <c r="P16" s="5" t="n">
        <v>1</v>
      </c>
      <c r="Q16">
        <f>L16+IF(M16&gt;1,N(N16)*(M16-1),0)</f>
        <v/>
      </c>
      <c r="R16">
        <f>IFERROR(K16*MAX(M16,1)/Q16*P16,0)</f>
        <v/>
      </c>
      <c r="AA16" s="6" t="inlineStr">
        <is>
          <t>^RailgunWeapon, ^LaserWeapon, ^LightMissile, ^SmallArms, ^FlakWeapon, ^RA2Chaingun</t>
        </is>
      </c>
    </row>
    <row r="17">
      <c r="A17" t="inlineStr">
        <is>
          <t>redalert2</t>
        </is>
      </c>
      <c r="B17" t="inlineStr">
        <is>
          <t>yuri_engineer</t>
        </is>
      </c>
      <c r="C17" t="inlineStr">
        <is>
          <t>Engineer</t>
        </is>
      </c>
      <c r="D17" t="inlineStr"/>
      <c r="E17" s="5" t="n">
        <v>5000</v>
      </c>
      <c r="F17" s="5" t="n">
        <v>50</v>
      </c>
      <c r="G17" t="inlineStr">
        <is>
          <t>None</t>
        </is>
      </c>
      <c r="H17" s="5" t="n">
        <v>1</v>
      </c>
      <c r="I17" s="5" t="n">
        <v>1</v>
      </c>
      <c r="J17" s="5" t="n">
        <v>1</v>
      </c>
      <c r="O17">
        <f>MAX(O18,O19)</f>
        <v/>
      </c>
      <c r="R17">
        <f>R18+R19</f>
        <v/>
      </c>
      <c r="S17">
        <f>(E17/100000+F17/100+(O17/1000)*J17/5+R17/200)*200*I17*H17</f>
        <v/>
      </c>
      <c r="T17">
        <f>((E17*F17/25000)+((O17/1000)*J17*R17/2.5))*I17*H17</f>
        <v/>
      </c>
      <c r="U17">
        <f>(E17*F17*(O17/1000)*J17*R17*I17*H17)/12500000</f>
        <v/>
      </c>
      <c r="V17">
        <f>(S17+T17+U17)/3</f>
        <v/>
      </c>
      <c r="W17" s="5" t="n">
        <v>500</v>
      </c>
      <c r="X17">
        <f>IFERROR(V17-W17,"")</f>
        <v/>
      </c>
      <c r="Y17">
        <f>IFERROR(ABS(X17)/MAX(W17,1),"")</f>
        <v/>
      </c>
      <c r="Z17">
        <f>IFERROR((W17-(((E17/100000+F17/100+R17/200)*200*I17*H17)+((E17*F17/25000)*I17*H17))/3)/(((J17/5)*200*I17*H17)+((J17*R17/2.5)*I17*H17)+((E17*F17*J17*R17*I17*H17)/12500000))/3*1000,"")</f>
        <v/>
      </c>
    </row>
    <row r="18">
      <c r="B18" s="6" t="inlineStr">
        <is>
          <t xml:space="preserve">  ↳ DefuseKit</t>
        </is>
      </c>
      <c r="C18" s="6" t="inlineStr">
        <is>
          <t>Armament@defuse</t>
        </is>
      </c>
      <c r="K18" s="5" t="n"/>
      <c r="L18" s="5" t="n">
        <v>20</v>
      </c>
      <c r="M18" s="5" t="n">
        <v>1</v>
      </c>
      <c r="N18" s="5" t="n"/>
      <c r="O18" s="5" t="n">
        <v>1536</v>
      </c>
      <c r="P18" s="5" t="n">
        <v>1</v>
      </c>
      <c r="Q18">
        <f>L18+IF(M18&gt;1,N(N18)*(M18-1),0)</f>
        <v/>
      </c>
      <c r="R18">
        <f>IFERROR(K18*MAX(M18,1)/Q18*P18,0)</f>
        <v/>
      </c>
      <c r="AA18" s="6" t="inlineStr">
        <is>
          <t>^RemovesIvanBombs, ^RemovesTerrorDrone</t>
        </is>
      </c>
    </row>
    <row r="19">
      <c r="B19" s="6" t="inlineStr">
        <is>
          <t xml:space="preserve">  ↳ LeechDisinfect</t>
        </is>
      </c>
      <c r="C19" s="6" t="inlineStr">
        <is>
          <t>Armament@leechdisinfect</t>
        </is>
      </c>
      <c r="K19" s="5" t="n"/>
      <c r="L19" s="5" t="n">
        <v>100</v>
      </c>
      <c r="M19" s="5" t="n">
        <v>1</v>
      </c>
      <c r="N19" s="5" t="n"/>
      <c r="O19" s="5" t="n">
        <v>1536</v>
      </c>
      <c r="P19" s="5" t="n">
        <v>1</v>
      </c>
      <c r="Q19">
        <f>L19+IF(M19&gt;1,N(N19)*(M19-1),0)</f>
        <v/>
      </c>
      <c r="R19">
        <f>IFERROR(K19*MAX(M19,1)/Q19*P19,0)</f>
        <v/>
      </c>
      <c r="AA19" s="6" t="inlineStr"/>
    </row>
    <row r="20">
      <c r="A20" t="inlineStr">
        <is>
          <t>redalert2</t>
        </is>
      </c>
      <c r="B20" t="inlineStr">
        <is>
          <t>yuri_gatlingtrooper</t>
        </is>
      </c>
      <c r="C20" t="inlineStr">
        <is>
          <t>Gatling Trooper</t>
        </is>
      </c>
      <c r="D20" t="inlineStr"/>
      <c r="E20" s="5" t="n">
        <v>36000</v>
      </c>
      <c r="F20" s="5" t="n">
        <v>45</v>
      </c>
      <c r="G20" t="inlineStr">
        <is>
          <t>Flak</t>
        </is>
      </c>
      <c r="H20" s="5" t="n">
        <v>0.75</v>
      </c>
      <c r="I20" s="5" t="n">
        <v>0.8</v>
      </c>
      <c r="J20" s="5" t="n">
        <v>1.25</v>
      </c>
      <c r="O20">
        <f>MAX(O21)</f>
        <v/>
      </c>
      <c r="R20">
        <f>R21</f>
        <v/>
      </c>
      <c r="S20">
        <f>(E20/100000+F20/100+(O20/1000)*J20/5+R20/200)*200*I20*H20</f>
        <v/>
      </c>
      <c r="T20">
        <f>((E20*F20/25000)+((O20/1000)*J20*R20/2.5))*I20*H20</f>
        <v/>
      </c>
      <c r="U20">
        <f>(E20*F20*(O20/1000)*J20*R20*I20*H20)/12500000</f>
        <v/>
      </c>
      <c r="V20">
        <f>(S20+T20+U20)/3</f>
        <v/>
      </c>
      <c r="W20" s="5" t="n">
        <v>300</v>
      </c>
      <c r="X20">
        <f>IFERROR(V20-W20,"")</f>
        <v/>
      </c>
      <c r="Y20">
        <f>IFERROR(ABS(X20)/MAX(W20,1),"")</f>
        <v/>
      </c>
      <c r="Z20">
        <f>IFERROR((W20-(((E20/100000+F20/100+R20/200)*200*I20*H20)+((E20*F20/25000)*I20*H20))/3)/(((J20/5)*200*I20*H20)+((J20*R20/2.5)*I20*H20)+((E20*F20*J20*R20*I20*H20)/12500000))/3*1000,"")</f>
        <v/>
      </c>
    </row>
    <row r="21">
      <c r="B21" s="6" t="inlineStr">
        <is>
          <t xml:space="preserve">  ↳ RA2GattlingInf</t>
        </is>
      </c>
      <c r="C21" s="6" t="inlineStr">
        <is>
          <t>Armament@PRIMARY</t>
        </is>
      </c>
      <c r="K21" s="5" t="n">
        <v>2000</v>
      </c>
      <c r="L21" s="5" t="n">
        <v>15</v>
      </c>
      <c r="M21" s="5" t="n">
        <v>1</v>
      </c>
      <c r="N21" s="5" t="n"/>
      <c r="O21" s="5" t="n">
        <v>5086</v>
      </c>
      <c r="P21" s="5" t="n">
        <v>1</v>
      </c>
      <c r="Q21">
        <f>L21+IF(M21&gt;1,N(N21)*(M21-1),0)</f>
        <v/>
      </c>
      <c r="R21">
        <f>IFERROR(K21*MAX(M21,1)/Q21*P21,0)</f>
        <v/>
      </c>
      <c r="AA21" s="6" t="inlineStr">
        <is>
          <t>^RA2SmallArms, ^RA2Chaingun</t>
        </is>
      </c>
    </row>
    <row r="22">
      <c r="B22" s="6" t="inlineStr">
        <is>
          <t xml:space="preserve">  ↳ RA2GattlingInf</t>
        </is>
      </c>
      <c r="C22" s="6" t="inlineStr">
        <is>
          <t>Armament@GARRISONED</t>
        </is>
      </c>
      <c r="K22" s="5" t="n">
        <v>2000</v>
      </c>
      <c r="L22" s="5" t="n">
        <v>15</v>
      </c>
      <c r="M22" s="5" t="n">
        <v>1</v>
      </c>
      <c r="N22" s="5" t="n"/>
      <c r="O22" s="5" t="n">
        <v>5086</v>
      </c>
      <c r="P22" s="5" t="n">
        <v>1</v>
      </c>
      <c r="Q22">
        <f>L22+IF(M22&gt;1,N(N22)*(M22-1),0)</f>
        <v/>
      </c>
      <c r="R22">
        <f>IFERROR(K22*MAX(M22,1)/Q22*P22,0)</f>
        <v/>
      </c>
      <c r="AA22" s="6" t="inlineStr">
        <is>
          <t>^RA2SmallArms, ^RA2Chaingun</t>
        </is>
      </c>
    </row>
    <row r="23">
      <c r="A23" t="inlineStr">
        <is>
          <t>redalert2</t>
        </is>
      </c>
      <c r="B23" t="inlineStr">
        <is>
          <t>yuri_initiate</t>
        </is>
      </c>
      <c r="C23" t="inlineStr">
        <is>
          <t>Yuri Initiate</t>
        </is>
      </c>
      <c r="D23" t="inlineStr"/>
      <c r="E23" s="5" t="n">
        <v>24000</v>
      </c>
      <c r="F23" s="5" t="n">
        <v>66</v>
      </c>
      <c r="G23" t="inlineStr">
        <is>
          <t>Flak</t>
        </is>
      </c>
      <c r="H23" s="5" t="n">
        <v>1</v>
      </c>
      <c r="I23" s="5" t="n">
        <v>0.5</v>
      </c>
      <c r="J23" s="5" t="n">
        <v>1</v>
      </c>
      <c r="O23">
        <f>MAX(O24,O26)</f>
        <v/>
      </c>
      <c r="R23">
        <f>R24+R26</f>
        <v/>
      </c>
      <c r="S23">
        <f>(E23/100000+F23/100+(O23/1000)*J23/5+R23/200)*200*I23*H23</f>
        <v/>
      </c>
      <c r="T23">
        <f>((E23*F23/25000)+((O23/1000)*J23*R23/2.5))*I23*H23</f>
        <v/>
      </c>
      <c r="U23">
        <f>(E23*F23*(O23/1000)*J23*R23*I23*H23)/12500000</f>
        <v/>
      </c>
      <c r="V23">
        <f>(S23+T23+U23)/3</f>
        <v/>
      </c>
      <c r="W23" s="5" t="n">
        <v>200</v>
      </c>
      <c r="X23">
        <f>IFERROR(V23-W23,"")</f>
        <v/>
      </c>
      <c r="Y23">
        <f>IFERROR(ABS(X23)/MAX(W23,1),"")</f>
        <v/>
      </c>
      <c r="Z23">
        <f>IFERROR((W23-(((E23/100000+F23/100+R23/200)*200*I23*H23)+((E23*F23/25000)*I23*H23))/3)/(((J23/5)*200*I23*H23)+((J23*R23/2.5)*I23*H23)+((E23*F23*J23*R23*I23*H23)/12500000))/3*1000,"")</f>
        <v/>
      </c>
    </row>
    <row r="24">
      <c r="B24" s="6" t="inlineStr">
        <is>
          <t xml:space="preserve">  ↳ RA2PsychicJab</t>
        </is>
      </c>
      <c r="C24" s="6" t="inlineStr">
        <is>
          <t>Armament@PRIMARY</t>
        </is>
      </c>
      <c r="K24" s="5" t="n">
        <v>2000</v>
      </c>
      <c r="L24" s="5" t="n">
        <v>15</v>
      </c>
      <c r="M24" s="5" t="n">
        <v>1</v>
      </c>
      <c r="N24" s="5" t="n"/>
      <c r="O24" s="5" t="n">
        <v>4440</v>
      </c>
      <c r="P24" s="5" t="n">
        <v>1</v>
      </c>
      <c r="Q24">
        <f>L24+IF(M24&gt;1,N(N24)*(M24-1),0)</f>
        <v/>
      </c>
      <c r="R24">
        <f>IFERROR(K24*MAX(M24,1)/Q24*P24,0)</f>
        <v/>
      </c>
      <c r="AA24" s="6" t="inlineStr">
        <is>
          <t>^TankDestroyerCannon, ^MediumCannon, ^LightFlameWeapon, ^FlakWeapon</t>
        </is>
      </c>
    </row>
    <row r="25">
      <c r="B25" s="6" t="inlineStr">
        <is>
          <t xml:space="preserve">  ↳ RA2PsychicJab</t>
        </is>
      </c>
      <c r="C25" s="6" t="inlineStr">
        <is>
          <t>Armament@GARRISONED</t>
        </is>
      </c>
      <c r="K25" s="5" t="n">
        <v>2000</v>
      </c>
      <c r="L25" s="5" t="n">
        <v>15</v>
      </c>
      <c r="M25" s="5" t="n">
        <v>1</v>
      </c>
      <c r="N25" s="5" t="n"/>
      <c r="O25" s="5" t="n">
        <v>4440</v>
      </c>
      <c r="P25" s="5" t="n">
        <v>1</v>
      </c>
      <c r="Q25">
        <f>L25+IF(M25&gt;1,N(N25)*(M25-1),0)</f>
        <v/>
      </c>
      <c r="R25">
        <f>IFERROR(K25*MAX(M25,1)/Q25*P25,0)</f>
        <v/>
      </c>
      <c r="AA25" s="6" t="inlineStr">
        <is>
          <t>^TankDestroyerCannon, ^MediumCannon, ^LightFlameWeapon, ^FlakWeapon</t>
        </is>
      </c>
    </row>
    <row r="26">
      <c r="B26" s="6" t="inlineStr">
        <is>
          <t xml:space="preserve">  ↳ RA2PsychicJab_elite</t>
        </is>
      </c>
      <c r="C26" s="6" t="inlineStr">
        <is>
          <t>Armament@PRIMARYELITE</t>
        </is>
      </c>
      <c r="K26" s="5" t="n">
        <v>2000</v>
      </c>
      <c r="L26" s="5" t="n">
        <v>15</v>
      </c>
      <c r="M26" s="5" t="n">
        <v>2</v>
      </c>
      <c r="N26" s="5" t="n">
        <v>3</v>
      </c>
      <c r="O26" s="5" t="n">
        <v>5440</v>
      </c>
      <c r="P26" s="5" t="n">
        <v>1</v>
      </c>
      <c r="Q26">
        <f>L26+IF(M26&gt;1,N(N26)*(M26-1),0)</f>
        <v/>
      </c>
      <c r="R26">
        <f>IFERROR(K26*MAX(M26,1)/Q26*P26,0)</f>
        <v/>
      </c>
      <c r="AA26" s="6" t="inlineStr">
        <is>
          <t>^TankDestroyerCannon, ^MediumCannon, ^LightFlameWeapon, ^FlakWeapon</t>
        </is>
      </c>
    </row>
    <row r="27">
      <c r="B27" s="6" t="inlineStr">
        <is>
          <t xml:space="preserve">  ↳ RA2PsychicJab_elite</t>
        </is>
      </c>
      <c r="C27" s="6" t="inlineStr">
        <is>
          <t>Armament@GARRISONEDELITE</t>
        </is>
      </c>
      <c r="K27" s="5" t="n">
        <v>2000</v>
      </c>
      <c r="L27" s="5" t="n">
        <v>15</v>
      </c>
      <c r="M27" s="5" t="n">
        <v>2</v>
      </c>
      <c r="N27" s="5" t="n">
        <v>3</v>
      </c>
      <c r="O27" s="5" t="n">
        <v>5440</v>
      </c>
      <c r="P27" s="5" t="n">
        <v>1</v>
      </c>
      <c r="Q27">
        <f>L27+IF(M27&gt;1,N(N27)*(M27-1),0)</f>
        <v/>
      </c>
      <c r="R27">
        <f>IFERROR(K27*MAX(M27,1)/Q27*P27,0)</f>
        <v/>
      </c>
      <c r="AA27" s="6" t="inlineStr">
        <is>
          <t>^TankDestroyerCannon, ^MediumCannon, ^LightFlameWeapon, ^FlakWeapon</t>
        </is>
      </c>
    </row>
    <row r="28">
      <c r="A28" t="inlineStr">
        <is>
          <t>redalert2</t>
        </is>
      </c>
      <c r="B28" t="inlineStr">
        <is>
          <t>yuri_virus</t>
        </is>
      </c>
      <c r="C28" t="inlineStr">
        <is>
          <t>Virus</t>
        </is>
      </c>
      <c r="D28" t="inlineStr"/>
      <c r="E28" s="5" t="n">
        <v>12000</v>
      </c>
      <c r="F28" s="5" t="n">
        <v>52</v>
      </c>
      <c r="G28" t="inlineStr">
        <is>
          <t>Flak</t>
        </is>
      </c>
      <c r="H28" s="5" t="n">
        <v>1</v>
      </c>
      <c r="I28" s="5" t="n">
        <v>0.75</v>
      </c>
      <c r="J28" s="5" t="n">
        <v>1.25</v>
      </c>
      <c r="O28">
        <f>MAX(O29,O30,O31,O32)</f>
        <v/>
      </c>
      <c r="R28">
        <f>R29+R30+R31+R32</f>
        <v/>
      </c>
      <c r="S28">
        <f>(E28/100000+F28/100+(O28/1000)*J28/5+R28/200)*200*I28*H28</f>
        <v/>
      </c>
      <c r="T28">
        <f>((E28*F28/25000)+((O28/1000)*J28*R28/2.5))*I28*H28</f>
        <v/>
      </c>
      <c r="U28">
        <f>(E28*F28*(O28/1000)*J28*R28*I28*H28)/12500000</f>
        <v/>
      </c>
      <c r="V28">
        <f>(S28+T28+U28)/3</f>
        <v/>
      </c>
      <c r="W28" s="5" t="n">
        <v>700</v>
      </c>
      <c r="X28">
        <f>IFERROR(V28-W28,"")</f>
        <v/>
      </c>
      <c r="Y28">
        <f>IFERROR(ABS(X28)/MAX(W28,1),"")</f>
        <v/>
      </c>
      <c r="Z28">
        <f>IFERROR((W28-(((E28/100000+F28/100+R28/200)*200*I28*H28)+((E28*F28/25000)*I28*H28))/3)/(((J28/5)*200*I28*H28)+((J28*R28/2.5)*I28*H28)+((E28*F28*J28*R28*I28*H28)/12500000))/3*1000,"")</f>
        <v/>
      </c>
    </row>
    <row r="29">
      <c r="B29" s="6" t="inlineStr">
        <is>
          <t xml:space="preserve">  ↳ RA2Virusgun</t>
        </is>
      </c>
      <c r="C29" s="6" t="inlineStr">
        <is>
          <t>Armament@PRIMARY</t>
        </is>
      </c>
      <c r="K29" s="5" t="n">
        <v>12000</v>
      </c>
      <c r="L29" s="5" t="n">
        <v>74</v>
      </c>
      <c r="M29" s="5" t="n">
        <v>1</v>
      </c>
      <c r="N29" s="5" t="n"/>
      <c r="O29" s="5" t="n">
        <v>9999</v>
      </c>
      <c r="P29" s="5" t="n">
        <v>1</v>
      </c>
      <c r="Q29">
        <f>L29+IF(M29&gt;1,N(N29)*(M29-1),0)</f>
        <v/>
      </c>
      <c r="R29">
        <f>IFERROR(K29*MAX(M29,1)/Q29*P29,0)</f>
        <v/>
      </c>
      <c r="AA29" s="6" t="inlineStr">
        <is>
          <t>^HeavyChemicalWeapon, ^SniperWeapon</t>
        </is>
      </c>
    </row>
    <row r="30">
      <c r="B30" s="6" t="inlineStr">
        <is>
          <t xml:space="preserve">  ↳ RA2Virusgun2</t>
        </is>
      </c>
      <c r="C30" s="6" t="inlineStr">
        <is>
          <t>Armament@PRIMARY2</t>
        </is>
      </c>
      <c r="K30" s="5" t="n">
        <v>12000</v>
      </c>
      <c r="L30" s="5" t="n">
        <v>74</v>
      </c>
      <c r="M30" s="5" t="n">
        <v>1</v>
      </c>
      <c r="N30" s="5" t="n"/>
      <c r="O30" s="5" t="n">
        <v>9999</v>
      </c>
      <c r="P30" s="5" t="n">
        <v>1</v>
      </c>
      <c r="Q30">
        <f>L30+IF(M30&gt;1,N(N30)*(M30-1),0)</f>
        <v/>
      </c>
      <c r="R30">
        <f>IFERROR(K30*MAX(M30,1)/Q30*P30,0)</f>
        <v/>
      </c>
      <c r="AA30" s="6" t="inlineStr">
        <is>
          <t>^FlakWeapon, ^HeavyChemicalWeapon, ^SniperWeapon</t>
        </is>
      </c>
    </row>
    <row r="31">
      <c r="B31" s="6" t="inlineStr">
        <is>
          <t xml:space="preserve">  ↳ RA2Virusgun3</t>
        </is>
      </c>
      <c r="C31" s="6" t="inlineStr">
        <is>
          <t>Armament@PRIMARY3</t>
        </is>
      </c>
      <c r="K31" s="5" t="n">
        <v>12000</v>
      </c>
      <c r="L31" s="5" t="n">
        <v>74</v>
      </c>
      <c r="M31" s="5" t="n">
        <v>1</v>
      </c>
      <c r="N31" s="5" t="n"/>
      <c r="O31" s="5" t="n">
        <v>9999</v>
      </c>
      <c r="P31" s="5" t="n">
        <v>1</v>
      </c>
      <c r="Q31">
        <f>L31+IF(M31&gt;1,N(N31)*(M31-1),0)</f>
        <v/>
      </c>
      <c r="R31">
        <f>IFERROR(K31*MAX(M31,1)/Q31*P31,0)</f>
        <v/>
      </c>
      <c r="AA31" s="6" t="inlineStr">
        <is>
          <t>^MediumMissile, ^FlakWeapon, ^HeavyChemicalWeapon, ^SniperWeapon</t>
        </is>
      </c>
    </row>
    <row r="32">
      <c r="B32" s="6" t="inlineStr">
        <is>
          <t xml:space="preserve">  ↳ RA2VirusgunE</t>
        </is>
      </c>
      <c r="C32" s="6" t="inlineStr">
        <is>
          <t>Armament@ELITE</t>
        </is>
      </c>
      <c r="K32" s="5" t="n">
        <v>12000</v>
      </c>
      <c r="L32" s="5" t="n">
        <v>74</v>
      </c>
      <c r="M32" s="5" t="n">
        <v>1</v>
      </c>
      <c r="N32" s="5" t="n"/>
      <c r="O32" s="5" t="n">
        <v>11111</v>
      </c>
      <c r="P32" s="5" t="n">
        <v>1</v>
      </c>
      <c r="Q32">
        <f>L32+IF(M32&gt;1,N(N32)*(M32-1),0)</f>
        <v/>
      </c>
      <c r="R32">
        <f>IFERROR(K32*MAX(M32,1)/Q32*P32,0)</f>
        <v/>
      </c>
      <c r="AA32" s="6" t="inlineStr">
        <is>
          <t>^MediumMissile, ^FlakWeapon, ^HeavyChemicalWeapon, ^SniperWeapon</t>
        </is>
      </c>
    </row>
    <row r="33">
      <c r="B33" s="6" t="inlineStr">
        <is>
          <t xml:space="preserve">  ↳ RA2Virusgun</t>
        </is>
      </c>
      <c r="C33" s="6" t="inlineStr">
        <is>
          <t>Armament@GARRISONED</t>
        </is>
      </c>
      <c r="K33" s="5" t="n">
        <v>12000</v>
      </c>
      <c r="L33" s="5" t="n">
        <v>74</v>
      </c>
      <c r="M33" s="5" t="n">
        <v>1</v>
      </c>
      <c r="N33" s="5" t="n"/>
      <c r="O33" s="5" t="n">
        <v>9999</v>
      </c>
      <c r="P33" s="5" t="n">
        <v>1</v>
      </c>
      <c r="Q33">
        <f>L33+IF(M33&gt;1,N(N33)*(M33-1),0)</f>
        <v/>
      </c>
      <c r="R33">
        <f>IFERROR(K33*MAX(M33,1)/Q33*P33,0)</f>
        <v/>
      </c>
      <c r="AA33" s="6" t="inlineStr">
        <is>
          <t>^HeavyChemicalWeapon, ^SniperWeapon</t>
        </is>
      </c>
    </row>
    <row r="34">
      <c r="B34" s="6" t="inlineStr">
        <is>
          <t xml:space="preserve">  ↳ RA2Virusgun2</t>
        </is>
      </c>
      <c r="C34" s="6" t="inlineStr">
        <is>
          <t>Armament@GARRISONED2</t>
        </is>
      </c>
      <c r="K34" s="5" t="n">
        <v>12000</v>
      </c>
      <c r="L34" s="5" t="n">
        <v>74</v>
      </c>
      <c r="M34" s="5" t="n">
        <v>1</v>
      </c>
      <c r="N34" s="5" t="n"/>
      <c r="O34" s="5" t="n">
        <v>9999</v>
      </c>
      <c r="P34" s="5" t="n">
        <v>1</v>
      </c>
      <c r="Q34">
        <f>L34+IF(M34&gt;1,N(N34)*(M34-1),0)</f>
        <v/>
      </c>
      <c r="R34">
        <f>IFERROR(K34*MAX(M34,1)/Q34*P34,0)</f>
        <v/>
      </c>
      <c r="AA34" s="6" t="inlineStr">
        <is>
          <t>^FlakWeapon, ^HeavyChemicalWeapon, ^SniperWeapon</t>
        </is>
      </c>
    </row>
    <row r="35">
      <c r="B35" s="6" t="inlineStr">
        <is>
          <t xml:space="preserve">  ↳ RA2Virusgun3</t>
        </is>
      </c>
      <c r="C35" s="6" t="inlineStr">
        <is>
          <t>Armament@GARRISONED3</t>
        </is>
      </c>
      <c r="K35" s="5" t="n">
        <v>12000</v>
      </c>
      <c r="L35" s="5" t="n">
        <v>74</v>
      </c>
      <c r="M35" s="5" t="n">
        <v>1</v>
      </c>
      <c r="N35" s="5" t="n"/>
      <c r="O35" s="5" t="n">
        <v>9999</v>
      </c>
      <c r="P35" s="5" t="n">
        <v>1</v>
      </c>
      <c r="Q35">
        <f>L35+IF(M35&gt;1,N(N35)*(M35-1),0)</f>
        <v/>
      </c>
      <c r="R35">
        <f>IFERROR(K35*MAX(M35,1)/Q35*P35,0)</f>
        <v/>
      </c>
      <c r="AA35" s="6" t="inlineStr">
        <is>
          <t>^MediumMissile, ^FlakWeapon, ^HeavyChemicalWeapon, ^SniperWeapon</t>
        </is>
      </c>
    </row>
    <row r="36">
      <c r="B36" s="6" t="inlineStr">
        <is>
          <t xml:space="preserve">  ↳ RA2VirusgunE</t>
        </is>
      </c>
      <c r="C36" s="6" t="inlineStr">
        <is>
          <t>Armament@GARRISONEDELITE</t>
        </is>
      </c>
      <c r="K36" s="5" t="n">
        <v>12000</v>
      </c>
      <c r="L36" s="5" t="n">
        <v>74</v>
      </c>
      <c r="M36" s="5" t="n">
        <v>1</v>
      </c>
      <c r="N36" s="5" t="n"/>
      <c r="O36" s="5" t="n">
        <v>11111</v>
      </c>
      <c r="P36" s="5" t="n">
        <v>1</v>
      </c>
      <c r="Q36">
        <f>L36+IF(M36&gt;1,N(N36)*(M36-1),0)</f>
        <v/>
      </c>
      <c r="R36">
        <f>IFERROR(K36*MAX(M36,1)/Q36*P36,0)</f>
        <v/>
      </c>
      <c r="AA36" s="6" t="inlineStr">
        <is>
          <t>^MediumMissile, ^FlakWeapon, ^HeavyChemicalWeapon, ^SniperWeapon</t>
        </is>
      </c>
    </row>
    <row r="37">
      <c r="A37" t="inlineStr">
        <is>
          <t>redalert2</t>
        </is>
      </c>
      <c r="B37" t="inlineStr">
        <is>
          <t>yuri_yurix</t>
        </is>
      </c>
      <c r="C37" t="inlineStr">
        <is>
          <t>actor_yurix.name</t>
        </is>
      </c>
      <c r="D37" t="inlineStr"/>
      <c r="E37" s="5" t="n">
        <v>20000</v>
      </c>
      <c r="F37" s="5" t="n">
        <v>100</v>
      </c>
      <c r="G37" t="inlineStr">
        <is>
          <t>Heroic</t>
        </is>
      </c>
      <c r="H37" s="5" t="n">
        <v>1</v>
      </c>
      <c r="I37" s="5" t="n">
        <v>1</v>
      </c>
      <c r="J37" s="5" t="n">
        <v>1</v>
      </c>
      <c r="O37">
        <f>MAX(O38,O39,O40)</f>
        <v/>
      </c>
      <c r="R37">
        <f>R38+R39+R40</f>
        <v/>
      </c>
      <c r="S37">
        <f>(E37/100000+F37/100+(O37/1000)*J37/5+R37/200)*200*I37*H37</f>
        <v/>
      </c>
      <c r="T37">
        <f>((E37*F37/25000)+((O37/1000)*J37*R37/2.5))*I37*H37</f>
        <v/>
      </c>
      <c r="U37">
        <f>(E37*F37*(O37/1000)*J37*R37*I37*H37)/12500000</f>
        <v/>
      </c>
      <c r="V37">
        <f>(S37+T37+U37)/3</f>
        <v/>
      </c>
      <c r="W37" s="5" t="n">
        <v>4000</v>
      </c>
      <c r="X37">
        <f>IFERROR(V37-W37,"")</f>
        <v/>
      </c>
      <c r="Y37">
        <f>IFERROR(ABS(X37)/MAX(W37,1),"")</f>
        <v/>
      </c>
      <c r="Z37">
        <f>IFERROR((W37-(((E37/100000+F37/100+R37/200)*200*I37*H37)+((E37*F37/25000)*I37*H37))/3)/(((J37/5)*200*I37*H37)+((J37*R37/2.5)*I37*H37)+((E37*F37*J37*R37*I37*H37)/12500000))/3*1000,"")</f>
        <v/>
      </c>
    </row>
    <row r="38">
      <c r="B38" s="6" t="inlineStr">
        <is>
          <t xml:space="preserve">  ↳ RA2XMindControl</t>
        </is>
      </c>
      <c r="C38" s="6" t="inlineStr">
        <is>
          <t>Armament@PRIMARY</t>
        </is>
      </c>
      <c r="K38" s="5" t="n">
        <v>0</v>
      </c>
      <c r="L38" s="5" t="n">
        <v>125</v>
      </c>
      <c r="M38" s="5" t="n">
        <v>1</v>
      </c>
      <c r="N38" s="5" t="n"/>
      <c r="O38" s="5" t="n">
        <v>9000</v>
      </c>
      <c r="P38" s="5" t="n">
        <v>1</v>
      </c>
      <c r="Q38">
        <f>L38+IF(M38&gt;1,N(N38)*(M38-1),0)</f>
        <v/>
      </c>
      <c r="R38">
        <f>IFERROR(K38*MAX(M38,1)/Q38*P38,0)</f>
        <v/>
      </c>
      <c r="AA38" s="6" t="inlineStr">
        <is>
          <t>RA2MindControl</t>
        </is>
      </c>
    </row>
    <row r="39">
      <c r="B39" s="6" t="inlineStr">
        <is>
          <t xml:space="preserve">  ↳ RA2XMindControlSplash</t>
        </is>
      </c>
      <c r="C39" s="6" t="inlineStr">
        <is>
          <t>Armament@Splash</t>
        </is>
      </c>
      <c r="K39" s="5" t="n">
        <v>0</v>
      </c>
      <c r="L39" s="5" t="n">
        <v>125</v>
      </c>
      <c r="M39" s="5" t="n">
        <v>1</v>
      </c>
      <c r="N39" s="5" t="n"/>
      <c r="O39" s="5" t="n">
        <v>9000</v>
      </c>
      <c r="P39" s="5" t="n">
        <v>1</v>
      </c>
      <c r="Q39">
        <f>L39+IF(M39&gt;1,N(N39)*(M39-1),0)</f>
        <v/>
      </c>
      <c r="R39">
        <f>IFERROR(K39*MAX(M39,1)/Q39*P39,0)</f>
        <v/>
      </c>
      <c r="AA39" s="6" t="inlineStr">
        <is>
          <t>RA2MindControl</t>
        </is>
      </c>
    </row>
    <row r="40">
      <c r="B40" s="6" t="inlineStr">
        <is>
          <t xml:space="preserve">  ↳ RA2XMindControlSplash2</t>
        </is>
      </c>
      <c r="C40" s="6" t="inlineStr">
        <is>
          <t>Armament@Splash2</t>
        </is>
      </c>
      <c r="K40" s="5" t="n">
        <v>0</v>
      </c>
      <c r="L40" s="5" t="n">
        <v>125</v>
      </c>
      <c r="M40" s="5" t="n">
        <v>1</v>
      </c>
      <c r="N40" s="5" t="n"/>
      <c r="O40" s="5" t="n">
        <v>9000</v>
      </c>
      <c r="P40" s="5" t="n">
        <v>1</v>
      </c>
      <c r="Q40">
        <f>L40+IF(M40&gt;1,N(N40)*(M40-1),0)</f>
        <v/>
      </c>
      <c r="R40">
        <f>IFERROR(K40*MAX(M40,1)/Q40*P40,0)</f>
        <v/>
      </c>
      <c r="AA40" s="6" t="inlineStr">
        <is>
          <t>RA2XMindControlSplash</t>
        </is>
      </c>
    </row>
    <row r="41">
      <c r="A41" s="3" t="inlineStr">
        <is>
          <t>VEHICLES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>
      <c r="A42" t="inlineStr">
        <is>
          <t>redalert2</t>
        </is>
      </c>
      <c r="B42" t="inlineStr">
        <is>
          <t>yuri_chaosdrone</t>
        </is>
      </c>
      <c r="C42" t="inlineStr">
        <is>
          <t>Chaos Drone</t>
        </is>
      </c>
      <c r="D42" t="inlineStr"/>
      <c r="E42" s="5" t="n">
        <v>12500</v>
      </c>
      <c r="F42" s="5" t="n">
        <v>140</v>
      </c>
      <c r="G42" t="inlineStr">
        <is>
          <t>Scout</t>
        </is>
      </c>
      <c r="H42" s="5" t="n">
        <v>1</v>
      </c>
      <c r="I42" s="5" t="n">
        <v>1</v>
      </c>
      <c r="J42" s="5" t="n">
        <v>1</v>
      </c>
      <c r="O42">
        <f>MAX(O43)</f>
        <v/>
      </c>
      <c r="R42">
        <f>R43</f>
        <v/>
      </c>
      <c r="S42">
        <f>(E42/100000+F42/100+(O42/1000)*J42/5+R42/200)*200*I42*H42</f>
        <v/>
      </c>
      <c r="T42">
        <f>((E42*F42/25000)+((O42/1000)*J42*R42/2.5))*I42*H42</f>
        <v/>
      </c>
      <c r="U42">
        <f>(E42*F42*(O42/1000)*J42*R42*I42*H42)/12500000</f>
        <v/>
      </c>
      <c r="V42">
        <f>(S42+T42+U42)/3</f>
        <v/>
      </c>
      <c r="W42" s="5" t="n">
        <v>600</v>
      </c>
      <c r="X42">
        <f>IFERROR(V42-W42,"")</f>
        <v/>
      </c>
      <c r="Y42">
        <f>IFERROR(ABS(X42)/MAX(W42,1),"")</f>
        <v/>
      </c>
      <c r="Z42">
        <f>IFERROR((W42-(((E42/100000+F42/100+R42/200)*200*I42*H42)+((E42*F42/25000)*I42*H42))/3)/(((J42/5)*200*I42*H42)+((J42*R42/2.5)*I42*H42)+((E42*F42*J42*R42*I42*H42)/12500000))/3*1000,"")</f>
        <v/>
      </c>
    </row>
    <row r="43">
      <c r="B43" s="6" t="inlineStr">
        <is>
          <t xml:space="preserve">  ↳ RA2Dronegas</t>
        </is>
      </c>
      <c r="C43" s="6" t="inlineStr">
        <is>
          <t>Armament</t>
        </is>
      </c>
      <c r="K43" s="5" t="n"/>
      <c r="L43" s="5" t="n">
        <v>125</v>
      </c>
      <c r="M43" s="5" t="n">
        <v>1</v>
      </c>
      <c r="N43" s="5" t="n"/>
      <c r="O43" s="5" t="n">
        <v>5000</v>
      </c>
      <c r="P43" s="5" t="n">
        <v>1</v>
      </c>
      <c r="Q43">
        <f>L43+IF(M43&gt;1,N(N43)*(M43-1),0)</f>
        <v/>
      </c>
      <c r="R43">
        <f>IFERROR(K43*MAX(M43,1)/Q43*P43,0)</f>
        <v/>
      </c>
      <c r="AA43" s="6" t="inlineStr"/>
    </row>
    <row r="44">
      <c r="B44" s="6" t="inlineStr">
        <is>
          <t xml:space="preserve">  ↳ RA2Dronegas</t>
        </is>
      </c>
      <c r="C44" s="6" t="inlineStr">
        <is>
          <t>Armament@GARRISONED</t>
        </is>
      </c>
      <c r="K44" s="5" t="n"/>
      <c r="L44" s="5" t="n">
        <v>125</v>
      </c>
      <c r="M44" s="5" t="n">
        <v>1</v>
      </c>
      <c r="N44" s="5" t="n"/>
      <c r="O44" s="5" t="n">
        <v>5000</v>
      </c>
      <c r="P44" s="5" t="n">
        <v>1</v>
      </c>
      <c r="Q44">
        <f>L44+IF(M44&gt;1,N(N44)*(M44-1),0)</f>
        <v/>
      </c>
      <c r="R44">
        <f>IFERROR(K44*MAX(M44,1)/Q44*P44,0)</f>
        <v/>
      </c>
      <c r="AA44" s="6" t="inlineStr"/>
    </row>
    <row r="45">
      <c r="A45" t="inlineStr">
        <is>
          <t>redalert2</t>
        </is>
      </c>
      <c r="B45" t="inlineStr">
        <is>
          <t>yuri_gatlingtank</t>
        </is>
      </c>
      <c r="C45" t="inlineStr">
        <is>
          <t>Yuri Gatling Tank</t>
        </is>
      </c>
      <c r="D45" t="inlineStr"/>
      <c r="E45" s="5" t="n">
        <v>45000</v>
      </c>
      <c r="F45" s="5" t="n">
        <v>90</v>
      </c>
      <c r="G45" t="inlineStr">
        <is>
          <t>Light</t>
        </is>
      </c>
      <c r="H45" s="5" t="n">
        <v>1</v>
      </c>
      <c r="I45" s="5" t="n">
        <v>1</v>
      </c>
      <c r="J45" s="5" t="n">
        <v>1.25</v>
      </c>
      <c r="O45">
        <f>MAX(O46,O47,O48,O49,O50,O51)</f>
        <v/>
      </c>
      <c r="R45">
        <f>R46+R47+R48+R49+R50+R51</f>
        <v/>
      </c>
      <c r="S45">
        <f>(E45/100000+F45/100+(O45/1000)*J45/5+R45/200)*200*I45*H45</f>
        <v/>
      </c>
      <c r="T45">
        <f>((E45*F45/25000)+((O45/1000)*J45*R45/2.5))*I45*H45</f>
        <v/>
      </c>
      <c r="U45">
        <f>(E45*F45*(O45/1000)*J45*R45*I45*H45)/12500000</f>
        <v/>
      </c>
      <c r="V45">
        <f>(S45+T45+U45)/3</f>
        <v/>
      </c>
      <c r="W45" s="5" t="n">
        <v>1100</v>
      </c>
      <c r="X45">
        <f>IFERROR(V45-W45,"")</f>
        <v/>
      </c>
      <c r="Y45">
        <f>IFERROR(ABS(X45)/MAX(W45,1),"")</f>
        <v/>
      </c>
      <c r="Z45">
        <f>IFERROR((W45-(((E45/100000+F45/100+R45/200)*200*I45*H45)+((E45*F45/25000)*I45*H45))/3)/(((J45/5)*200*I45*H45)+((J45*R45/2.5)*I45*H45)+((E45*F45*J45*R45*I45*H45)/12500000))/3*1000,"")</f>
        <v/>
      </c>
    </row>
    <row r="46">
      <c r="B46" s="6" t="inlineStr">
        <is>
          <t xml:space="preserve">  ↳ RA2GattlingMG1</t>
        </is>
      </c>
      <c r="C46" s="6" t="inlineStr">
        <is>
          <t>Armament@1</t>
        </is>
      </c>
      <c r="K46" s="5" t="n">
        <v>2000</v>
      </c>
      <c r="L46" s="5" t="n">
        <v>6</v>
      </c>
      <c r="M46" s="5" t="n">
        <v>1</v>
      </c>
      <c r="N46" s="5" t="n"/>
      <c r="O46" s="5" t="n">
        <v>5000</v>
      </c>
      <c r="P46" s="5" t="n">
        <v>1</v>
      </c>
      <c r="Q46">
        <f>L46+IF(M46&gt;1,N(N46)*(M46-1),0)</f>
        <v/>
      </c>
      <c r="R46">
        <f>IFERROR(K46*MAX(M46,1)/Q46*P46,0)</f>
        <v/>
      </c>
      <c r="AA46" s="6" t="inlineStr">
        <is>
          <t>^SmallArms, ^RA2Chaingun</t>
        </is>
      </c>
    </row>
    <row r="47">
      <c r="B47" s="6" t="inlineStr">
        <is>
          <t xml:space="preserve">  ↳ RA2GattlingMG2</t>
        </is>
      </c>
      <c r="C47" s="6" t="inlineStr">
        <is>
          <t>Armament@2</t>
        </is>
      </c>
      <c r="K47" s="5" t="n">
        <v>2000</v>
      </c>
      <c r="L47" s="5" t="n">
        <v>4</v>
      </c>
      <c r="M47" s="5" t="n">
        <v>1</v>
      </c>
      <c r="N47" s="5" t="n"/>
      <c r="O47" s="5" t="n">
        <v>5250</v>
      </c>
      <c r="P47" s="5" t="n">
        <v>1</v>
      </c>
      <c r="Q47">
        <f>L47+IF(M47&gt;1,N(N47)*(M47-1),0)</f>
        <v/>
      </c>
      <c r="R47">
        <f>IFERROR(K47*MAX(M47,1)/Q47*P47,0)</f>
        <v/>
      </c>
      <c r="AA47" s="6" t="inlineStr">
        <is>
          <t>^SmallArms, ^RA2Chaingun</t>
        </is>
      </c>
    </row>
    <row r="48">
      <c r="B48" s="6" t="inlineStr">
        <is>
          <t xml:space="preserve">  ↳ RA2GattlingMG3</t>
        </is>
      </c>
      <c r="C48" s="6" t="inlineStr">
        <is>
          <t>Armament@3</t>
        </is>
      </c>
      <c r="K48" s="5" t="n">
        <v>2000</v>
      </c>
      <c r="L48" s="5" t="n">
        <v>2</v>
      </c>
      <c r="M48" s="5" t="n">
        <v>1</v>
      </c>
      <c r="N48" s="5" t="n"/>
      <c r="O48" s="5" t="n">
        <v>5500</v>
      </c>
      <c r="P48" s="5" t="n">
        <v>1</v>
      </c>
      <c r="Q48">
        <f>L48+IF(M48&gt;1,N(N48)*(M48-1),0)</f>
        <v/>
      </c>
      <c r="R48">
        <f>IFERROR(K48*MAX(M48,1)/Q48*P48,0)</f>
        <v/>
      </c>
      <c r="AA48" s="6" t="inlineStr">
        <is>
          <t>^SmallArms, ^RA2Chaingun</t>
        </is>
      </c>
    </row>
    <row r="49">
      <c r="B49" s="6" t="inlineStr">
        <is>
          <t xml:space="preserve">  ↳ RA2GattlingMG1AA</t>
        </is>
      </c>
      <c r="C49" s="6" t="inlineStr">
        <is>
          <t>Armament@1AA</t>
        </is>
      </c>
      <c r="K49" s="5" t="n">
        <v>4000</v>
      </c>
      <c r="L49" s="5" t="n">
        <v>6</v>
      </c>
      <c r="M49" s="5" t="n">
        <v>1</v>
      </c>
      <c r="N49" s="5" t="n"/>
      <c r="O49" s="5" t="n">
        <v>6750</v>
      </c>
      <c r="P49" s="5" t="n">
        <v>1</v>
      </c>
      <c r="Q49">
        <f>L49+IF(M49&gt;1,N(N49)*(M49-1),0)</f>
        <v/>
      </c>
      <c r="R49">
        <f>IFERROR(K49*MAX(M49,1)/Q49*P49,0)</f>
        <v/>
      </c>
      <c r="AA49" s="6" t="inlineStr">
        <is>
          <t>^SmallArms, ^RA2Chaingun</t>
        </is>
      </c>
    </row>
    <row r="50">
      <c r="B50" s="6" t="inlineStr">
        <is>
          <t xml:space="preserve">  ↳ RA2GattlingMG2AA</t>
        </is>
      </c>
      <c r="C50" s="6" t="inlineStr">
        <is>
          <t>Armament@2AA</t>
        </is>
      </c>
      <c r="K50" s="5" t="n">
        <v>4000</v>
      </c>
      <c r="L50" s="5" t="n">
        <v>4</v>
      </c>
      <c r="M50" s="5" t="n">
        <v>1</v>
      </c>
      <c r="N50" s="5" t="n"/>
      <c r="O50" s="5" t="n">
        <v>7500</v>
      </c>
      <c r="P50" s="5" t="n">
        <v>1</v>
      </c>
      <c r="Q50">
        <f>L50+IF(M50&gt;1,N(N50)*(M50-1),0)</f>
        <v/>
      </c>
      <c r="R50">
        <f>IFERROR(K50*MAX(M50,1)/Q50*P50,0)</f>
        <v/>
      </c>
      <c r="AA50" s="6" t="inlineStr">
        <is>
          <t>^SmallArms, ^RA2Chaingun</t>
        </is>
      </c>
    </row>
    <row r="51">
      <c r="B51" s="6" t="inlineStr">
        <is>
          <t xml:space="preserve">  ↳ RA2GattlingMG3AA</t>
        </is>
      </c>
      <c r="C51" s="6" t="inlineStr">
        <is>
          <t>Armament@3AA</t>
        </is>
      </c>
      <c r="K51" s="5" t="n">
        <v>4000</v>
      </c>
      <c r="L51" s="5" t="n">
        <v>2</v>
      </c>
      <c r="M51" s="5" t="n">
        <v>1</v>
      </c>
      <c r="N51" s="5" t="n"/>
      <c r="O51" s="5" t="n">
        <v>8250</v>
      </c>
      <c r="P51" s="5" t="n">
        <v>1</v>
      </c>
      <c r="Q51">
        <f>L51+IF(M51&gt;1,N(N51)*(M51-1),0)</f>
        <v/>
      </c>
      <c r="R51">
        <f>IFERROR(K51*MAX(M51,1)/Q51*P51,0)</f>
        <v/>
      </c>
      <c r="AA51" s="6" t="inlineStr">
        <is>
          <t>^SmallArms, ^RA2Chaingun</t>
        </is>
      </c>
    </row>
    <row r="52">
      <c r="A52" t="inlineStr">
        <is>
          <t>redalert2</t>
        </is>
      </c>
      <c r="B52" t="inlineStr">
        <is>
          <t>yuri_lashertank</t>
        </is>
      </c>
      <c r="C52" t="inlineStr">
        <is>
          <t>Lasher Tank</t>
        </is>
      </c>
      <c r="D52" t="inlineStr"/>
      <c r="E52" s="5" t="n">
        <v>70000</v>
      </c>
      <c r="F52" s="5" t="n">
        <v>105</v>
      </c>
      <c r="G52" t="inlineStr">
        <is>
          <t>Medium</t>
        </is>
      </c>
      <c r="H52" s="5" t="n">
        <v>1</v>
      </c>
      <c r="I52" s="5" t="n">
        <v>1</v>
      </c>
      <c r="J52" s="5" t="n">
        <v>1</v>
      </c>
      <c r="O52">
        <f>MAX(O53,O54,O55,O56,O57,O58)</f>
        <v/>
      </c>
      <c r="R52">
        <f>R53+R54+R55+R56+R57+R58</f>
        <v/>
      </c>
      <c r="S52">
        <f>(E52/100000+F52/100+(O52/1000)*J52/5+R52/200)*200*I52*H52</f>
        <v/>
      </c>
      <c r="T52">
        <f>((E52*F52/25000)+((O52/1000)*J52*R52/2.5))*I52*H52</f>
        <v/>
      </c>
      <c r="U52">
        <f>(E52*F52*(O52/1000)*J52*R52*I52*H52)/12500000</f>
        <v/>
      </c>
      <c r="V52">
        <f>(S52+T52+U52)/3</f>
        <v/>
      </c>
      <c r="W52" s="5" t="n">
        <v>600</v>
      </c>
      <c r="X52">
        <f>IFERROR(V52-W52,"")</f>
        <v/>
      </c>
      <c r="Y52">
        <f>IFERROR(ABS(X52)/MAX(W52,1),"")</f>
        <v/>
      </c>
      <c r="Z52">
        <f>IFERROR((W52-(((E52/100000+F52/100+R52/200)*200*I52*H52)+((E52*F52/25000)*I52*H52))/3)/(((J52/5)*200*I52*H52)+((J52*R52/2.5)*I52*H52)+((E52*F52*J52*R52*I52*H52)/12500000))/3*1000,"")</f>
        <v/>
      </c>
    </row>
    <row r="53">
      <c r="B53" s="6" t="inlineStr">
        <is>
          <t xml:space="preserve">  ↳ RA2LasherCannon</t>
        </is>
      </c>
      <c r="C53" s="6" t="inlineStr">
        <is>
          <t>Armament@PRIMARY</t>
        </is>
      </c>
      <c r="K53" s="5" t="n">
        <v>2000</v>
      </c>
      <c r="L53" s="5" t="n">
        <v>68</v>
      </c>
      <c r="M53" s="5" t="n">
        <v>1</v>
      </c>
      <c r="N53" s="5" t="n"/>
      <c r="O53" s="5" t="n">
        <v>5201</v>
      </c>
      <c r="P53" s="5" t="n">
        <v>1</v>
      </c>
      <c r="Q53">
        <f>L53+IF(M53&gt;1,N(N53)*(M53-1),0)</f>
        <v/>
      </c>
      <c r="R53">
        <f>IFERROR(K53*MAX(M53,1)/Q53*P53,0)</f>
        <v/>
      </c>
      <c r="AA53" s="6" t="inlineStr">
        <is>
          <t>^Grenade, ^ShrapnelWeapon, ^LightFlameWeapon, ^MediumChemicalWeapon, ^TankDestroyerCannon, ^RA2MediumCannon</t>
        </is>
      </c>
    </row>
    <row r="54">
      <c r="B54" s="6" t="inlineStr">
        <is>
          <t xml:space="preserve">  ↳ RA2LasherCannon_elite</t>
        </is>
      </c>
      <c r="C54" s="6" t="inlineStr">
        <is>
          <t>Armament@ELITE</t>
        </is>
      </c>
      <c r="K54" s="5" t="n">
        <v>2000</v>
      </c>
      <c r="L54" s="5" t="n">
        <v>68</v>
      </c>
      <c r="M54" s="5" t="n">
        <v>2</v>
      </c>
      <c r="N54" s="5" t="n">
        <v>3</v>
      </c>
      <c r="O54" s="5" t="n">
        <v>6201</v>
      </c>
      <c r="P54" s="5" t="n">
        <v>1</v>
      </c>
      <c r="Q54">
        <f>L54+IF(M54&gt;1,N(N54)*(M54-1),0)</f>
        <v/>
      </c>
      <c r="R54">
        <f>IFERROR(K54*MAX(M54,1)/Q54*P54,0)</f>
        <v/>
      </c>
      <c r="AA54" s="6" t="inlineStr">
        <is>
          <t>^Grenade, ^ShrapnelWeapon, ^LightFlameWeapon, ^MediumChemicalWeapon, ^TankDestroyerCannon, ^RA2MediumCannon, ^RA2EliteEffects</t>
        </is>
      </c>
    </row>
    <row r="55">
      <c r="B55" s="6" t="inlineStr">
        <is>
          <t xml:space="preserve">  ↳ RA2LasherToxicMortar</t>
        </is>
      </c>
      <c r="C55" s="6" t="inlineStr">
        <is>
          <t>Armament@Toxic</t>
        </is>
      </c>
      <c r="K55" s="5" t="n">
        <v>2000</v>
      </c>
      <c r="L55" s="5" t="n">
        <v>105</v>
      </c>
      <c r="M55" s="5" t="n">
        <v>1</v>
      </c>
      <c r="N55" s="5" t="n"/>
      <c r="O55" s="5" t="n">
        <v>9000</v>
      </c>
      <c r="P55" s="5" t="n">
        <v>1</v>
      </c>
      <c r="Q55">
        <f>L55+IF(M55&gt;1,N(N55)*(M55-1),0)</f>
        <v/>
      </c>
      <c r="R55">
        <f>IFERROR(K55*MAX(M55,1)/Q55*P55,0)</f>
        <v/>
      </c>
      <c r="AA55" s="6" t="inlineStr">
        <is>
          <t>^Grenade, ^ShrapnelWeapon, ^HeavyBomb, ^LightChemicalWeapon, ^MediumChemicalWeapon, ^HeavyChemicalWeapon, ^TankDestroyerCannon, ^MediumCannon, ^HeavyCannon</t>
        </is>
      </c>
    </row>
    <row r="56">
      <c r="B56" s="6" t="inlineStr">
        <is>
          <t xml:space="preserve">  ↳ RA2LasherToxicMortar_elite</t>
        </is>
      </c>
      <c r="C56" s="6" t="inlineStr">
        <is>
          <t>Armament@ToxicELITE</t>
        </is>
      </c>
      <c r="K56" s="5" t="n">
        <v>4000</v>
      </c>
      <c r="L56" s="5" t="n">
        <v>105</v>
      </c>
      <c r="M56" s="5" t="n">
        <v>1</v>
      </c>
      <c r="N56" s="5" t="n"/>
      <c r="O56" s="5" t="n">
        <v>10000</v>
      </c>
      <c r="P56" s="5" t="n">
        <v>1</v>
      </c>
      <c r="Q56">
        <f>L56+IF(M56&gt;1,N(N56)*(M56-1),0)</f>
        <v/>
      </c>
      <c r="R56">
        <f>IFERROR(K56*MAX(M56,1)/Q56*P56,0)</f>
        <v/>
      </c>
      <c r="AA56" s="6" t="inlineStr">
        <is>
          <t>^Grenade, ^ShrapnelWeapon, ^HeavyBomb, ^LightChemicalWeapon, ^MediumChemicalWeapon, ^HeavyChemicalWeapon, ^TankDestroyerCannon, ^MediumCannon, ^HeavyCannon</t>
        </is>
      </c>
    </row>
    <row r="57">
      <c r="B57" s="6" t="inlineStr">
        <is>
          <t xml:space="preserve">  ↳ RA2LasherLaser</t>
        </is>
      </c>
      <c r="C57" s="6" t="inlineStr">
        <is>
          <t>Armament@Laser</t>
        </is>
      </c>
      <c r="K57" s="5" t="n">
        <v>8000</v>
      </c>
      <c r="L57" s="5" t="n">
        <v>81</v>
      </c>
      <c r="M57" s="5" t="n">
        <v>1</v>
      </c>
      <c r="N57" s="5" t="n"/>
      <c r="O57" s="5" t="n">
        <v>7065</v>
      </c>
      <c r="P57" s="5" t="n">
        <v>1</v>
      </c>
      <c r="Q57">
        <f>L57+IF(M57&gt;1,N(N57)*(M57-1),0)</f>
        <v/>
      </c>
      <c r="R57">
        <f>IFERROR(K57*MAX(M57,1)/Q57*P57,0)</f>
        <v/>
      </c>
      <c r="AA57" s="6" t="inlineStr">
        <is>
          <t>^MediumCannon, ^LaserWeapon</t>
        </is>
      </c>
    </row>
    <row r="58">
      <c r="B58" s="6" t="inlineStr">
        <is>
          <t xml:space="preserve">  ↳ RA2LasherLaser_elite</t>
        </is>
      </c>
      <c r="C58" s="6" t="inlineStr">
        <is>
          <t>Armament@LaserELITE</t>
        </is>
      </c>
      <c r="K58" s="5" t="n">
        <v>16000</v>
      </c>
      <c r="L58" s="5" t="n">
        <v>81</v>
      </c>
      <c r="M58" s="5" t="n">
        <v>1</v>
      </c>
      <c r="N58" s="5" t="n"/>
      <c r="O58" s="5" t="n">
        <v>8065</v>
      </c>
      <c r="P58" s="5" t="n">
        <v>1</v>
      </c>
      <c r="Q58">
        <f>L58+IF(M58&gt;1,N(N58)*(M58-1),0)</f>
        <v/>
      </c>
      <c r="R58">
        <f>IFERROR(K58*MAX(M58,1)/Q58*P58,0)</f>
        <v/>
      </c>
      <c r="AA58" s="6" t="inlineStr">
        <is>
          <t>^MediumCannon, ^LaserWeapon</t>
        </is>
      </c>
    </row>
    <row r="59">
      <c r="A59" t="inlineStr">
        <is>
          <t>redalert2</t>
        </is>
      </c>
      <c r="B59" t="inlineStr">
        <is>
          <t>yuri_magnetron</t>
        </is>
      </c>
      <c r="C59" t="inlineStr">
        <is>
          <t>Magnetron</t>
        </is>
      </c>
      <c r="D59" t="inlineStr"/>
      <c r="E59" s="5" t="n">
        <v>65000</v>
      </c>
      <c r="F59" s="5" t="n">
        <v>65</v>
      </c>
      <c r="G59" t="inlineStr">
        <is>
          <t>Light</t>
        </is>
      </c>
      <c r="H59" s="5" t="n">
        <v>1</v>
      </c>
      <c r="I59" s="5" t="n">
        <v>1</v>
      </c>
      <c r="J59" s="5" t="n">
        <v>1.25</v>
      </c>
      <c r="O59">
        <f>MAX(O60,O61,O62,O63)</f>
        <v/>
      </c>
      <c r="R59">
        <f>R60+R61+R62+R63</f>
        <v/>
      </c>
      <c r="S59">
        <f>(E59/100000+F59/100+(O59/1000)*J59/5+R59/200)*200*I59*H59</f>
        <v/>
      </c>
      <c r="T59">
        <f>((E59*F59/25000)+((O59/1000)*J59*R59/2.5))*I59*H59</f>
        <v/>
      </c>
      <c r="U59">
        <f>(E59*F59*(O59/1000)*J59*R59*I59*H59)/12500000</f>
        <v/>
      </c>
      <c r="V59">
        <f>(S59+T59+U59)/3</f>
        <v/>
      </c>
      <c r="W59" s="5" t="n">
        <v>1300</v>
      </c>
      <c r="X59">
        <f>IFERROR(V59-W59,"")</f>
        <v/>
      </c>
      <c r="Y59">
        <f>IFERROR(ABS(X59)/MAX(W59,1),"")</f>
        <v/>
      </c>
      <c r="Z59">
        <f>IFERROR((W59-(((E59/100000+F59/100+R59/200)*200*I59*H59)+((E59*F59/25000)*I59*H59))/3)/(((J59/5)*200*I59*H59)+((J59*R59/2.5)*I59*H59)+((E59*F59*J59*R59*I59*H59)/12500000))/3*1000,"")</f>
        <v/>
      </c>
    </row>
    <row r="60">
      <c r="B60" s="6" t="inlineStr">
        <is>
          <t xml:space="preserve">  ↳ RA2Magnet</t>
        </is>
      </c>
      <c r="C60" s="6" t="inlineStr">
        <is>
          <t>Armament@Normal</t>
        </is>
      </c>
      <c r="K60" s="5" t="n">
        <v>2000</v>
      </c>
      <c r="L60" s="5" t="n">
        <v>200</v>
      </c>
      <c r="M60" s="5" t="n">
        <v>100</v>
      </c>
      <c r="N60" s="5" t="n">
        <v>1</v>
      </c>
      <c r="O60" s="5" t="n">
        <v>7032</v>
      </c>
      <c r="P60" s="5" t="n">
        <v>1</v>
      </c>
      <c r="Q60">
        <f>L60+IF(M60&gt;1,N(N60)*(M60-1),0)</f>
        <v/>
      </c>
      <c r="R60">
        <f>IFERROR(K60*MAX(M60,1)/Q60*P60,0)</f>
        <v/>
      </c>
      <c r="AA60" s="6" t="inlineStr">
        <is>
          <t>^RA2LaserWeapon</t>
        </is>
      </c>
    </row>
    <row r="61">
      <c r="B61" s="6" t="inlineStr">
        <is>
          <t xml:space="preserve">  ↳ RA2MagnetAA</t>
        </is>
      </c>
      <c r="C61" s="6" t="inlineStr">
        <is>
          <t>Armament@Upgraded</t>
        </is>
      </c>
      <c r="K61" s="5" t="n">
        <v>2000</v>
      </c>
      <c r="L61" s="5" t="n">
        <v>200</v>
      </c>
      <c r="M61" s="5" t="n">
        <v>100</v>
      </c>
      <c r="N61" s="5" t="n">
        <v>1</v>
      </c>
      <c r="O61" s="5" t="n">
        <v>7032</v>
      </c>
      <c r="P61" s="5" t="n">
        <v>1</v>
      </c>
      <c r="Q61">
        <f>L61+IF(M61&gt;1,N(N61)*(M61-1),0)</f>
        <v/>
      </c>
      <c r="R61">
        <f>IFERROR(K61*MAX(M61,1)/Q61*P61,0)</f>
        <v/>
      </c>
      <c r="AA61" s="6" t="inlineStr">
        <is>
          <t>^RA2LaserWeapon</t>
        </is>
      </c>
    </row>
    <row r="62">
      <c r="B62" s="6" t="inlineStr">
        <is>
          <t xml:space="preserve">  ↳ RA2Magnet_elite</t>
        </is>
      </c>
      <c r="C62" s="6" t="inlineStr">
        <is>
          <t>Armament@elite</t>
        </is>
      </c>
      <c r="K62" s="5" t="n">
        <v>2000</v>
      </c>
      <c r="L62" s="5" t="n">
        <v>200</v>
      </c>
      <c r="M62" s="5" t="n">
        <v>100</v>
      </c>
      <c r="N62" s="5" t="n">
        <v>1</v>
      </c>
      <c r="O62" s="5" t="n">
        <v>8032</v>
      </c>
      <c r="P62" s="5" t="n">
        <v>1</v>
      </c>
      <c r="Q62">
        <f>L62+IF(M62&gt;1,N(N62)*(M62-1),0)</f>
        <v/>
      </c>
      <c r="R62">
        <f>IFERROR(K62*MAX(M62,1)/Q62*P62,0)</f>
        <v/>
      </c>
      <c r="AA62" s="6" t="inlineStr">
        <is>
          <t>^RA2LaserWeapon</t>
        </is>
      </c>
    </row>
    <row r="63">
      <c r="B63" s="6" t="inlineStr">
        <is>
          <t xml:space="preserve">  ↳ RA2MagnetAA_elite</t>
        </is>
      </c>
      <c r="C63" s="6" t="inlineStr">
        <is>
          <t>Armament@elite_aa</t>
        </is>
      </c>
      <c r="K63" s="5" t="n">
        <v>2000</v>
      </c>
      <c r="L63" s="5" t="n">
        <v>200</v>
      </c>
      <c r="M63" s="5" t="n">
        <v>100</v>
      </c>
      <c r="N63" s="5" t="n">
        <v>1</v>
      </c>
      <c r="O63" s="5" t="n">
        <v>8032</v>
      </c>
      <c r="P63" s="5" t="n">
        <v>1</v>
      </c>
      <c r="Q63">
        <f>L63+IF(M63&gt;1,N(N63)*(M63-1),0)</f>
        <v/>
      </c>
      <c r="R63">
        <f>IFERROR(K63*MAX(M63,1)/Q63*P63,0)</f>
        <v/>
      </c>
      <c r="AA63" s="6" t="inlineStr">
        <is>
          <t>^RA2LaserWeapon</t>
        </is>
      </c>
    </row>
    <row r="64">
      <c r="A64" t="inlineStr">
        <is>
          <t>redalert2</t>
        </is>
      </c>
      <c r="B64" t="inlineStr">
        <is>
          <t>yuri_mastermind</t>
        </is>
      </c>
      <c r="C64" t="inlineStr">
        <is>
          <t>Master Mind</t>
        </is>
      </c>
      <c r="D64" t="inlineStr"/>
      <c r="E64" s="5" t="n">
        <v>100000</v>
      </c>
      <c r="F64" s="5" t="n">
        <v>120</v>
      </c>
      <c r="G64" t="inlineStr">
        <is>
          <t>Heavy</t>
        </is>
      </c>
      <c r="H64" s="5" t="n">
        <v>1</v>
      </c>
      <c r="I64" s="5" t="n">
        <v>1</v>
      </c>
      <c r="J64" s="5" t="n">
        <v>1</v>
      </c>
      <c r="O64">
        <f>MAX(O65)</f>
        <v/>
      </c>
      <c r="R64">
        <f>R65</f>
        <v/>
      </c>
      <c r="S64">
        <f>(E64/100000+F64/100+(O64/1000)*J64/5+R64/200)*200*I64*H64</f>
        <v/>
      </c>
      <c r="T64">
        <f>((E64*F64/25000)+((O64/1000)*J64*R64/2.5))*I64*H64</f>
        <v/>
      </c>
      <c r="U64">
        <f>(E64*F64*(O64/1000)*J64*R64*I64*H64)/12500000</f>
        <v/>
      </c>
      <c r="V64">
        <f>(S64+T64+U64)/3</f>
        <v/>
      </c>
      <c r="W64" s="5" t="n">
        <v>1500</v>
      </c>
      <c r="X64">
        <f>IFERROR(V64-W64,"")</f>
        <v/>
      </c>
      <c r="Y64">
        <f>IFERROR(ABS(X64)/MAX(W64,1),"")</f>
        <v/>
      </c>
      <c r="Z64">
        <f>IFERROR((W64-(((E64/100000+F64/100+R64/200)*200*I64*H64)+((E64*F64/25000)*I64*H64))/3)/(((J64/5)*200*I64*H64)+((J64*R64/2.5)*I64*H64)+((E64*F64*J64*R64*I64*H64)/12500000))/3*1000,"")</f>
        <v/>
      </c>
    </row>
    <row r="65">
      <c r="B65" s="6" t="inlineStr">
        <is>
          <t xml:space="preserve">  ↳ RA2SMindControl</t>
        </is>
      </c>
      <c r="C65" s="6" t="inlineStr">
        <is>
          <t>Armament@PRIMARY</t>
        </is>
      </c>
      <c r="K65" s="5" t="n">
        <v>0</v>
      </c>
      <c r="L65" s="5" t="n">
        <v>75</v>
      </c>
      <c r="M65" s="5" t="n">
        <v>1</v>
      </c>
      <c r="N65" s="5" t="n"/>
      <c r="O65" s="5" t="n">
        <v>7000</v>
      </c>
      <c r="P65" s="5" t="n">
        <v>1</v>
      </c>
      <c r="Q65">
        <f>L65+IF(M65&gt;1,N(N65)*(M65-1),0)</f>
        <v/>
      </c>
      <c r="R65">
        <f>IFERROR(K65*MAX(M65,1)/Q65*P65,0)</f>
        <v/>
      </c>
      <c r="AA65" s="6" t="inlineStr">
        <is>
          <t>RA2MindControl</t>
        </is>
      </c>
    </row>
    <row r="66">
      <c r="A66" t="inlineStr">
        <is>
          <t>redalert2</t>
        </is>
      </c>
      <c r="B66" t="inlineStr">
        <is>
          <t>yuri_mobileconstructionvehicle</t>
        </is>
      </c>
      <c r="C66" t="inlineStr">
        <is>
          <t>Yuri Mobile Construction Vehicle</t>
        </is>
      </c>
      <c r="D66" t="inlineStr"/>
      <c r="E66" s="5" t="n">
        <v>300000</v>
      </c>
      <c r="F66" s="5" t="n">
        <v>75</v>
      </c>
      <c r="G66" t="inlineStr">
        <is>
          <t>Medium</t>
        </is>
      </c>
      <c r="H66" s="5" t="n">
        <v>1</v>
      </c>
      <c r="I66" s="5" t="n">
        <v>1</v>
      </c>
      <c r="J66" s="5" t="n">
        <v>1</v>
      </c>
      <c r="W66" s="5" t="n">
        <v>5000</v>
      </c>
    </row>
    <row r="67">
      <c r="A67" t="inlineStr">
        <is>
          <t>redalert2</t>
        </is>
      </c>
      <c r="B67" t="inlineStr">
        <is>
          <t>yuri_slaveminer</t>
        </is>
      </c>
      <c r="C67" t="inlineStr">
        <is>
          <t>Slave Miner</t>
        </is>
      </c>
      <c r="D67" t="inlineStr"/>
      <c r="E67" s="5" t="n">
        <v>200000</v>
      </c>
      <c r="F67" s="5" t="n">
        <v>50</v>
      </c>
      <c r="G67" t="inlineStr">
        <is>
          <t>Heavy</t>
        </is>
      </c>
      <c r="H67" s="5" t="n">
        <v>1</v>
      </c>
      <c r="I67" s="5" t="n">
        <v>1</v>
      </c>
      <c r="J67" s="5" t="n">
        <v>1</v>
      </c>
      <c r="O67">
        <f>MAX(O68)</f>
        <v/>
      </c>
      <c r="R67">
        <f>R68</f>
        <v/>
      </c>
      <c r="S67">
        <f>(E67/100000+F67/100+(O67/1000)*J67/5+R67/200)*200*I67*H67</f>
        <v/>
      </c>
      <c r="T67">
        <f>((E67*F67/25000)+((O67/1000)*J67*R67/2.5))*I67*H67</f>
        <v/>
      </c>
      <c r="U67">
        <f>(E67*F67*(O67/1000)*J67*R67*I67*H67)/12500000</f>
        <v/>
      </c>
      <c r="V67">
        <f>(S67+T67+U67)/3</f>
        <v/>
      </c>
      <c r="W67" s="5" t="n">
        <v>2000</v>
      </c>
      <c r="X67">
        <f>IFERROR(V67-W67,"")</f>
        <v/>
      </c>
      <c r="Y67">
        <f>IFERROR(ABS(X67)/MAX(W67,1),"")</f>
        <v/>
      </c>
      <c r="Z67">
        <f>IFERROR((W67-(((E67/100000+F67/100+R67/200)*200*I67*H67)+((E67*F67/25000)*I67*H67))/3)/(((J67/5)*200*I67*H67)+((J67*R67/2.5)*I67*H67)+((E67*F67*J67*R67*I67*H67)/12500000))/3*1000,"")</f>
        <v/>
      </c>
    </row>
    <row r="68">
      <c r="B68" s="6" t="inlineStr">
        <is>
          <t xml:space="preserve">  ↳ RA220mmrapid</t>
        </is>
      </c>
      <c r="C68" s="6" t="inlineStr">
        <is>
          <t>Armament@primary</t>
        </is>
      </c>
      <c r="K68" s="5" t="n">
        <v>4000</v>
      </c>
      <c r="L68" s="5" t="n">
        <v>15</v>
      </c>
      <c r="M68" s="5" t="n">
        <v>1</v>
      </c>
      <c r="N68" s="5" t="n"/>
      <c r="O68" s="5" t="n">
        <v>5000</v>
      </c>
      <c r="P68" s="5" t="n">
        <v>1</v>
      </c>
      <c r="Q68">
        <f>L68+IF(M68&gt;1,N(N68)*(M68-1),0)</f>
        <v/>
      </c>
      <c r="R68">
        <f>IFERROR(K68*MAX(M68,1)/Q68*P68,0)</f>
        <v/>
      </c>
      <c r="AA68" s="6" t="inlineStr">
        <is>
          <t>^RA2SmallArms, ^RA2Chaingun</t>
        </is>
      </c>
    </row>
    <row r="69">
      <c r="A69" s="3" t="inlineStr">
        <is>
          <t>AIRCRAFT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>
      <c r="A70" t="inlineStr">
        <is>
          <t>redalert2</t>
        </is>
      </c>
      <c r="B70" t="inlineStr">
        <is>
          <t>yuri_floatingdisk</t>
        </is>
      </c>
      <c r="C70" t="inlineStr">
        <is>
          <t>Floating Disk</t>
        </is>
      </c>
      <c r="D70" t="inlineStr"/>
      <c r="E70" s="5" t="n">
        <v>125000</v>
      </c>
      <c r="F70" s="5" t="n">
        <v>80</v>
      </c>
      <c r="G70" t="inlineStr">
        <is>
          <t>Spaceship</t>
        </is>
      </c>
      <c r="H70" s="5" t="n">
        <v>1</v>
      </c>
      <c r="I70" s="5" t="n">
        <v>1</v>
      </c>
      <c r="J70" s="5" t="n">
        <v>1</v>
      </c>
      <c r="O70">
        <f>MAX(O71,O72,O73,O74)</f>
        <v/>
      </c>
      <c r="R70">
        <f>R71+R72+R73+R74</f>
        <v/>
      </c>
      <c r="S70">
        <f>(E70/100000+F70/100+(O70/1000)*J70/5+R70/200)*200*I70*H70</f>
        <v/>
      </c>
      <c r="T70">
        <f>((E70*F70/25000)+((O70/1000)*J70*R70/2.5))*I70*H70</f>
        <v/>
      </c>
      <c r="U70">
        <f>(E70*F70*(O70/1000)*J70*R70*I70*H70)/12500000</f>
        <v/>
      </c>
      <c r="V70">
        <f>(S70+T70+U70)/3</f>
        <v/>
      </c>
      <c r="W70" s="5" t="n">
        <v>2400</v>
      </c>
      <c r="X70">
        <f>IFERROR(V70-W70,"")</f>
        <v/>
      </c>
      <c r="Y70">
        <f>IFERROR(ABS(X70)/MAX(W70,1),"")</f>
        <v/>
      </c>
      <c r="Z70">
        <f>IFERROR((W70-(((E70/100000+F70/100+R70/200)*200*I70*H70)+((E70*F70/25000)*I70*H70))/3)/(((J70/5)*200*I70*H70)+((J70*R70/2.5)*I70*H70)+((E70*F70*J70*R70*I70*H70)/12500000))/3*1000,"")</f>
        <v/>
      </c>
    </row>
    <row r="71">
      <c r="B71" s="6" t="inlineStr">
        <is>
          <t xml:space="preserve">  ↳ RA2DiskLaser</t>
        </is>
      </c>
      <c r="C71" s="6" t="inlineStr">
        <is>
          <t>Armament@PRIMARY</t>
        </is>
      </c>
      <c r="K71" s="5" t="n">
        <v>24000</v>
      </c>
      <c r="L71" s="5" t="n">
        <v>40</v>
      </c>
      <c r="M71" s="5" t="n">
        <v>1</v>
      </c>
      <c r="N71" s="5" t="n"/>
      <c r="O71" s="5" t="n">
        <v>6840</v>
      </c>
      <c r="P71" s="5" t="n">
        <v>1</v>
      </c>
      <c r="Q71">
        <f>L71+IF(M71&gt;1,N(N71)*(M71-1),0)</f>
        <v/>
      </c>
      <c r="R71">
        <f>IFERROR(K71*MAX(M71,1)/Q71*P71,0)</f>
        <v/>
      </c>
      <c r="AA71" s="6" t="inlineStr">
        <is>
          <t>^LaserWeapon</t>
        </is>
      </c>
    </row>
    <row r="72">
      <c r="B72" s="6" t="inlineStr">
        <is>
          <t xml:space="preserve">  ↳ RA2DiskLaser_elite</t>
        </is>
      </c>
      <c r="C72" s="6" t="inlineStr">
        <is>
          <t>Armament@ELITE</t>
        </is>
      </c>
      <c r="K72" s="5" t="n">
        <v>48000</v>
      </c>
      <c r="L72" s="5" t="n">
        <v>40</v>
      </c>
      <c r="M72" s="5" t="n">
        <v>1</v>
      </c>
      <c r="N72" s="5" t="n"/>
      <c r="O72" s="5" t="n">
        <v>7840</v>
      </c>
      <c r="P72" s="5" t="n">
        <v>1</v>
      </c>
      <c r="Q72">
        <f>L72+IF(M72&gt;1,N(N72)*(M72-1),0)</f>
        <v/>
      </c>
      <c r="R72">
        <f>IFERROR(K72*MAX(M72,1)/Q72*P72,0)</f>
        <v/>
      </c>
      <c r="AA72" s="6" t="inlineStr">
        <is>
          <t>^LaserWeapon</t>
        </is>
      </c>
    </row>
    <row r="73">
      <c r="B73" s="6" t="inlineStr">
        <is>
          <t xml:space="preserve">  ↳ RA2DiskDrain</t>
        </is>
      </c>
      <c r="C73" s="6" t="inlineStr">
        <is>
          <t>Armament@SECOND</t>
        </is>
      </c>
      <c r="K73" s="5" t="n">
        <v>2000</v>
      </c>
      <c r="L73" s="5" t="n">
        <v>5</v>
      </c>
      <c r="M73" s="5" t="n">
        <v>1</v>
      </c>
      <c r="N73" s="5" t="n"/>
      <c r="O73" s="5" t="n">
        <v>125</v>
      </c>
      <c r="P73" s="5" t="n">
        <v>1</v>
      </c>
      <c r="Q73">
        <f>L73+IF(M73&gt;1,N(N73)*(M73-1),0)</f>
        <v/>
      </c>
      <c r="R73">
        <f>IFERROR(K73*MAX(M73,1)/Q73*P73,0)</f>
        <v/>
      </c>
      <c r="AA73" s="6" t="inlineStr">
        <is>
          <t>^MagicWeapon, ^TeslaWeapon</t>
        </is>
      </c>
    </row>
    <row r="74">
      <c r="B74" s="6" t="inlineStr">
        <is>
          <t xml:space="preserve">  ↳ RA2DiskSteal</t>
        </is>
      </c>
      <c r="C74" s="6" t="inlineStr">
        <is>
          <t>Armament@Steal</t>
        </is>
      </c>
      <c r="K74" s="5" t="n"/>
      <c r="L74" s="5" t="n">
        <v>5</v>
      </c>
      <c r="M74" s="5" t="n">
        <v>1</v>
      </c>
      <c r="N74" s="5" t="n"/>
      <c r="O74" s="5" t="n">
        <v>125</v>
      </c>
      <c r="P74" s="5" t="n">
        <v>1</v>
      </c>
      <c r="Q74">
        <f>L74+IF(M74&gt;1,N(N74)*(M74-1),0)</f>
        <v/>
      </c>
      <c r="R74">
        <f>IFERROR(K74*MAX(M74,1)/Q74*P74,0)</f>
        <v/>
      </c>
      <c r="AA74" s="6" t="inlineStr"/>
    </row>
    <row r="75">
      <c r="A75" t="inlineStr">
        <is>
          <t>redalert2</t>
        </is>
      </c>
      <c r="B75" t="inlineStr">
        <is>
          <t>yuriinvisibleplane</t>
        </is>
      </c>
      <c r="C75" t="inlineStr">
        <is>
          <t>Spy Plane</t>
        </is>
      </c>
      <c r="D75" t="inlineStr"/>
      <c r="E75" s="5" t="n">
        <v>100000</v>
      </c>
      <c r="F75" s="5" t="n">
        <v>300</v>
      </c>
      <c r="G75" t="inlineStr">
        <is>
          <t>Bomber</t>
        </is>
      </c>
      <c r="H75" s="5" t="n">
        <v>1</v>
      </c>
      <c r="I75" s="5" t="n">
        <v>1</v>
      </c>
      <c r="J75" s="5" t="n">
        <v>1</v>
      </c>
      <c r="O75">
        <f>MAX(O76)</f>
        <v/>
      </c>
      <c r="R75">
        <f>R76</f>
        <v/>
      </c>
      <c r="S75">
        <f>(E75/100000+F75/100+(O75/1000)*J75/5+R75/200)*200*I75*H75</f>
        <v/>
      </c>
      <c r="T75">
        <f>((E75*F75/25000)+((O75/1000)*J75*R75/2.5))*I75*H75</f>
        <v/>
      </c>
      <c r="U75">
        <f>(E75*F75*(O75/1000)*J75*R75*I75*H75)/12500000</f>
        <v/>
      </c>
      <c r="V75">
        <f>(S75+T75+U75)/3</f>
        <v/>
      </c>
      <c r="W75" s="5" t="n">
        <v>5000</v>
      </c>
      <c r="X75">
        <f>IFERROR(V75-W75,"")</f>
        <v/>
      </c>
      <c r="Y75">
        <f>IFERROR(ABS(X75)/MAX(W75,1),"")</f>
        <v/>
      </c>
      <c r="Z75">
        <f>IFERROR((W75-(((E75/100000+F75/100+R75/200)*200*I75*H75)+((E75*F75/25000)*I75*H75))/3)/(((J75/5)*200*I75*H75)+((J75*R75/2.5)*I75*H75)+((E75*F75*J75*R75*I75*H75)/12500000))/3*1000,"")</f>
        <v/>
      </c>
    </row>
    <row r="76">
      <c r="B76" s="6" t="inlineStr">
        <is>
          <t xml:space="preserve">  ↳ SpyPlaneTargeting</t>
        </is>
      </c>
      <c r="C76" s="6" t="inlineStr">
        <is>
          <t>Armament</t>
        </is>
      </c>
      <c r="K76" s="5" t="n"/>
      <c r="L76" s="5" t="n">
        <v>5</v>
      </c>
      <c r="M76" s="5" t="n">
        <v>1</v>
      </c>
      <c r="N76" s="5" t="n"/>
      <c r="O76" s="5" t="n">
        <v>10000</v>
      </c>
      <c r="P76" s="5" t="n">
        <v>1</v>
      </c>
      <c r="Q76">
        <f>L76+IF(M76&gt;1,N(N76)*(M76-1),0)</f>
        <v/>
      </c>
      <c r="R76">
        <f>IFERROR(K76*MAX(M76,1)/Q76*P76,0)</f>
        <v/>
      </c>
      <c r="AA76" s="6" t="inlineStr"/>
    </row>
    <row r="77">
      <c r="A77" s="3" t="inlineStr">
        <is>
          <t>NAVAL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>
      <c r="A78" t="inlineStr">
        <is>
          <t>redalert2</t>
        </is>
      </c>
      <c r="B78" t="inlineStr">
        <is>
          <t>yuri_boomersubmarine</t>
        </is>
      </c>
      <c r="C78" t="inlineStr">
        <is>
          <t>actor_bsub.name</t>
        </is>
      </c>
      <c r="D78" t="inlineStr"/>
      <c r="E78" s="5" t="n">
        <v>100000</v>
      </c>
      <c r="F78" s="5" t="n">
        <v>50</v>
      </c>
      <c r="G78" t="inlineStr">
        <is>
          <t>Medium</t>
        </is>
      </c>
      <c r="H78" s="5" t="n">
        <v>1</v>
      </c>
      <c r="I78" s="5" t="n">
        <v>1</v>
      </c>
      <c r="J78" s="5" t="n">
        <v>1</v>
      </c>
      <c r="O78">
        <f>MAX(O79,O80)</f>
        <v/>
      </c>
      <c r="R78">
        <f>R79+R80</f>
        <v/>
      </c>
      <c r="S78">
        <f>(E78/100000+F78/100+(O78/1000)*J78/5+R78/200)*200*I78*H78</f>
        <v/>
      </c>
      <c r="T78">
        <f>((E78*F78/25000)+((O78/1000)*J78*R78/2.5))*I78*H78</f>
        <v/>
      </c>
      <c r="U78">
        <f>(E78*F78*(O78/1000)*J78*R78*I78*H78)/12500000</f>
        <v/>
      </c>
      <c r="V78">
        <f>(S78+T78+U78)/3</f>
        <v/>
      </c>
      <c r="W78" s="5" t="n">
        <v>3350</v>
      </c>
      <c r="X78">
        <f>IFERROR(V78-W78,"")</f>
        <v/>
      </c>
      <c r="Y78">
        <f>IFERROR(ABS(X78)/MAX(W78,1),"")</f>
        <v/>
      </c>
      <c r="Z78">
        <f>IFERROR((W78-(((E78/100000+F78/100+R78/200)*200*I78*H78)+((E78*F78/25000)*I78*H78))/3)/(((J78/5)*200*I78*H78)+((J78*R78/2.5)*I78*H78)+((E78*F78*J78*R78*I78*H78)/12500000))/3*1000,"")</f>
        <v/>
      </c>
    </row>
    <row r="79">
      <c r="B79" s="6" t="inlineStr">
        <is>
          <t xml:space="preserve">  ↳ YRBoomerTorpedo</t>
        </is>
      </c>
      <c r="C79" s="6" t="inlineStr">
        <is>
          <t>Armament@PRIMARY</t>
        </is>
      </c>
      <c r="K79" s="5" t="n">
        <v>20000</v>
      </c>
      <c r="L79" s="5" t="n">
        <v>176</v>
      </c>
      <c r="M79" s="5" t="n">
        <v>4</v>
      </c>
      <c r="N79" s="5" t="n">
        <v>8</v>
      </c>
      <c r="O79" s="5" t="n">
        <v>15000</v>
      </c>
      <c r="P79" s="5" t="n">
        <v>1</v>
      </c>
      <c r="Q79">
        <f>L79+IF(M79&gt;1,N(N79)*(M79-1),0)</f>
        <v/>
      </c>
      <c r="R79">
        <f>IFERROR(K79*MAX(M79,1)/Q79*P79,0)</f>
        <v/>
      </c>
      <c r="AA79" s="6" t="inlineStr">
        <is>
          <t>^RA2Grenade, ^RA2HeavyMissile</t>
        </is>
      </c>
    </row>
    <row r="80">
      <c r="B80" s="6" t="inlineStr">
        <is>
          <t xml:space="preserve">  ↳ BoomerLaunch</t>
        </is>
      </c>
      <c r="C80" s="6" t="inlineStr">
        <is>
          <t>Armament@LAUNCH</t>
        </is>
      </c>
      <c r="K80" s="5" t="n"/>
      <c r="L80" s="5" t="n">
        <v>50</v>
      </c>
      <c r="M80" s="5" t="n">
        <v>2</v>
      </c>
      <c r="N80" s="5" t="n">
        <v>8</v>
      </c>
      <c r="O80" s="5" t="n">
        <v>15000</v>
      </c>
      <c r="P80" s="5" t="n">
        <v>1</v>
      </c>
      <c r="Q80">
        <f>L80+IF(M80&gt;1,N(N80)*(M80-1),0)</f>
        <v/>
      </c>
      <c r="R80">
        <f>IFERROR(K80*MAX(M80,1)/Q80*P80,0)</f>
        <v/>
      </c>
      <c r="AA80" s="6" t="inlineStr">
        <is>
          <t>V3Launch</t>
        </is>
      </c>
    </row>
    <row r="81">
      <c r="A81" s="3" t="inlineStr">
        <is>
          <t>DEFENSES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>
      <c r="A82" t="inlineStr">
        <is>
          <t>redalert2</t>
        </is>
      </c>
      <c r="B82" t="inlineStr">
        <is>
          <t>yuri_concretebarrier</t>
        </is>
      </c>
      <c r="C82" t="inlineStr">
        <is>
          <t>Concrete Barrier</t>
        </is>
      </c>
      <c r="D82" t="inlineStr"/>
      <c r="E82" s="5" t="n">
        <v>100000</v>
      </c>
      <c r="F82" s="5" t="n">
        <v>100</v>
      </c>
      <c r="G82" t="inlineStr">
        <is>
          <t>Concrete</t>
        </is>
      </c>
      <c r="H82" s="5" t="n">
        <v>1</v>
      </c>
      <c r="I82" s="5" t="n">
        <v>1</v>
      </c>
      <c r="J82" s="5" t="n">
        <v>1</v>
      </c>
      <c r="W82" s="5" t="n">
        <v>200</v>
      </c>
    </row>
    <row r="83">
      <c r="A83" t="inlineStr">
        <is>
          <t>redalert2</t>
        </is>
      </c>
      <c r="B83" t="inlineStr">
        <is>
          <t>yuri_gatlingcannon</t>
        </is>
      </c>
      <c r="C83" t="inlineStr">
        <is>
          <t>Gatling Cannon</t>
        </is>
      </c>
      <c r="D83" t="inlineStr"/>
      <c r="E83" s="5" t="n">
        <v>140000</v>
      </c>
      <c r="F83" s="5" t="n">
        <v>100</v>
      </c>
      <c r="G83" t="inlineStr">
        <is>
          <t>Concrete</t>
        </is>
      </c>
      <c r="H83" s="5" t="n">
        <v>1</v>
      </c>
      <c r="I83" s="5" t="n">
        <v>0.35</v>
      </c>
      <c r="J83" s="5" t="n">
        <v>1</v>
      </c>
      <c r="O83">
        <f>MAX(O84,O85,O86,O87,O88,O89)</f>
        <v/>
      </c>
      <c r="R83">
        <f>R84+R85+R86+R87+R88+R89</f>
        <v/>
      </c>
      <c r="S83">
        <f>(E83/100000+F83/100+(O83/1000)*J83/5+R83/200)*200*I83*H83</f>
        <v/>
      </c>
      <c r="T83">
        <f>((E83*F83/25000)+((O83/1000)*J83*R83/2.5))*I83*H83</f>
        <v/>
      </c>
      <c r="U83">
        <f>(E83*F83*(O83/1000)*J83*R83*I83*H83)/12500000</f>
        <v/>
      </c>
      <c r="V83">
        <f>(S83+T83+U83)/3</f>
        <v/>
      </c>
      <c r="W83" s="5" t="n">
        <v>1000</v>
      </c>
      <c r="X83">
        <f>IFERROR(V83-W83,"")</f>
        <v/>
      </c>
      <c r="Y83">
        <f>IFERROR(ABS(X83)/MAX(W83,1),"")</f>
        <v/>
      </c>
      <c r="Z83">
        <f>IFERROR((W83-(((E83/100000+F83/100+R83/200)*200*I83*H83)+((E83*F83/25000)*I83*H83))/3)/(((J83/5)*200*I83*H83)+((J83*R83/2.5)*I83*H83)+((E83*F83*J83*R83*I83*H83)/12500000))/3*1000,"")</f>
        <v/>
      </c>
    </row>
    <row r="84">
      <c r="B84" s="6" t="inlineStr">
        <is>
          <t xml:space="preserve">  ↳ RA2GattlingMG1</t>
        </is>
      </c>
      <c r="C84" s="6" t="inlineStr">
        <is>
          <t>Armament@1</t>
        </is>
      </c>
      <c r="K84" s="5" t="n">
        <v>2000</v>
      </c>
      <c r="L84" s="5" t="n">
        <v>6</v>
      </c>
      <c r="M84" s="5" t="n">
        <v>1</v>
      </c>
      <c r="N84" s="5" t="n"/>
      <c r="O84" s="5" t="n">
        <v>5000</v>
      </c>
      <c r="P84" s="5" t="n">
        <v>1</v>
      </c>
      <c r="Q84">
        <f>L84+IF(M84&gt;1,N(N84)*(M84-1),0)</f>
        <v/>
      </c>
      <c r="R84">
        <f>IFERROR(K84*MAX(M84,1)/Q84*P84,0)</f>
        <v/>
      </c>
      <c r="AA84" s="6" t="inlineStr">
        <is>
          <t>^SmallArms, ^RA2Chaingun</t>
        </is>
      </c>
    </row>
    <row r="85">
      <c r="B85" s="6" t="inlineStr">
        <is>
          <t xml:space="preserve">  ↳ RA2GattlingMG2</t>
        </is>
      </c>
      <c r="C85" s="6" t="inlineStr">
        <is>
          <t>Armament@2</t>
        </is>
      </c>
      <c r="K85" s="5" t="n">
        <v>2000</v>
      </c>
      <c r="L85" s="5" t="n">
        <v>4</v>
      </c>
      <c r="M85" s="5" t="n">
        <v>1</v>
      </c>
      <c r="N85" s="5" t="n"/>
      <c r="O85" s="5" t="n">
        <v>5250</v>
      </c>
      <c r="P85" s="5" t="n">
        <v>1</v>
      </c>
      <c r="Q85">
        <f>L85+IF(M85&gt;1,N(N85)*(M85-1),0)</f>
        <v/>
      </c>
      <c r="R85">
        <f>IFERROR(K85*MAX(M85,1)/Q85*P85,0)</f>
        <v/>
      </c>
      <c r="AA85" s="6" t="inlineStr">
        <is>
          <t>^SmallArms, ^RA2Chaingun</t>
        </is>
      </c>
    </row>
    <row r="86">
      <c r="B86" s="6" t="inlineStr">
        <is>
          <t xml:space="preserve">  ↳ RA2GattlingMG3</t>
        </is>
      </c>
      <c r="C86" s="6" t="inlineStr">
        <is>
          <t>Armament@3</t>
        </is>
      </c>
      <c r="K86" s="5" t="n">
        <v>2000</v>
      </c>
      <c r="L86" s="5" t="n">
        <v>2</v>
      </c>
      <c r="M86" s="5" t="n">
        <v>1</v>
      </c>
      <c r="N86" s="5" t="n"/>
      <c r="O86" s="5" t="n">
        <v>5500</v>
      </c>
      <c r="P86" s="5" t="n">
        <v>1</v>
      </c>
      <c r="Q86">
        <f>L86+IF(M86&gt;1,N(N86)*(M86-1),0)</f>
        <v/>
      </c>
      <c r="R86">
        <f>IFERROR(K86*MAX(M86,1)/Q86*P86,0)</f>
        <v/>
      </c>
      <c r="AA86" s="6" t="inlineStr">
        <is>
          <t>^SmallArms, ^RA2Chaingun</t>
        </is>
      </c>
    </row>
    <row r="87">
      <c r="B87" s="6" t="inlineStr">
        <is>
          <t xml:space="preserve">  ↳ RA2GattlingMG1AA</t>
        </is>
      </c>
      <c r="C87" s="6" t="inlineStr">
        <is>
          <t>Armament@1AA</t>
        </is>
      </c>
      <c r="K87" s="5" t="n">
        <v>4000</v>
      </c>
      <c r="L87" s="5" t="n">
        <v>6</v>
      </c>
      <c r="M87" s="5" t="n">
        <v>1</v>
      </c>
      <c r="N87" s="5" t="n"/>
      <c r="O87" s="5" t="n">
        <v>6750</v>
      </c>
      <c r="P87" s="5" t="n">
        <v>1</v>
      </c>
      <c r="Q87">
        <f>L87+IF(M87&gt;1,N(N87)*(M87-1),0)</f>
        <v/>
      </c>
      <c r="R87">
        <f>IFERROR(K87*MAX(M87,1)/Q87*P87,0)</f>
        <v/>
      </c>
      <c r="AA87" s="6" t="inlineStr">
        <is>
          <t>^SmallArms, ^RA2Chaingun</t>
        </is>
      </c>
    </row>
    <row r="88">
      <c r="B88" s="6" t="inlineStr">
        <is>
          <t xml:space="preserve">  ↳ RA2GattlingMG2AA</t>
        </is>
      </c>
      <c r="C88" s="6" t="inlineStr">
        <is>
          <t>Armament@2AA</t>
        </is>
      </c>
      <c r="K88" s="5" t="n">
        <v>4000</v>
      </c>
      <c r="L88" s="5" t="n">
        <v>4</v>
      </c>
      <c r="M88" s="5" t="n">
        <v>1</v>
      </c>
      <c r="N88" s="5" t="n"/>
      <c r="O88" s="5" t="n">
        <v>7500</v>
      </c>
      <c r="P88" s="5" t="n">
        <v>1</v>
      </c>
      <c r="Q88">
        <f>L88+IF(M88&gt;1,N(N88)*(M88-1),0)</f>
        <v/>
      </c>
      <c r="R88">
        <f>IFERROR(K88*MAX(M88,1)/Q88*P88,0)</f>
        <v/>
      </c>
      <c r="AA88" s="6" t="inlineStr">
        <is>
          <t>^SmallArms, ^RA2Chaingun</t>
        </is>
      </c>
    </row>
    <row r="89">
      <c r="B89" s="6" t="inlineStr">
        <is>
          <t xml:space="preserve">  ↳ RA2GattlingMG3AA</t>
        </is>
      </c>
      <c r="C89" s="6" t="inlineStr">
        <is>
          <t>Armament@3AA</t>
        </is>
      </c>
      <c r="K89" s="5" t="n">
        <v>4000</v>
      </c>
      <c r="L89" s="5" t="n">
        <v>2</v>
      </c>
      <c r="M89" s="5" t="n">
        <v>1</v>
      </c>
      <c r="N89" s="5" t="n"/>
      <c r="O89" s="5" t="n">
        <v>8250</v>
      </c>
      <c r="P89" s="5" t="n">
        <v>1</v>
      </c>
      <c r="Q89">
        <f>L89+IF(M89&gt;1,N(N89)*(M89-1),0)</f>
        <v/>
      </c>
      <c r="R89">
        <f>IFERROR(K89*MAX(M89,1)/Q89*P89,0)</f>
        <v/>
      </c>
      <c r="AA89" s="6" t="inlineStr">
        <is>
          <t>^SmallArms, ^RA2Chaingun</t>
        </is>
      </c>
    </row>
    <row r="90">
      <c r="A90" t="inlineStr">
        <is>
          <t>redalert2</t>
        </is>
      </c>
      <c r="B90" t="inlineStr">
        <is>
          <t>yuri_geneticmutator</t>
        </is>
      </c>
      <c r="C90" t="inlineStr">
        <is>
          <t>Genetic Mutator</t>
        </is>
      </c>
      <c r="D90" t="inlineStr"/>
      <c r="E90" s="5" t="n">
        <v>1000000</v>
      </c>
      <c r="F90" s="5" t="n">
        <v>100</v>
      </c>
      <c r="G90" t="inlineStr">
        <is>
          <t>Concrete</t>
        </is>
      </c>
      <c r="H90" s="5" t="n">
        <v>1</v>
      </c>
      <c r="I90" s="5" t="n">
        <v>1</v>
      </c>
      <c r="J90" s="5" t="n">
        <v>1</v>
      </c>
      <c r="W90" s="5" t="n">
        <v>5000</v>
      </c>
    </row>
    <row r="91">
      <c r="A91" t="inlineStr">
        <is>
          <t>redalert2</t>
        </is>
      </c>
      <c r="B91" t="inlineStr">
        <is>
          <t>yuri_psychicdominator</t>
        </is>
      </c>
      <c r="C91" t="inlineStr">
        <is>
          <t>Psychic Dominator</t>
        </is>
      </c>
      <c r="D91" t="inlineStr"/>
      <c r="E91" s="5" t="n">
        <v>1000000</v>
      </c>
      <c r="F91" s="5" t="n">
        <v>100</v>
      </c>
      <c r="G91" t="inlineStr">
        <is>
          <t>Concrete</t>
        </is>
      </c>
      <c r="H91" s="5" t="n">
        <v>1</v>
      </c>
      <c r="I91" s="5" t="n">
        <v>1</v>
      </c>
      <c r="J91" s="5" t="n">
        <v>1</v>
      </c>
      <c r="W91" s="5" t="n">
        <v>10000</v>
      </c>
    </row>
    <row r="92">
      <c r="A92" t="inlineStr">
        <is>
          <t>redalert2</t>
        </is>
      </c>
      <c r="B92" t="inlineStr">
        <is>
          <t>yuri_psychictower</t>
        </is>
      </c>
      <c r="C92" t="inlineStr">
        <is>
          <t>Psychic Tower</t>
        </is>
      </c>
      <c r="D92" t="inlineStr"/>
      <c r="E92" s="5" t="n">
        <v>150000</v>
      </c>
      <c r="F92" s="5" t="n">
        <v>100</v>
      </c>
      <c r="G92" t="inlineStr">
        <is>
          <t>Steel</t>
        </is>
      </c>
      <c r="H92" s="5" t="n">
        <v>1</v>
      </c>
      <c r="I92" s="5" t="n">
        <v>1</v>
      </c>
      <c r="J92" s="5" t="n">
        <v>1</v>
      </c>
      <c r="O92">
        <f>MAX(O93)</f>
        <v/>
      </c>
      <c r="R92">
        <f>R93</f>
        <v/>
      </c>
      <c r="S92">
        <f>(E92/100000+F92/100+(O92/1000)*J92/5+R92/200)*200*I92*H92</f>
        <v/>
      </c>
      <c r="T92">
        <f>((E92*F92/25000)+((O92/1000)*J92*R92/2.5))*I92*H92</f>
        <v/>
      </c>
      <c r="U92">
        <f>(E92*F92*(O92/1000)*J92*R92*I92*H92)/12500000</f>
        <v/>
      </c>
      <c r="V92">
        <f>(S92+T92+U92)/3</f>
        <v/>
      </c>
      <c r="W92" s="5" t="n">
        <v>2000</v>
      </c>
      <c r="X92">
        <f>IFERROR(V92-W92,"")</f>
        <v/>
      </c>
      <c r="Y92">
        <f>IFERROR(ABS(X92)/MAX(W92,1),"")</f>
        <v/>
      </c>
      <c r="Z92">
        <f>IFERROR((W92-(((E92/100000+F92/100+R92/200)*200*I92*H92)+((E92*F92/25000)*I92*H92))/3)/(((J92/5)*200*I92*H92)+((J92*R92/2.5)*I92*H92)+((E92*F92*J92*R92*I92*H92)/12500000))/3*1000,"")</f>
        <v/>
      </c>
    </row>
    <row r="93">
      <c r="B93" s="6" t="inlineStr">
        <is>
          <t xml:space="preserve">  ↳ RA2TMindControl</t>
        </is>
      </c>
      <c r="C93" s="6" t="inlineStr">
        <is>
          <t>Armament@CONTROL</t>
        </is>
      </c>
      <c r="K93" s="5" t="n">
        <v>0</v>
      </c>
      <c r="L93" s="5" t="n">
        <v>75</v>
      </c>
      <c r="M93" s="5" t="n">
        <v>1</v>
      </c>
      <c r="N93" s="5" t="n"/>
      <c r="O93" s="5" t="n">
        <v>8000</v>
      </c>
      <c r="P93" s="5" t="n">
        <v>1</v>
      </c>
      <c r="Q93">
        <f>L93+IF(M93&gt;1,N(N93)*(M93-1),0)</f>
        <v/>
      </c>
      <c r="R93">
        <f>IFERROR(K93*MAX(M93,1)/Q93*P93,0)</f>
        <v/>
      </c>
      <c r="AA93" s="6" t="inlineStr">
        <is>
          <t>RA2MindControl</t>
        </is>
      </c>
    </row>
    <row r="94">
      <c r="A94" t="inlineStr">
        <is>
          <t>redalert2</t>
        </is>
      </c>
      <c r="B94" t="inlineStr">
        <is>
          <t>yuri_slaveminer_2</t>
        </is>
      </c>
      <c r="C94" t="inlineStr">
        <is>
          <t>Slave Miner</t>
        </is>
      </c>
      <c r="D94" t="inlineStr"/>
      <c r="E94" s="5" t="n">
        <v>200000</v>
      </c>
      <c r="F94" s="5" t="n">
        <v>100</v>
      </c>
      <c r="G94" t="inlineStr">
        <is>
          <t>Heavy</t>
        </is>
      </c>
      <c r="H94" s="5" t="n">
        <v>1</v>
      </c>
      <c r="I94" s="5" t="n">
        <v>1</v>
      </c>
      <c r="J94" s="5" t="n">
        <v>1</v>
      </c>
      <c r="O94">
        <f>MAX(O95)</f>
        <v/>
      </c>
      <c r="R94">
        <f>R95</f>
        <v/>
      </c>
      <c r="S94">
        <f>(E94/100000+F94/100+(O94/1000)*J94/5+R94/200)*200*I94*H94</f>
        <v/>
      </c>
      <c r="T94">
        <f>((E94*F94/25000)+((O94/1000)*J94*R94/2.5))*I94*H94</f>
        <v/>
      </c>
      <c r="U94">
        <f>(E94*F94*(O94/1000)*J94*R94*I94*H94)/12500000</f>
        <v/>
      </c>
      <c r="V94">
        <f>(S94+T94+U94)/3</f>
        <v/>
      </c>
      <c r="W94" s="5" t="n">
        <v>2000</v>
      </c>
      <c r="X94">
        <f>IFERROR(V94-W94,"")</f>
        <v/>
      </c>
      <c r="Y94">
        <f>IFERROR(ABS(X94)/MAX(W94,1),"")</f>
        <v/>
      </c>
      <c r="Z94">
        <f>IFERROR((W94-(((E94/100000+F94/100+R94/200)*200*I94*H94)+((E94*F94/25000)*I94*H94))/3)/(((J94/5)*200*I94*H94)+((J94*R94/2.5)*I94*H94)+((E94*F94*J94*R94*I94*H94)/12500000))/3*1000,"")</f>
        <v/>
      </c>
    </row>
    <row r="95">
      <c r="B95" s="6" t="inlineStr">
        <is>
          <t xml:space="preserve">  ↳ RA220mmrapid</t>
        </is>
      </c>
      <c r="C95" s="6" t="inlineStr">
        <is>
          <t>Armament</t>
        </is>
      </c>
      <c r="K95" s="5" t="n">
        <v>4000</v>
      </c>
      <c r="L95" s="5" t="n">
        <v>15</v>
      </c>
      <c r="M95" s="5" t="n">
        <v>1</v>
      </c>
      <c r="N95" s="5" t="n"/>
      <c r="O95" s="5" t="n">
        <v>5000</v>
      </c>
      <c r="P95" s="5" t="n">
        <v>1</v>
      </c>
      <c r="Q95">
        <f>L95+IF(M95&gt;1,N(N95)*(M95-1),0)</f>
        <v/>
      </c>
      <c r="R95">
        <f>IFERROR(K95*MAX(M95,1)/Q95*P95,0)</f>
        <v/>
      </c>
      <c r="AA95" s="6" t="inlineStr">
        <is>
          <t>^RA2SmallArms, ^RA2Chaingun</t>
        </is>
      </c>
    </row>
    <row r="96">
      <c r="A96" t="inlineStr">
        <is>
          <t>redalert2</t>
        </is>
      </c>
      <c r="B96" t="inlineStr">
        <is>
          <t>yuri_tankbunker</t>
        </is>
      </c>
      <c r="C96" t="inlineStr">
        <is>
          <t>Tank Bunker</t>
        </is>
      </c>
      <c r="D96" t="inlineStr"/>
      <c r="E96" s="5" t="n">
        <v>100000</v>
      </c>
      <c r="F96" s="5" t="n">
        <v>100</v>
      </c>
      <c r="G96" t="inlineStr">
        <is>
          <t>Steel</t>
        </is>
      </c>
      <c r="H96" s="5" t="n">
        <v>1</v>
      </c>
      <c r="I96" s="5" t="n">
        <v>1</v>
      </c>
      <c r="J96" s="5" t="n">
        <v>1</v>
      </c>
      <c r="W96" s="5" t="n">
        <v>1000</v>
      </c>
    </row>
    <row r="97">
      <c r="A97" s="3" t="inlineStr">
        <is>
          <t>BUILDINGS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>
      <c r="A98" t="inlineStr">
        <is>
          <t>redalert2</t>
        </is>
      </c>
      <c r="B98" t="inlineStr">
        <is>
          <t>yuri_barracks</t>
        </is>
      </c>
      <c r="C98" t="inlineStr">
        <is>
          <t>Yuri Barracks</t>
        </is>
      </c>
      <c r="D98" t="inlineStr"/>
      <c r="E98" s="5" t="n">
        <v>200000</v>
      </c>
      <c r="F98" s="5" t="n"/>
      <c r="G98" t="inlineStr">
        <is>
          <t>Wood</t>
        </is>
      </c>
      <c r="H98" s="5" t="n">
        <v>1</v>
      </c>
      <c r="I98" s="5" t="n">
        <v>1</v>
      </c>
      <c r="J98" s="5" t="n">
        <v>1</v>
      </c>
      <c r="W98" s="5" t="n">
        <v>1000</v>
      </c>
    </row>
    <row r="99">
      <c r="A99" t="inlineStr">
        <is>
          <t>redalert2</t>
        </is>
      </c>
      <c r="B99" t="inlineStr">
        <is>
          <t>yuri_battlelab</t>
        </is>
      </c>
      <c r="C99" t="inlineStr">
        <is>
          <t>Yuri Battle Lab</t>
        </is>
      </c>
      <c r="D99" t="inlineStr"/>
      <c r="E99" s="5" t="n">
        <v>500000</v>
      </c>
      <c r="F99" s="5" t="n"/>
      <c r="G99" t="inlineStr">
        <is>
          <t>Concrete</t>
        </is>
      </c>
      <c r="H99" s="5" t="n">
        <v>1</v>
      </c>
      <c r="I99" s="5" t="n">
        <v>1</v>
      </c>
      <c r="J99" s="5" t="n">
        <v>1</v>
      </c>
      <c r="W99" s="5" t="n">
        <v>5000</v>
      </c>
    </row>
    <row r="100">
      <c r="A100" t="inlineStr">
        <is>
          <t>redalert2</t>
        </is>
      </c>
      <c r="B100" t="inlineStr">
        <is>
          <t>yuri_bioreactor</t>
        </is>
      </c>
      <c r="C100" t="inlineStr">
        <is>
          <t>Bio Reactor</t>
        </is>
      </c>
      <c r="D100" t="inlineStr"/>
      <c r="E100" s="5" t="n">
        <v>125000</v>
      </c>
      <c r="F100" s="5" t="n"/>
      <c r="G100" t="inlineStr">
        <is>
          <t>Wood</t>
        </is>
      </c>
      <c r="H100" s="5" t="n">
        <v>1</v>
      </c>
      <c r="I100" s="5" t="n">
        <v>1</v>
      </c>
      <c r="J100" s="5" t="n">
        <v>1</v>
      </c>
      <c r="W100" s="5" t="n">
        <v>600</v>
      </c>
    </row>
    <row r="101">
      <c r="A101" t="inlineStr">
        <is>
          <t>redalert2</t>
        </is>
      </c>
      <c r="B101" t="inlineStr">
        <is>
          <t>yuri_cloningvats</t>
        </is>
      </c>
      <c r="C101" t="inlineStr">
        <is>
          <t>Yuri Cloning Vats</t>
        </is>
      </c>
      <c r="D101" t="inlineStr"/>
      <c r="E101" s="5" t="n">
        <v>500000</v>
      </c>
      <c r="F101" s="5" t="n"/>
      <c r="G101" t="inlineStr">
        <is>
          <t>Concrete</t>
        </is>
      </c>
      <c r="H101" s="5" t="n">
        <v>1</v>
      </c>
      <c r="I101" s="5" t="n">
        <v>1</v>
      </c>
      <c r="J101" s="5" t="n">
        <v>1</v>
      </c>
      <c r="W101" s="5" t="n">
        <v>5000</v>
      </c>
    </row>
    <row r="102">
      <c r="A102" t="inlineStr">
        <is>
          <t>redalert2</t>
        </is>
      </c>
      <c r="B102" t="inlineStr">
        <is>
          <t>yuri_constructionyard</t>
        </is>
      </c>
      <c r="C102" t="inlineStr">
        <is>
          <t>Yuri Construction Yard</t>
        </is>
      </c>
      <c r="D102" t="inlineStr"/>
      <c r="E102" s="5" t="n">
        <v>1000000</v>
      </c>
      <c r="F102" s="5" t="n"/>
      <c r="G102" t="inlineStr">
        <is>
          <t>Concrete</t>
        </is>
      </c>
      <c r="H102" s="5" t="n">
        <v>1</v>
      </c>
      <c r="I102" s="5" t="n">
        <v>1</v>
      </c>
      <c r="J102" s="5" t="n">
        <v>1</v>
      </c>
      <c r="W102" s="5" t="n">
        <v>5000</v>
      </c>
    </row>
    <row r="103">
      <c r="A103" t="inlineStr">
        <is>
          <t>redalert2</t>
        </is>
      </c>
      <c r="B103" t="inlineStr">
        <is>
          <t>yuri_grinder</t>
        </is>
      </c>
      <c r="C103" t="inlineStr">
        <is>
          <t>Grinder</t>
        </is>
      </c>
      <c r="D103" t="inlineStr"/>
      <c r="E103" s="5" t="n">
        <v>200000</v>
      </c>
      <c r="F103" s="5" t="n"/>
      <c r="G103" t="inlineStr">
        <is>
          <t>Concrete</t>
        </is>
      </c>
      <c r="H103" s="5" t="n">
        <v>1</v>
      </c>
      <c r="I103" s="5" t="n">
        <v>1</v>
      </c>
      <c r="J103" s="5" t="n">
        <v>1</v>
      </c>
      <c r="W103" s="5" t="n">
        <v>1000</v>
      </c>
    </row>
    <row r="104">
      <c r="A104" t="inlineStr">
        <is>
          <t>redalert2</t>
        </is>
      </c>
      <c r="B104" t="inlineStr">
        <is>
          <t>yuri_lunarcommandcenter</t>
        </is>
      </c>
      <c r="C104" t="inlineStr">
        <is>
          <t>Lunar Command Center</t>
        </is>
      </c>
      <c r="D104" t="inlineStr"/>
      <c r="E104" s="5" t="n">
        <v>500000</v>
      </c>
      <c r="F104" s="5" t="n"/>
      <c r="G104" t="inlineStr">
        <is>
          <t>Concrete</t>
        </is>
      </c>
      <c r="H104" s="5" t="n">
        <v>1</v>
      </c>
      <c r="I104" s="5" t="n">
        <v>1</v>
      </c>
      <c r="J104" s="5" t="n">
        <v>1</v>
      </c>
      <c r="W104" s="5" t="n">
        <v>5000</v>
      </c>
    </row>
    <row r="105">
      <c r="A105" t="inlineStr">
        <is>
          <t>redalert2</t>
        </is>
      </c>
      <c r="B105" t="inlineStr">
        <is>
          <t>yuri_psychicsensor</t>
        </is>
      </c>
      <c r="C105" t="inlineStr">
        <is>
          <t>Psychic Sensor</t>
        </is>
      </c>
      <c r="D105" t="inlineStr"/>
      <c r="E105" s="5" t="n">
        <v>250000</v>
      </c>
      <c r="F105" s="5" t="n"/>
      <c r="G105" t="inlineStr">
        <is>
          <t>Wood</t>
        </is>
      </c>
      <c r="H105" s="5" t="n">
        <v>1</v>
      </c>
      <c r="I105" s="5" t="n">
        <v>1</v>
      </c>
      <c r="J105" s="5" t="n">
        <v>1</v>
      </c>
      <c r="W105" s="5" t="n">
        <v>2500</v>
      </c>
    </row>
    <row r="106">
      <c r="A106" t="inlineStr">
        <is>
          <t>redalert2</t>
        </is>
      </c>
      <c r="B106" t="inlineStr">
        <is>
          <t>yuri_warfactory</t>
        </is>
      </c>
      <c r="C106" t="inlineStr">
        <is>
          <t>Yuri War Factory</t>
        </is>
      </c>
      <c r="D106" t="inlineStr"/>
      <c r="E106" s="5" t="n">
        <v>400000</v>
      </c>
      <c r="F106" s="5" t="n"/>
      <c r="G106" t="inlineStr">
        <is>
          <t>Concrete</t>
        </is>
      </c>
      <c r="H106" s="5" t="n">
        <v>1</v>
      </c>
      <c r="I106" s="5" t="n">
        <v>1</v>
      </c>
      <c r="J106" s="5" t="n">
        <v>1</v>
      </c>
      <c r="W106" s="5" t="n">
        <v>2000</v>
      </c>
    </row>
    <row r="107">
      <c r="A107" s="3" t="inlineStr">
        <is>
          <t>UPGRADES</t>
        </is>
      </c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</row>
    <row r="108">
      <c r="A108" t="inlineStr">
        <is>
          <t>redalert2</t>
        </is>
      </c>
      <c r="B108" t="inlineStr">
        <is>
          <t>yuri_doctrine_chaosgasemitters</t>
        </is>
      </c>
      <c r="C108" t="inlineStr">
        <is>
          <t>Chaos Gas Emitters</t>
        </is>
      </c>
      <c r="D108" t="inlineStr"/>
      <c r="E108" s="5" t="n"/>
      <c r="F108" s="5" t="n"/>
      <c r="H108" s="5" t="n">
        <v>1</v>
      </c>
      <c r="I108" s="5" t="n">
        <v>1</v>
      </c>
      <c r="J108" s="5" t="n">
        <v>1</v>
      </c>
      <c r="W108" s="5" t="n">
        <v>5000</v>
      </c>
    </row>
    <row r="109">
      <c r="A109" t="inlineStr">
        <is>
          <t>redalert2</t>
        </is>
      </c>
      <c r="B109" t="inlineStr">
        <is>
          <t>yuri_doctrine_lasherhecannon</t>
        </is>
      </c>
      <c r="C109" t="inlineStr">
        <is>
          <t>Lasher HE Cannon</t>
        </is>
      </c>
      <c r="D109" t="inlineStr"/>
      <c r="E109" s="5" t="n"/>
      <c r="F109" s="5" t="n"/>
      <c r="H109" s="5" t="n">
        <v>1</v>
      </c>
      <c r="I109" s="5" t="n">
        <v>1</v>
      </c>
      <c r="J109" s="5" t="n">
        <v>1</v>
      </c>
      <c r="W109" s="5" t="n">
        <v>5000</v>
      </c>
    </row>
    <row r="110">
      <c r="A110" t="inlineStr">
        <is>
          <t>redalert2</t>
        </is>
      </c>
      <c r="B110" t="inlineStr">
        <is>
          <t>yuri_doctrine_lasherlasercannon</t>
        </is>
      </c>
      <c r="C110" t="inlineStr">
        <is>
          <t>Lasher Laser Cannon</t>
        </is>
      </c>
      <c r="D110" t="inlineStr"/>
      <c r="E110" s="5" t="n"/>
      <c r="F110" s="5" t="n"/>
      <c r="H110" s="5" t="n">
        <v>1</v>
      </c>
      <c r="I110" s="5" t="n">
        <v>1</v>
      </c>
      <c r="J110" s="5" t="n">
        <v>1</v>
      </c>
      <c r="W110" s="5" t="n">
        <v>5000</v>
      </c>
    </row>
    <row r="111">
      <c r="A111" t="inlineStr">
        <is>
          <t>redalert2</t>
        </is>
      </c>
      <c r="B111" t="inlineStr">
        <is>
          <t>yuri_doctrine_lashertoxicgasshells</t>
        </is>
      </c>
      <c r="C111" t="inlineStr">
        <is>
          <t>Lasher Toxic Gas Shells</t>
        </is>
      </c>
      <c r="D111" t="inlineStr"/>
      <c r="E111" s="5" t="n"/>
      <c r="F111" s="5" t="n"/>
      <c r="H111" s="5" t="n">
        <v>1</v>
      </c>
      <c r="I111" s="5" t="n">
        <v>1</v>
      </c>
      <c r="J111" s="5" t="n">
        <v>1</v>
      </c>
      <c r="W111" s="5" t="n">
        <v>5000</v>
      </c>
    </row>
    <row r="112">
      <c r="A112" t="inlineStr">
        <is>
          <t>redalert2</t>
        </is>
      </c>
      <c r="B112" t="inlineStr">
        <is>
          <t>yuri_doctrine_psionicelite</t>
        </is>
      </c>
      <c r="C112" t="inlineStr">
        <is>
          <t>Psionic Elite</t>
        </is>
      </c>
      <c r="D112" t="inlineStr"/>
      <c r="E112" s="5" t="n"/>
      <c r="F112" s="5" t="n"/>
      <c r="H112" s="5" t="n">
        <v>1</v>
      </c>
      <c r="I112" s="5" t="n">
        <v>1</v>
      </c>
      <c r="J112" s="5" t="n">
        <v>1</v>
      </c>
      <c r="W112" s="5" t="n">
        <v>5000</v>
      </c>
    </row>
    <row r="113">
      <c r="A113" t="inlineStr">
        <is>
          <t>redalert2</t>
        </is>
      </c>
      <c r="B113" t="inlineStr">
        <is>
          <t>yuri_doctrine_psionicfanatics</t>
        </is>
      </c>
      <c r="C113" t="inlineStr">
        <is>
          <t>Psionic Fanatics</t>
        </is>
      </c>
      <c r="D113" t="inlineStr"/>
      <c r="E113" s="5" t="n"/>
      <c r="F113" s="5" t="n"/>
      <c r="H113" s="5" t="n">
        <v>1</v>
      </c>
      <c r="I113" s="5" t="n">
        <v>1</v>
      </c>
      <c r="J113" s="5" t="n">
        <v>1</v>
      </c>
      <c r="W113" s="5" t="n">
        <v>5000</v>
      </c>
    </row>
    <row r="114">
      <c r="A114" t="inlineStr">
        <is>
          <t>redalert2</t>
        </is>
      </c>
      <c r="B114" t="inlineStr">
        <is>
          <t>yuri_doctrine_psioniclegion</t>
        </is>
      </c>
      <c r="C114" t="inlineStr">
        <is>
          <t>Psionic Legion</t>
        </is>
      </c>
      <c r="D114" t="inlineStr"/>
      <c r="E114" s="5" t="n"/>
      <c r="F114" s="5" t="n"/>
      <c r="H114" s="5" t="n">
        <v>1</v>
      </c>
      <c r="I114" s="5" t="n">
        <v>1</v>
      </c>
      <c r="J114" s="5" t="n">
        <v>1</v>
      </c>
      <c r="W114" s="5" t="n">
        <v>5000</v>
      </c>
    </row>
    <row r="115">
      <c r="A115" t="inlineStr">
        <is>
          <t>redalert2</t>
        </is>
      </c>
      <c r="B115" t="inlineStr">
        <is>
          <t>yuri_doctrine_psionicvehicleshields</t>
        </is>
      </c>
      <c r="C115" t="inlineStr">
        <is>
          <t>Psionic Vehicle Shields</t>
        </is>
      </c>
      <c r="D115" t="inlineStr"/>
      <c r="E115" s="5" t="n"/>
      <c r="F115" s="5" t="n"/>
      <c r="H115" s="5" t="n">
        <v>1</v>
      </c>
      <c r="I115" s="5" t="n">
        <v>1</v>
      </c>
      <c r="J115" s="5" t="n">
        <v>1</v>
      </c>
      <c r="W115" s="5" t="n">
        <v>5000</v>
      </c>
    </row>
    <row r="116">
      <c r="A116" t="inlineStr">
        <is>
          <t>redalert2</t>
        </is>
      </c>
      <c r="B116" t="inlineStr">
        <is>
          <t>yuri_doctrine_scrapvehiclearmor</t>
        </is>
      </c>
      <c r="C116" t="inlineStr">
        <is>
          <t>Scrap Vehicle Armor</t>
        </is>
      </c>
      <c r="D116" t="inlineStr"/>
      <c r="E116" s="5" t="n"/>
      <c r="F116" s="5" t="n"/>
      <c r="H116" s="5" t="n">
        <v>1</v>
      </c>
      <c r="I116" s="5" t="n">
        <v>1</v>
      </c>
      <c r="J116" s="5" t="n">
        <v>1</v>
      </c>
      <c r="W116" s="5" t="n">
        <v>5000</v>
      </c>
    </row>
    <row r="117">
      <c r="A117" t="inlineStr">
        <is>
          <t>redalert2</t>
        </is>
      </c>
      <c r="B117" t="inlineStr">
        <is>
          <t>yuri_upgrade_bioengineering</t>
        </is>
      </c>
      <c r="C117" t="inlineStr">
        <is>
          <t>Bio Engineering</t>
        </is>
      </c>
      <c r="D117" t="inlineStr"/>
      <c r="E117" s="5" t="n"/>
      <c r="F117" s="5" t="n"/>
      <c r="H117" s="5" t="n">
        <v>1</v>
      </c>
      <c r="I117" s="5" t="n">
        <v>1</v>
      </c>
      <c r="J117" s="5" t="n">
        <v>1</v>
      </c>
      <c r="W117" s="5" t="n">
        <v>2500</v>
      </c>
    </row>
    <row r="118">
      <c r="A118" t="inlineStr">
        <is>
          <t>redalert2</t>
        </is>
      </c>
      <c r="B118" t="inlineStr">
        <is>
          <t>yuri_upgrade_bioreactorefficiency</t>
        </is>
      </c>
      <c r="C118" t="inlineStr">
        <is>
          <t>Bio Reactor Efficiency</t>
        </is>
      </c>
      <c r="D118" t="inlineStr"/>
      <c r="E118" s="5" t="n"/>
      <c r="F118" s="5" t="n"/>
      <c r="H118" s="5" t="n">
        <v>1</v>
      </c>
      <c r="I118" s="5" t="n">
        <v>1</v>
      </c>
      <c r="J118" s="5" t="n">
        <v>1</v>
      </c>
      <c r="W118" s="5" t="n">
        <v>2500</v>
      </c>
    </row>
    <row r="119">
      <c r="A119" t="inlineStr">
        <is>
          <t>redalert2</t>
        </is>
      </c>
      <c r="B119" t="inlineStr">
        <is>
          <t>yuri_upgrade_brutestrengthmutations</t>
        </is>
      </c>
      <c r="C119" t="inlineStr">
        <is>
          <t>Brute Strength Mutations</t>
        </is>
      </c>
      <c r="D119" t="inlineStr"/>
      <c r="E119" s="5" t="n"/>
      <c r="F119" s="5" t="n"/>
      <c r="H119" s="5" t="n">
        <v>1</v>
      </c>
      <c r="I119" s="5" t="n">
        <v>1</v>
      </c>
      <c r="J119" s="5" t="n">
        <v>1</v>
      </c>
      <c r="W119" s="5" t="n">
        <v>2500</v>
      </c>
    </row>
    <row r="120">
      <c r="A120" t="inlineStr">
        <is>
          <t>redalert2</t>
        </is>
      </c>
      <c r="B120" t="inlineStr">
        <is>
          <t>yuri_upgrade_corrosiveammo</t>
        </is>
      </c>
      <c r="C120" t="inlineStr">
        <is>
          <t>Corrosive Ammo</t>
        </is>
      </c>
      <c r="D120" t="inlineStr"/>
      <c r="E120" s="5" t="n"/>
      <c r="F120" s="5" t="n"/>
      <c r="H120" s="5" t="n">
        <v>1</v>
      </c>
      <c r="I120" s="5" t="n">
        <v>1</v>
      </c>
      <c r="J120" s="5" t="n">
        <v>1</v>
      </c>
      <c r="W120" s="5" t="n">
        <v>2500</v>
      </c>
    </row>
    <row r="121">
      <c r="A121" t="inlineStr">
        <is>
          <t>redalert2</t>
        </is>
      </c>
      <c r="B121" t="inlineStr">
        <is>
          <t>yuri_upgrade_diskhighfrequencylasers</t>
        </is>
      </c>
      <c r="C121" t="inlineStr">
        <is>
          <t>Disk High Frequency Lasers</t>
        </is>
      </c>
      <c r="D121" t="inlineStr"/>
      <c r="E121" s="5" t="n"/>
      <c r="F121" s="5" t="n"/>
      <c r="H121" s="5" t="n">
        <v>1</v>
      </c>
      <c r="I121" s="5" t="n">
        <v>1</v>
      </c>
      <c r="J121" s="5" t="n">
        <v>1</v>
      </c>
      <c r="W121" s="5" t="n">
        <v>5000</v>
      </c>
    </row>
    <row r="122">
      <c r="A122" t="inlineStr">
        <is>
          <t>redalert2</t>
        </is>
      </c>
      <c r="B122" t="inlineStr">
        <is>
          <t>yuri_upgrade_disksiphonattack</t>
        </is>
      </c>
      <c r="C122" t="inlineStr">
        <is>
          <t>Disk Siphon Attack</t>
        </is>
      </c>
      <c r="D122" t="inlineStr"/>
      <c r="E122" s="5" t="n"/>
      <c r="F122" s="5" t="n"/>
      <c r="H122" s="5" t="n">
        <v>1</v>
      </c>
      <c r="I122" s="5" t="n">
        <v>1</v>
      </c>
      <c r="J122" s="5" t="n">
        <v>1</v>
      </c>
      <c r="W122" s="5" t="n">
        <v>5000</v>
      </c>
    </row>
    <row r="123">
      <c r="A123" t="inlineStr">
        <is>
          <t>redalert2</t>
        </is>
      </c>
      <c r="B123" t="inlineStr">
        <is>
          <t>yuri_upgrade_domination</t>
        </is>
      </c>
      <c r="C123" t="inlineStr">
        <is>
          <t>Domination</t>
        </is>
      </c>
      <c r="D123" t="inlineStr"/>
      <c r="E123" s="5" t="n"/>
      <c r="F123" s="5" t="n"/>
      <c r="H123" s="5" t="n">
        <v>1</v>
      </c>
      <c r="I123" s="5" t="n">
        <v>1</v>
      </c>
      <c r="J123" s="5" t="n">
        <v>1</v>
      </c>
      <c r="W123" s="5" t="n">
        <v>2500</v>
      </c>
    </row>
    <row r="124">
      <c r="A124" t="inlineStr">
        <is>
          <t>redalert2</t>
        </is>
      </c>
      <c r="B124" t="inlineStr">
        <is>
          <t>yuri_upgrade_gatlingfirepowerupgrade</t>
        </is>
      </c>
      <c r="C124" t="inlineStr">
        <is>
          <t>Gatling Firepower Upgrade</t>
        </is>
      </c>
      <c r="D124" t="inlineStr"/>
      <c r="E124" s="5" t="n"/>
      <c r="F124" s="5" t="n"/>
      <c r="H124" s="5" t="n">
        <v>1</v>
      </c>
      <c r="I124" s="5" t="n">
        <v>1</v>
      </c>
      <c r="J124" s="5" t="n">
        <v>1</v>
      </c>
      <c r="W124" s="5" t="n">
        <v>2500</v>
      </c>
    </row>
    <row r="125">
      <c r="A125" t="inlineStr">
        <is>
          <t>redalert2</t>
        </is>
      </c>
      <c r="B125" t="inlineStr">
        <is>
          <t>yuri_upgrade_gatlingspeedupgrade</t>
        </is>
      </c>
      <c r="C125" t="inlineStr">
        <is>
          <t>Gatling Speed Upgrade</t>
        </is>
      </c>
      <c r="D125" t="inlineStr"/>
      <c r="E125" s="5" t="n"/>
      <c r="F125" s="5" t="n"/>
      <c r="H125" s="5" t="n">
        <v>1</v>
      </c>
      <c r="I125" s="5" t="n">
        <v>1</v>
      </c>
      <c r="J125" s="5" t="n">
        <v>1</v>
      </c>
      <c r="W125" s="5" t="n">
        <v>2500</v>
      </c>
    </row>
    <row r="126">
      <c r="A126" t="inlineStr">
        <is>
          <t>redalert2</t>
        </is>
      </c>
      <c r="B126" t="inlineStr">
        <is>
          <t>yuri_upgrade_geneticmodificationboost</t>
        </is>
      </c>
      <c r="C126" t="inlineStr">
        <is>
          <t>Genetic Modification Boost</t>
        </is>
      </c>
      <c r="D126" t="inlineStr"/>
      <c r="E126" s="5" t="n"/>
      <c r="F126" s="5" t="n"/>
      <c r="H126" s="5" t="n">
        <v>1</v>
      </c>
      <c r="I126" s="5" t="n">
        <v>1</v>
      </c>
      <c r="J126" s="5" t="n">
        <v>1</v>
      </c>
      <c r="W126" s="5" t="n">
        <v>7500</v>
      </c>
    </row>
    <row r="127">
      <c r="A127" t="inlineStr">
        <is>
          <t>redalert2</t>
        </is>
      </c>
      <c r="B127" t="inlineStr">
        <is>
          <t>yuri_upgrade_gravitondrive</t>
        </is>
      </c>
      <c r="C127" t="inlineStr">
        <is>
          <t>Graviton Drive</t>
        </is>
      </c>
      <c r="D127" t="inlineStr"/>
      <c r="E127" s="5" t="n"/>
      <c r="F127" s="5" t="n"/>
      <c r="H127" s="5" t="n">
        <v>1</v>
      </c>
      <c r="I127" s="5" t="n">
        <v>1</v>
      </c>
      <c r="J127" s="5" t="n">
        <v>1</v>
      </c>
      <c r="W127" s="5" t="n">
        <v>5000</v>
      </c>
    </row>
    <row r="128">
      <c r="A128" t="inlineStr">
        <is>
          <t>redalert2</t>
        </is>
      </c>
      <c r="B128" t="inlineStr">
        <is>
          <t>yuri_upgrade_infantrystealthsuits</t>
        </is>
      </c>
      <c r="C128" t="inlineStr">
        <is>
          <t>Infantry Stealth Suits</t>
        </is>
      </c>
      <c r="D128" t="inlineStr"/>
      <c r="E128" s="5" t="n"/>
      <c r="F128" s="5" t="n"/>
      <c r="H128" s="5" t="n">
        <v>1</v>
      </c>
      <c r="I128" s="5" t="n">
        <v>1</v>
      </c>
      <c r="J128" s="5" t="n">
        <v>1</v>
      </c>
      <c r="W128" s="5" t="n">
        <v>7500</v>
      </c>
    </row>
    <row r="129">
      <c r="A129" t="inlineStr">
        <is>
          <t>redalert2</t>
        </is>
      </c>
      <c r="B129" t="inlineStr">
        <is>
          <t>yuri_upgrade_initiatepowersurge</t>
        </is>
      </c>
      <c r="C129" t="inlineStr">
        <is>
          <t>Initiate Power Surge</t>
        </is>
      </c>
      <c r="D129" t="inlineStr"/>
      <c r="E129" s="5" t="n"/>
      <c r="F129" s="5" t="n"/>
      <c r="H129" s="5" t="n">
        <v>1</v>
      </c>
      <c r="I129" s="5" t="n">
        <v>1</v>
      </c>
      <c r="J129" s="5" t="n">
        <v>1</v>
      </c>
      <c r="W129" s="5" t="n">
        <v>2500</v>
      </c>
    </row>
    <row r="130">
      <c r="A130" t="inlineStr">
        <is>
          <t>redalert2</t>
        </is>
      </c>
      <c r="B130" t="inlineStr">
        <is>
          <t>yuri_upgrade_lasherarmorimprovements</t>
        </is>
      </c>
      <c r="C130" t="inlineStr">
        <is>
          <t>Lasher Armor Improvements</t>
        </is>
      </c>
      <c r="D130" t="inlineStr"/>
      <c r="E130" s="5" t="n"/>
      <c r="F130" s="5" t="n"/>
      <c r="H130" s="5" t="n">
        <v>1</v>
      </c>
      <c r="I130" s="5" t="n">
        <v>1</v>
      </c>
      <c r="J130" s="5" t="n">
        <v>1</v>
      </c>
      <c r="W130" s="5" t="n">
        <v>2500</v>
      </c>
    </row>
    <row r="131">
      <c r="A131" t="inlineStr">
        <is>
          <t>redalert2</t>
        </is>
      </c>
      <c r="B131" t="inlineStr">
        <is>
          <t>yuri_upgrade_meltingvirus</t>
        </is>
      </c>
      <c r="C131" t="inlineStr">
        <is>
          <t>Melting Virus</t>
        </is>
      </c>
      <c r="D131" t="inlineStr"/>
      <c r="E131" s="5" t="n"/>
      <c r="F131" s="5" t="n"/>
      <c r="H131" s="5" t="n">
        <v>1</v>
      </c>
      <c r="I131" s="5" t="n">
        <v>1</v>
      </c>
      <c r="J131" s="5" t="n">
        <v>1</v>
      </c>
      <c r="W131" s="5" t="n">
        <v>2500</v>
      </c>
    </row>
    <row r="132">
      <c r="A132" t="inlineStr">
        <is>
          <t>redalert2</t>
        </is>
      </c>
      <c r="B132" t="inlineStr">
        <is>
          <t>yuri_upgrade_psionicarmor</t>
        </is>
      </c>
      <c r="C132" t="inlineStr">
        <is>
          <t>Psionic Armor</t>
        </is>
      </c>
      <c r="D132" t="inlineStr"/>
      <c r="E132" s="5" t="n"/>
      <c r="F132" s="5" t="n"/>
      <c r="H132" s="5" t="n">
        <v>1</v>
      </c>
      <c r="I132" s="5" t="n">
        <v>1</v>
      </c>
      <c r="J132" s="5" t="n">
        <v>1</v>
      </c>
      <c r="W132" s="5" t="n">
        <v>7500</v>
      </c>
    </row>
    <row r="133">
      <c r="A133" t="inlineStr">
        <is>
          <t>redalert2</t>
        </is>
      </c>
      <c r="B133" t="inlineStr">
        <is>
          <t>yuri_upgrade_psionicplasmabeams</t>
        </is>
      </c>
      <c r="C133" t="inlineStr">
        <is>
          <t>Psionic Plasma Beams</t>
        </is>
      </c>
      <c r="D133" t="inlineStr"/>
      <c r="E133" s="5" t="n"/>
      <c r="F133" s="5" t="n"/>
      <c r="H133" s="5" t="n">
        <v>1</v>
      </c>
      <c r="I133" s="5" t="n">
        <v>1</v>
      </c>
      <c r="J133" s="5" t="n">
        <v>1</v>
      </c>
      <c r="W133" s="5" t="n">
        <v>7500</v>
      </c>
    </row>
    <row r="134">
      <c r="A134" t="inlineStr">
        <is>
          <t>redalert2</t>
        </is>
      </c>
      <c r="B134" t="inlineStr">
        <is>
          <t>yuri_upgrade_psychicrange</t>
        </is>
      </c>
      <c r="C134" t="inlineStr">
        <is>
          <t>Psychic Range</t>
        </is>
      </c>
      <c r="D134" t="inlineStr"/>
      <c r="E134" s="5" t="n"/>
      <c r="F134" s="5" t="n"/>
      <c r="H134" s="5" t="n">
        <v>1</v>
      </c>
      <c r="I134" s="5" t="n">
        <v>1</v>
      </c>
      <c r="J134" s="5" t="n">
        <v>1</v>
      </c>
      <c r="W134" s="5" t="n">
        <v>2500</v>
      </c>
    </row>
    <row r="135">
      <c r="A135" t="inlineStr">
        <is>
          <t>redalert2</t>
        </is>
      </c>
      <c r="B135" t="inlineStr">
        <is>
          <t>yuri_upgrade_psychicvision</t>
        </is>
      </c>
      <c r="C135" t="inlineStr">
        <is>
          <t>Psychic Vision</t>
        </is>
      </c>
      <c r="D135" t="inlineStr"/>
      <c r="E135" s="5" t="n"/>
      <c r="F135" s="5" t="n"/>
      <c r="H135" s="5" t="n">
        <v>1</v>
      </c>
      <c r="I135" s="5" t="n">
        <v>1</v>
      </c>
      <c r="J135" s="5" t="n">
        <v>1</v>
      </c>
      <c r="W135" s="5" t="n">
        <v>7500</v>
      </c>
    </row>
    <row r="136">
      <c r="A136" t="inlineStr">
        <is>
          <t>redalert2</t>
        </is>
      </c>
      <c r="B136" t="inlineStr">
        <is>
          <t>yuri_upgrade_supermagnets</t>
        </is>
      </c>
      <c r="C136" t="inlineStr">
        <is>
          <t>Super Magnets</t>
        </is>
      </c>
      <c r="D136" t="inlineStr"/>
      <c r="E136" s="5" t="n"/>
      <c r="F136" s="5" t="n"/>
      <c r="H136" s="5" t="n">
        <v>1</v>
      </c>
      <c r="I136" s="5" t="n">
        <v>1</v>
      </c>
      <c r="J136" s="5" t="n">
        <v>1</v>
      </c>
      <c r="W136" s="5" t="n">
        <v>2500</v>
      </c>
    </row>
    <row r="137">
      <c r="A137" t="inlineStr">
        <is>
          <t>redalert2</t>
        </is>
      </c>
      <c r="B137" t="inlineStr">
        <is>
          <t>yuri_upgrade_toxicengines</t>
        </is>
      </c>
      <c r="C137" t="inlineStr">
        <is>
          <t>Toxic Engines</t>
        </is>
      </c>
      <c r="D137" t="inlineStr"/>
      <c r="E137" s="5" t="n"/>
      <c r="F137" s="5" t="n"/>
      <c r="H137" s="5" t="n">
        <v>1</v>
      </c>
      <c r="I137" s="5" t="n">
        <v>1</v>
      </c>
      <c r="J137" s="5" t="n">
        <v>1</v>
      </c>
      <c r="W137" s="5" t="n">
        <v>7500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138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22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redalert2mod</t>
        </is>
      </c>
      <c r="B3" t="inlineStr">
        <is>
          <t>asianalliance_alligator</t>
        </is>
      </c>
      <c r="C3" t="inlineStr">
        <is>
          <t>Alligator</t>
        </is>
      </c>
      <c r="D3" t="inlineStr"/>
      <c r="E3" s="5" t="n">
        <v>27000</v>
      </c>
      <c r="F3" s="5" t="n">
        <v>108</v>
      </c>
      <c r="G3" t="inlineStr">
        <is>
          <t>None</t>
        </is>
      </c>
      <c r="H3" s="5" t="n">
        <v>1</v>
      </c>
      <c r="I3" s="5" t="n">
        <v>0.75</v>
      </c>
      <c r="J3" s="5" t="n">
        <v>1</v>
      </c>
      <c r="O3">
        <f>MAX(O4,O5)</f>
        <v/>
      </c>
      <c r="R3">
        <f>R4+R5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300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AsianCrocBite</t>
        </is>
      </c>
      <c r="C4" s="6" t="inlineStr">
        <is>
          <t>Armament@PRIMARY</t>
        </is>
      </c>
      <c r="K4" s="5" t="n">
        <v>16000</v>
      </c>
      <c r="L4" s="5" t="n">
        <v>39</v>
      </c>
      <c r="M4" s="5" t="n">
        <v>1</v>
      </c>
      <c r="N4" s="5" t="n"/>
      <c r="O4" s="5" t="n">
        <v>1345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^SwordWeapon</t>
        </is>
      </c>
    </row>
    <row r="5">
      <c r="B5" s="6" t="inlineStr">
        <is>
          <t xml:space="preserve">  ↳ AsianCrocBiteE</t>
        </is>
      </c>
      <c r="C5" s="6" t="inlineStr">
        <is>
          <t>Armament@ELITE</t>
        </is>
      </c>
      <c r="K5" s="5" t="n">
        <v>16000</v>
      </c>
      <c r="L5" s="5" t="n">
        <v>39</v>
      </c>
      <c r="M5" s="5" t="n">
        <v>2</v>
      </c>
      <c r="N5" s="5" t="n">
        <v>3</v>
      </c>
      <c r="O5" s="5" t="n">
        <v>1345</v>
      </c>
      <c r="P5" s="5" t="n">
        <v>1</v>
      </c>
      <c r="Q5">
        <f>L5+IF(M5&gt;1,N(N5)*(M5-1),0)</f>
        <v/>
      </c>
      <c r="R5">
        <f>IFERROR(K5*MAX(M5,1)/Q5*P5,0)</f>
        <v/>
      </c>
      <c r="AA5" s="6" t="inlineStr">
        <is>
          <t>^SwordWeapon</t>
        </is>
      </c>
    </row>
    <row r="6">
      <c r="A6" t="inlineStr">
        <is>
          <t>redalert2mod</t>
        </is>
      </c>
      <c r="B6" t="inlineStr">
        <is>
          <t>asianalliance_asdf</t>
        </is>
      </c>
      <c r="C6" t="inlineStr">
        <is>
          <t>ASDF</t>
        </is>
      </c>
      <c r="D6" t="inlineStr"/>
      <c r="E6" s="5" t="n">
        <v>40000</v>
      </c>
      <c r="F6" s="5" t="n">
        <v>60</v>
      </c>
      <c r="G6" t="inlineStr">
        <is>
          <t>Flak</t>
        </is>
      </c>
      <c r="H6" s="5" t="n">
        <v>1</v>
      </c>
      <c r="I6" s="5" t="n">
        <v>0.75</v>
      </c>
      <c r="J6" s="5" t="n">
        <v>1.25</v>
      </c>
      <c r="O6">
        <f>MAX(O7,O8,O9)</f>
        <v/>
      </c>
      <c r="R6">
        <f>R7+R8+R9</f>
        <v/>
      </c>
      <c r="S6">
        <f>(E6/100000+F6/100+(O6/1000)*J6/5+R6/200)*200*I6*H6</f>
        <v/>
      </c>
      <c r="T6">
        <f>((E6*F6/25000)+((O6/1000)*J6*R6/2.5))*I6*H6</f>
        <v/>
      </c>
      <c r="U6">
        <f>(E6*F6*(O6/1000)*J6*R6*I6*H6)/12500000</f>
        <v/>
      </c>
      <c r="V6">
        <f>(S6+T6+U6)/3</f>
        <v/>
      </c>
      <c r="W6" s="5" t="n">
        <v>1000</v>
      </c>
      <c r="X6">
        <f>IFERROR(V6-W6,"")</f>
        <v/>
      </c>
      <c r="Y6">
        <f>IFERROR(ABS(X6)/MAX(W6,1),"")</f>
        <v/>
      </c>
      <c r="Z6">
        <f>IFERROR((W6-(((E6/100000+F6/100+R6/200)*200*I6*H6)+((E6*F6/25000)*I6*H6))/3)/(((J6/5)*200*I6*H6)+((J6*R6/2.5)*I6*H6)+((E6*F6*J6*R6*I6*H6)/12500000))/3*1000,"")</f>
        <v/>
      </c>
    </row>
    <row r="7">
      <c r="B7" s="6" t="inlineStr">
        <is>
          <t xml:space="preserve">  ↳ ASDFGun</t>
        </is>
      </c>
      <c r="C7" s="6" t="inlineStr">
        <is>
          <t>Armament@PRIMARY</t>
        </is>
      </c>
      <c r="K7" s="5" t="n">
        <v>2000</v>
      </c>
      <c r="L7" s="5" t="n">
        <v>16</v>
      </c>
      <c r="M7" s="5" t="n">
        <v>3</v>
      </c>
      <c r="N7" s="5" t="n">
        <v>2</v>
      </c>
      <c r="O7" s="5" t="n">
        <v>7250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^RA2SmallArms, ^RA2Chaingun</t>
        </is>
      </c>
    </row>
    <row r="8">
      <c r="B8" s="6" t="inlineStr">
        <is>
          <t xml:space="preserve">  ↳ ASDFGun2</t>
        </is>
      </c>
      <c r="C8" s="6" t="inlineStr">
        <is>
          <t>Armament@Upgrade</t>
        </is>
      </c>
      <c r="K8" s="5" t="n">
        <v>2000</v>
      </c>
      <c r="L8" s="5" t="n">
        <v>16</v>
      </c>
      <c r="M8" s="5" t="n">
        <v>3</v>
      </c>
      <c r="N8" s="5" t="n">
        <v>2</v>
      </c>
      <c r="O8" s="5" t="n">
        <v>7250</v>
      </c>
      <c r="P8" s="5" t="n">
        <v>1</v>
      </c>
      <c r="Q8">
        <f>L8+IF(M8&gt;1,N(N8)*(M8-1),0)</f>
        <v/>
      </c>
      <c r="R8">
        <f>IFERROR(K8*MAX(M8,1)/Q8*P8,0)</f>
        <v/>
      </c>
      <c r="AA8" s="6" t="inlineStr">
        <is>
          <t>^RailgunWeapon, ^RA2SmallArms, ^RA2Chaingun</t>
        </is>
      </c>
    </row>
    <row r="9">
      <c r="B9" s="6" t="inlineStr">
        <is>
          <t xml:space="preserve">  ↳ ASDFKamikazeTargeting</t>
        </is>
      </c>
      <c r="C9" s="6" t="inlineStr">
        <is>
          <t>Armament@SECONDARY</t>
        </is>
      </c>
      <c r="K9" s="5" t="n"/>
      <c r="L9" s="5" t="n">
        <v>100</v>
      </c>
      <c r="M9" s="5" t="n">
        <v>1</v>
      </c>
      <c r="N9" s="5" t="n"/>
      <c r="O9" s="5" t="n">
        <v>7250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/>
    </row>
    <row r="10">
      <c r="B10" s="6" t="inlineStr">
        <is>
          <t xml:space="preserve">  ↳ ASDFGun</t>
        </is>
      </c>
      <c r="C10" s="6" t="inlineStr">
        <is>
          <t>Armament@GARRISONED</t>
        </is>
      </c>
      <c r="K10" s="5" t="n">
        <v>2000</v>
      </c>
      <c r="L10" s="5" t="n">
        <v>16</v>
      </c>
      <c r="M10" s="5" t="n">
        <v>3</v>
      </c>
      <c r="N10" s="5" t="n">
        <v>2</v>
      </c>
      <c r="O10" s="5" t="n">
        <v>7250</v>
      </c>
      <c r="P10" s="5" t="n">
        <v>1</v>
      </c>
      <c r="Q10">
        <f>L10+IF(M10&gt;1,N(N10)*(M10-1),0)</f>
        <v/>
      </c>
      <c r="R10">
        <f>IFERROR(K10*MAX(M10,1)/Q10*P10,0)</f>
        <v/>
      </c>
      <c r="AA10" s="6" t="inlineStr">
        <is>
          <t>^RA2SmallArms, ^RA2Chaingun</t>
        </is>
      </c>
    </row>
    <row r="11">
      <c r="B11" s="6" t="inlineStr">
        <is>
          <t xml:space="preserve">  ↳ ASDFGun2</t>
        </is>
      </c>
      <c r="C11" s="6" t="inlineStr">
        <is>
          <t>Armament@UpgradeGARRISONED</t>
        </is>
      </c>
      <c r="K11" s="5" t="n">
        <v>2000</v>
      </c>
      <c r="L11" s="5" t="n">
        <v>16</v>
      </c>
      <c r="M11" s="5" t="n">
        <v>3</v>
      </c>
      <c r="N11" s="5" t="n">
        <v>2</v>
      </c>
      <c r="O11" s="5" t="n">
        <v>7250</v>
      </c>
      <c r="P11" s="5" t="n">
        <v>1</v>
      </c>
      <c r="Q11">
        <f>L11+IF(M11&gt;1,N(N11)*(M11-1),0)</f>
        <v/>
      </c>
      <c r="R11">
        <f>IFERROR(K11*MAX(M11,1)/Q11*P11,0)</f>
        <v/>
      </c>
      <c r="AA11" s="6" t="inlineStr">
        <is>
          <t>^RailgunWeapon, ^RA2SmallArms, ^RA2Chaingun</t>
        </is>
      </c>
    </row>
    <row r="12">
      <c r="A12" t="inlineStr">
        <is>
          <t>redalert2mod</t>
        </is>
      </c>
      <c r="B12" t="inlineStr">
        <is>
          <t>asianalliance_asiancommando</t>
        </is>
      </c>
      <c r="C12" t="inlineStr">
        <is>
          <t>Asian Commando</t>
        </is>
      </c>
      <c r="D12" t="inlineStr"/>
      <c r="E12" s="5" t="n">
        <v>50000</v>
      </c>
      <c r="F12" s="5" t="n">
        <v>75</v>
      </c>
      <c r="G12" t="inlineStr">
        <is>
          <t>Heroic</t>
        </is>
      </c>
      <c r="H12" s="5" t="n">
        <v>1</v>
      </c>
      <c r="I12" s="5" t="n">
        <v>1</v>
      </c>
      <c r="J12" s="5" t="n">
        <v>1</v>
      </c>
      <c r="O12">
        <f>MAX(O13,O14,O15)</f>
        <v/>
      </c>
      <c r="R12">
        <f>R13+R14+R15</f>
        <v/>
      </c>
      <c r="S12">
        <f>(E12/100000+F12/100+(O12/1000)*J12/5+R12/200)*200*I12*H12</f>
        <v/>
      </c>
      <c r="T12">
        <f>((E12*F12/25000)+((O12/1000)*J12*R12/2.5))*I12*H12</f>
        <v/>
      </c>
      <c r="U12">
        <f>(E12*F12*(O12/1000)*J12*R12*I12*H12)/12500000</f>
        <v/>
      </c>
      <c r="V12">
        <f>(S12+T12+U12)/3</f>
        <v/>
      </c>
      <c r="W12" s="5" t="n">
        <v>3000</v>
      </c>
      <c r="X12">
        <f>IFERROR(V12-W12,"")</f>
        <v/>
      </c>
      <c r="Y12">
        <f>IFERROR(ABS(X12)/MAX(W12,1),"")</f>
        <v/>
      </c>
      <c r="Z12">
        <f>IFERROR((W12-(((E12/100000+F12/100+R12/200)*200*I12*H12)+((E12*F12/25000)*I12*H12))/3)/(((J12/5)*200*I12*H12)+((J12*R12/2.5)*I12*H12)+((E12*F12*J12*R12*I12*H12)/12500000))/3*1000,"")</f>
        <v/>
      </c>
    </row>
    <row r="13">
      <c r="B13" s="6" t="inlineStr">
        <is>
          <t xml:space="preserve">  ↳ AsianSniperLockdown</t>
        </is>
      </c>
      <c r="C13" s="6" t="inlineStr">
        <is>
          <t>Armament@lockdown</t>
        </is>
      </c>
      <c r="K13" s="5" t="n">
        <v>32000</v>
      </c>
      <c r="L13" s="5" t="n">
        <v>100</v>
      </c>
      <c r="M13" s="5" t="n">
        <v>1</v>
      </c>
      <c r="N13" s="5" t="n"/>
      <c r="O13" s="5" t="n">
        <v>9455</v>
      </c>
      <c r="P13" s="5" t="n">
        <v>1</v>
      </c>
      <c r="Q13">
        <f>L13+IF(M13&gt;1,N(N13)*(M13-1),0)</f>
        <v/>
      </c>
      <c r="R13">
        <f>IFERROR(K13*MAX(M13,1)/Q13*P13,0)</f>
        <v/>
      </c>
      <c r="AA13" s="6" t="inlineStr">
        <is>
          <t>^TeslaChargedWeapon, ^MediumMissile, ^HeavyCannon, ^SmallArms, ^FlakWeapon, ^Chaingun</t>
        </is>
      </c>
    </row>
    <row r="14">
      <c r="B14" s="6" t="inlineStr">
        <is>
          <t xml:space="preserve">  ↳ AsianSniper</t>
        </is>
      </c>
      <c r="C14" s="6" t="inlineStr">
        <is>
          <t>Armament@PRIMARY</t>
        </is>
      </c>
      <c r="K14" s="5" t="n">
        <v>6000</v>
      </c>
      <c r="L14" s="5" t="n">
        <v>25</v>
      </c>
      <c r="M14" s="5" t="n">
        <v>1</v>
      </c>
      <c r="N14" s="5" t="n"/>
      <c r="O14" s="5" t="n">
        <v>9455</v>
      </c>
      <c r="P14" s="5" t="n">
        <v>1</v>
      </c>
      <c r="Q14">
        <f>L14+IF(M14&gt;1,N(N14)*(M14-1),0)</f>
        <v/>
      </c>
      <c r="R14">
        <f>IFERROR(K14*MAX(M14,1)/Q14*P14,0)</f>
        <v/>
      </c>
      <c r="AA14" s="6" t="inlineStr">
        <is>
          <t>^MediumMissile, ^HeavyCannon, ^SmallArms, ^FlakWeapon, ^Chaingun</t>
        </is>
      </c>
    </row>
    <row r="15">
      <c r="B15" s="6" t="inlineStr">
        <is>
          <t xml:space="preserve">  ↳ AsianSniperAP</t>
        </is>
      </c>
      <c r="C15" s="6" t="inlineStr">
        <is>
          <t>Armament@PRIMARYUPGRADE</t>
        </is>
      </c>
      <c r="K15" s="5" t="n">
        <v>16000</v>
      </c>
      <c r="L15" s="5" t="n">
        <v>50</v>
      </c>
      <c r="M15" s="5" t="n">
        <v>1</v>
      </c>
      <c r="N15" s="5" t="n"/>
      <c r="O15" s="5" t="n">
        <v>9455</v>
      </c>
      <c r="P15" s="5" t="n">
        <v>1</v>
      </c>
      <c r="Q15">
        <f>L15+IF(M15&gt;1,N(N15)*(M15-1),0)</f>
        <v/>
      </c>
      <c r="R15">
        <f>IFERROR(K15*MAX(M15,1)/Q15*P15,0)</f>
        <v/>
      </c>
      <c r="AA15" s="6" t="inlineStr">
        <is>
          <t>^MediumMissile, ^HeavyCannon, ^SmallArms, ^FlakWeapon, ^Chaingun</t>
        </is>
      </c>
    </row>
    <row r="16">
      <c r="B16" s="6" t="inlineStr">
        <is>
          <t xml:space="preserve">  ↳ AsianSniper</t>
        </is>
      </c>
      <c r="C16" s="6" t="inlineStr">
        <is>
          <t>Armament@GARRISONED</t>
        </is>
      </c>
      <c r="K16" s="5" t="n">
        <v>6000</v>
      </c>
      <c r="L16" s="5" t="n">
        <v>25</v>
      </c>
      <c r="M16" s="5" t="n">
        <v>1</v>
      </c>
      <c r="N16" s="5" t="n"/>
      <c r="O16" s="5" t="n">
        <v>9455</v>
      </c>
      <c r="P16" s="5" t="n">
        <v>1</v>
      </c>
      <c r="Q16">
        <f>L16+IF(M16&gt;1,N(N16)*(M16-1),0)</f>
        <v/>
      </c>
      <c r="R16">
        <f>IFERROR(K16*MAX(M16,1)/Q16*P16,0)</f>
        <v/>
      </c>
      <c r="AA16" s="6" t="inlineStr">
        <is>
          <t>^MediumMissile, ^HeavyCannon, ^SmallArms, ^FlakWeapon, ^Chaingun</t>
        </is>
      </c>
    </row>
    <row r="17">
      <c r="B17" s="6" t="inlineStr">
        <is>
          <t xml:space="preserve">  ↳ AsianSniperAP</t>
        </is>
      </c>
      <c r="C17" s="6" t="inlineStr">
        <is>
          <t>Armament@GARRISONEDUPGRADE</t>
        </is>
      </c>
      <c r="K17" s="5" t="n">
        <v>16000</v>
      </c>
      <c r="L17" s="5" t="n">
        <v>50</v>
      </c>
      <c r="M17" s="5" t="n">
        <v>1</v>
      </c>
      <c r="N17" s="5" t="n"/>
      <c r="O17" s="5" t="n">
        <v>9455</v>
      </c>
      <c r="P17" s="5" t="n">
        <v>1</v>
      </c>
      <c r="Q17">
        <f>L17+IF(M17&gt;1,N(N17)*(M17-1),0)</f>
        <v/>
      </c>
      <c r="R17">
        <f>IFERROR(K17*MAX(M17,1)/Q17*P17,0)</f>
        <v/>
      </c>
      <c r="AA17" s="6" t="inlineStr">
        <is>
          <t>^MediumMissile, ^HeavyCannon, ^SmallArms, ^FlakWeapon, ^Chaingun</t>
        </is>
      </c>
    </row>
    <row r="18">
      <c r="A18" t="inlineStr">
        <is>
          <t>redalert2mod</t>
        </is>
      </c>
      <c r="B18" t="inlineStr">
        <is>
          <t>asianalliance_asianflametrooper</t>
        </is>
      </c>
      <c r="C18" t="inlineStr">
        <is>
          <t>Asian Flame Trooper</t>
        </is>
      </c>
      <c r="D18" t="inlineStr"/>
      <c r="E18" s="5" t="n">
        <v>26000</v>
      </c>
      <c r="F18" s="5" t="n">
        <v>53</v>
      </c>
      <c r="G18" t="inlineStr">
        <is>
          <t>Plate</t>
        </is>
      </c>
      <c r="H18" s="5" t="n">
        <v>1</v>
      </c>
      <c r="I18" s="5" t="n">
        <v>0.8</v>
      </c>
      <c r="J18" s="5" t="n">
        <v>1</v>
      </c>
      <c r="O18">
        <f>MAX(O19,O20,O21)</f>
        <v/>
      </c>
      <c r="R18">
        <f>R19+R20+R21</f>
        <v/>
      </c>
      <c r="S18">
        <f>(E18/100000+F18/100+(O18/1000)*J18/5+R18/200)*200*I18*H18</f>
        <v/>
      </c>
      <c r="T18">
        <f>((E18*F18/25000)+((O18/1000)*J18*R18/2.5))*I18*H18</f>
        <v/>
      </c>
      <c r="U18">
        <f>(E18*F18*(O18/1000)*J18*R18*I18*H18)/12500000</f>
        <v/>
      </c>
      <c r="V18">
        <f>(S18+T18+U18)/3</f>
        <v/>
      </c>
      <c r="W18" s="5" t="n">
        <v>400</v>
      </c>
      <c r="X18">
        <f>IFERROR(V18-W18,"")</f>
        <v/>
      </c>
      <c r="Y18">
        <f>IFERROR(ABS(X18)/MAX(W18,1),"")</f>
        <v/>
      </c>
      <c r="Z18">
        <f>IFERROR((W18-(((E18/100000+F18/100+R18/200)*200*I18*H18)+((E18*F18/25000)*I18*H18))/3)/(((J18/5)*200*I18*H18)+((J18*R18/2.5)*I18*H18)+((E18*F18*J18*R18*I18*H18)/12500000))/3*1000,"")</f>
        <v/>
      </c>
    </row>
    <row r="19">
      <c r="B19" s="6" t="inlineStr">
        <is>
          <t xml:space="preserve">  ↳ AsianFlamerTroop</t>
        </is>
      </c>
      <c r="C19" s="6" t="inlineStr">
        <is>
          <t>Armament@PRIMARY</t>
        </is>
      </c>
      <c r="K19" s="5" t="n">
        <v>4000</v>
      </c>
      <c r="L19" s="5" t="n">
        <v>38</v>
      </c>
      <c r="M19" s="5" t="n">
        <v>6</v>
      </c>
      <c r="N19" s="5" t="n">
        <v>3</v>
      </c>
      <c r="O19" s="5" t="n">
        <v>4444</v>
      </c>
      <c r="P19" s="5" t="n">
        <v>1</v>
      </c>
      <c r="Q19">
        <f>L19+IF(M19&gt;1,N(N19)*(M19-1),0)</f>
        <v/>
      </c>
      <c r="R19">
        <f>IFERROR(K19*MAX(M19,1)/Q19*P19,0)</f>
        <v/>
      </c>
      <c r="AA19" s="6" t="inlineStr">
        <is>
          <t>^LightFlameWeapon</t>
        </is>
      </c>
    </row>
    <row r="20">
      <c r="B20" s="6" t="inlineStr">
        <is>
          <t xml:space="preserve">  ↳ AsianFlamerTroop2</t>
        </is>
      </c>
      <c r="C20" s="6" t="inlineStr">
        <is>
          <t>Armament@Upgrade</t>
        </is>
      </c>
      <c r="K20" s="5" t="n">
        <v>4000</v>
      </c>
      <c r="L20" s="5" t="n">
        <v>34</v>
      </c>
      <c r="M20" s="5" t="n">
        <v>6</v>
      </c>
      <c r="N20" s="5" t="n">
        <v>3</v>
      </c>
      <c r="O20" s="5" t="n">
        <v>5555</v>
      </c>
      <c r="P20" s="5" t="n">
        <v>1</v>
      </c>
      <c r="Q20">
        <f>L20+IF(M20&gt;1,N(N20)*(M20-1),0)</f>
        <v/>
      </c>
      <c r="R20">
        <f>IFERROR(K20*MAX(M20,1)/Q20*P20,0)</f>
        <v/>
      </c>
      <c r="AA20" s="6" t="inlineStr">
        <is>
          <t>^LightFlameWeapon</t>
        </is>
      </c>
    </row>
    <row r="21">
      <c r="B21" s="6" t="inlineStr">
        <is>
          <t xml:space="preserve">  ↳ AsianFlamerTurret</t>
        </is>
      </c>
      <c r="C21" s="6" t="inlineStr">
        <is>
          <t>Armament@ELITE</t>
        </is>
      </c>
      <c r="K21" s="5" t="n">
        <v>4000</v>
      </c>
      <c r="L21" s="5" t="n">
        <v>30</v>
      </c>
      <c r="M21" s="5" t="n">
        <v>6</v>
      </c>
      <c r="N21" s="5" t="n">
        <v>3</v>
      </c>
      <c r="O21" s="5" t="n">
        <v>6666</v>
      </c>
      <c r="P21" s="5" t="n">
        <v>1</v>
      </c>
      <c r="Q21">
        <f>L21+IF(M21&gt;1,N(N21)*(M21-1),0)</f>
        <v/>
      </c>
      <c r="R21">
        <f>IFERROR(K21*MAX(M21,1)/Q21*P21,0)</f>
        <v/>
      </c>
      <c r="AA21" s="6" t="inlineStr">
        <is>
          <t>^LightFlameWeapon</t>
        </is>
      </c>
    </row>
    <row r="22">
      <c r="B22" s="6" t="inlineStr">
        <is>
          <t xml:space="preserve">  ↳ AsianFlamerTroop</t>
        </is>
      </c>
      <c r="C22" s="6" t="inlineStr">
        <is>
          <t>Armament@GARRISONED</t>
        </is>
      </c>
      <c r="K22" s="5" t="n">
        <v>4000</v>
      </c>
      <c r="L22" s="5" t="n">
        <v>38</v>
      </c>
      <c r="M22" s="5" t="n">
        <v>6</v>
      </c>
      <c r="N22" s="5" t="n">
        <v>3</v>
      </c>
      <c r="O22" s="5" t="n">
        <v>4444</v>
      </c>
      <c r="P22" s="5" t="n">
        <v>1</v>
      </c>
      <c r="Q22">
        <f>L22+IF(M22&gt;1,N(N22)*(M22-1),0)</f>
        <v/>
      </c>
      <c r="R22">
        <f>IFERROR(K22*MAX(M22,1)/Q22*P22,0)</f>
        <v/>
      </c>
      <c r="AA22" s="6" t="inlineStr">
        <is>
          <t>^LightFlameWeapon</t>
        </is>
      </c>
    </row>
    <row r="23">
      <c r="B23" s="6" t="inlineStr">
        <is>
          <t xml:space="preserve">  ↳ AsianFlamerTroop2</t>
        </is>
      </c>
      <c r="C23" s="6" t="inlineStr">
        <is>
          <t>Armament@GARRISONEDUpgrade</t>
        </is>
      </c>
      <c r="K23" s="5" t="n">
        <v>4000</v>
      </c>
      <c r="L23" s="5" t="n">
        <v>34</v>
      </c>
      <c r="M23" s="5" t="n">
        <v>6</v>
      </c>
      <c r="N23" s="5" t="n">
        <v>3</v>
      </c>
      <c r="O23" s="5" t="n">
        <v>5555</v>
      </c>
      <c r="P23" s="5" t="n">
        <v>1</v>
      </c>
      <c r="Q23">
        <f>L23+IF(M23&gt;1,N(N23)*(M23-1),0)</f>
        <v/>
      </c>
      <c r="R23">
        <f>IFERROR(K23*MAX(M23,1)/Q23*P23,0)</f>
        <v/>
      </c>
      <c r="AA23" s="6" t="inlineStr">
        <is>
          <t>^LightFlameWeapon</t>
        </is>
      </c>
    </row>
    <row r="24">
      <c r="B24" s="6" t="inlineStr">
        <is>
          <t xml:space="preserve">  ↳ AsianFlamerTurret</t>
        </is>
      </c>
      <c r="C24" s="6" t="inlineStr">
        <is>
          <t>Armament@GARRISONEDE</t>
        </is>
      </c>
      <c r="K24" s="5" t="n">
        <v>4000</v>
      </c>
      <c r="L24" s="5" t="n">
        <v>30</v>
      </c>
      <c r="M24" s="5" t="n">
        <v>6</v>
      </c>
      <c r="N24" s="5" t="n">
        <v>3</v>
      </c>
      <c r="O24" s="5" t="n">
        <v>6666</v>
      </c>
      <c r="P24" s="5" t="n">
        <v>1</v>
      </c>
      <c r="Q24">
        <f>L24+IF(M24&gt;1,N(N24)*(M24-1),0)</f>
        <v/>
      </c>
      <c r="R24">
        <f>IFERROR(K24*MAX(M24,1)/Q24*P24,0)</f>
        <v/>
      </c>
      <c r="AA24" s="6" t="inlineStr">
        <is>
          <t>^LightFlameWeapon</t>
        </is>
      </c>
    </row>
    <row r="25">
      <c r="A25" t="inlineStr">
        <is>
          <t>redalert2mod</t>
        </is>
      </c>
      <c r="B25" t="inlineStr">
        <is>
          <t>asianalliance_asianmilitia</t>
        </is>
      </c>
      <c r="C25" t="inlineStr">
        <is>
          <t>Asian Militia</t>
        </is>
      </c>
      <c r="D25" t="inlineStr"/>
      <c r="E25" s="5" t="n">
        <v>24000</v>
      </c>
      <c r="F25" s="5" t="n">
        <v>52</v>
      </c>
      <c r="G25" t="inlineStr">
        <is>
          <t>None</t>
        </is>
      </c>
      <c r="H25" s="5" t="n">
        <v>1</v>
      </c>
      <c r="I25" s="5" t="n">
        <v>0.5</v>
      </c>
      <c r="J25" s="5" t="n">
        <v>1</v>
      </c>
      <c r="O25">
        <f>MAX(O26,O27,O28,O29)</f>
        <v/>
      </c>
      <c r="R25">
        <f>R26+R27+R28+R29</f>
        <v/>
      </c>
      <c r="S25">
        <f>(E25/100000+F25/100+(O25/1000)*J25/5+R25/200)*200*I25*H25</f>
        <v/>
      </c>
      <c r="T25">
        <f>((E25*F25/25000)+((O25/1000)*J25*R25/2.5))*I25*H25</f>
        <v/>
      </c>
      <c r="U25">
        <f>(E25*F25*(O25/1000)*J25*R25*I25*H25)/12500000</f>
        <v/>
      </c>
      <c r="V25">
        <f>(S25+T25+U25)/3</f>
        <v/>
      </c>
      <c r="W25" s="5" t="n">
        <v>100</v>
      </c>
      <c r="X25">
        <f>IFERROR(V25-W25,"")</f>
        <v/>
      </c>
      <c r="Y25">
        <f>IFERROR(ABS(X25)/MAX(W25,1),"")</f>
        <v/>
      </c>
      <c r="Z25">
        <f>IFERROR((W25-(((E25/100000+F25/100+R25/200)*200*I25*H25)+((E25*F25/25000)*I25*H25))/3)/(((J25/5)*200*I25*H25)+((J25*R25/2.5)*I25*H25)+((E25*F25*J25*R25*I25*H25)/12500000))/3*1000,"")</f>
        <v/>
      </c>
    </row>
    <row r="26">
      <c r="B26" s="6" t="inlineStr">
        <is>
          <t xml:space="preserve">  ↳ asianalliance_asianmilitia_shotgun</t>
        </is>
      </c>
      <c r="C26" s="6" t="inlineStr">
        <is>
          <t>Armament@PRIMARY</t>
        </is>
      </c>
      <c r="K26" s="5" t="n">
        <v>6000</v>
      </c>
      <c r="L26" s="5" t="n">
        <v>50</v>
      </c>
      <c r="M26" s="5" t="n">
        <v>1</v>
      </c>
      <c r="N26" s="5" t="n"/>
      <c r="O26" s="5" t="n">
        <v>4500</v>
      </c>
      <c r="P26" s="5" t="n">
        <v>1</v>
      </c>
      <c r="Q26">
        <f>L26+IF(M26&gt;1,N(N26)*(M26-1),0)</f>
        <v/>
      </c>
      <c r="R26">
        <f>IFERROR(K26*MAX(M26,1)/Q26*P26,0)</f>
        <v/>
      </c>
      <c r="AA26" s="6" t="inlineStr">
        <is>
          <t>^RA2SmallArms</t>
        </is>
      </c>
    </row>
    <row r="27">
      <c r="B27" s="6" t="inlineStr">
        <is>
          <t xml:space="preserve">  ↳ asianalliance_asianmilitia_shotgun_elite</t>
        </is>
      </c>
      <c r="C27" s="6" t="inlineStr">
        <is>
          <t>Armament@ELITE</t>
        </is>
      </c>
      <c r="K27" s="5" t="n">
        <v>6000</v>
      </c>
      <c r="L27" s="5" t="n">
        <v>50</v>
      </c>
      <c r="M27" s="5" t="n">
        <v>2</v>
      </c>
      <c r="N27" s="5" t="n">
        <v>3</v>
      </c>
      <c r="O27" s="5" t="n">
        <v>5500</v>
      </c>
      <c r="P27" s="5" t="n">
        <v>1</v>
      </c>
      <c r="Q27">
        <f>L27+IF(M27&gt;1,N(N27)*(M27-1),0)</f>
        <v/>
      </c>
      <c r="R27">
        <f>IFERROR(K27*MAX(M27,1)/Q27*P27,0)</f>
        <v/>
      </c>
      <c r="AA27" s="6" t="inlineStr">
        <is>
          <t>^RA2SmallArms</t>
        </is>
      </c>
    </row>
    <row r="28">
      <c r="B28" s="6" t="inlineStr">
        <is>
          <t xml:space="preserve">  ↳ asianalliance_asianmilitia_grenade</t>
        </is>
      </c>
      <c r="C28" s="6" t="inlineStr">
        <is>
          <t>Armament@GRENADE</t>
        </is>
      </c>
      <c r="K28" s="5" t="n">
        <v>4000</v>
      </c>
      <c r="L28" s="5" t="n">
        <v>92</v>
      </c>
      <c r="M28" s="5" t="n">
        <v>1</v>
      </c>
      <c r="N28" s="5" t="n"/>
      <c r="O28" s="5" t="n">
        <v>4500</v>
      </c>
      <c r="P28" s="5" t="n">
        <v>1</v>
      </c>
      <c r="Q28">
        <f>L28+IF(M28&gt;1,N(N28)*(M28-1),0)</f>
        <v/>
      </c>
      <c r="R28">
        <f>IFERROR(K28*MAX(M28,1)/Q28*P28,0)</f>
        <v/>
      </c>
      <c r="AA28" s="6" t="inlineStr">
        <is>
          <t>^ShrapnelWeapon, ^RA2MediumCannon</t>
        </is>
      </c>
    </row>
    <row r="29">
      <c r="B29" s="6" t="inlineStr">
        <is>
          <t xml:space="preserve">  ↳ asianalliance_asianmilitia_grenade_elite</t>
        </is>
      </c>
      <c r="C29" s="6" t="inlineStr">
        <is>
          <t>Armament@GRENADEELITE</t>
        </is>
      </c>
      <c r="K29" s="5" t="n">
        <v>4000</v>
      </c>
      <c r="L29" s="5" t="n">
        <v>92</v>
      </c>
      <c r="M29" s="5" t="n">
        <v>2</v>
      </c>
      <c r="N29" s="5" t="n">
        <v>3</v>
      </c>
      <c r="O29" s="5" t="n">
        <v>5500</v>
      </c>
      <c r="P29" s="5" t="n">
        <v>1</v>
      </c>
      <c r="Q29">
        <f>L29+IF(M29&gt;1,N(N29)*(M29-1),0)</f>
        <v/>
      </c>
      <c r="R29">
        <f>IFERROR(K29*MAX(M29,1)/Q29*P29,0)</f>
        <v/>
      </c>
      <c r="AA29" s="6" t="inlineStr">
        <is>
          <t>^ShrapnelWeapon, ^RA2MediumCannon</t>
        </is>
      </c>
    </row>
    <row r="30">
      <c r="B30" s="6" t="inlineStr">
        <is>
          <t xml:space="preserve">  ↳ asianalliance_asianmilitia_shotgun</t>
        </is>
      </c>
      <c r="C30" s="6" t="inlineStr">
        <is>
          <t>Armament@GARRISONED</t>
        </is>
      </c>
      <c r="K30" s="5" t="n">
        <v>6000</v>
      </c>
      <c r="L30" s="5" t="n">
        <v>50</v>
      </c>
      <c r="M30" s="5" t="n">
        <v>1</v>
      </c>
      <c r="N30" s="5" t="n"/>
      <c r="O30" s="5" t="n">
        <v>4500</v>
      </c>
      <c r="P30" s="5" t="n">
        <v>1</v>
      </c>
      <c r="Q30">
        <f>L30+IF(M30&gt;1,N(N30)*(M30-1),0)</f>
        <v/>
      </c>
      <c r="R30">
        <f>IFERROR(K30*MAX(M30,1)/Q30*P30,0)</f>
        <v/>
      </c>
      <c r="AA30" s="6" t="inlineStr">
        <is>
          <t>^RA2SmallArms</t>
        </is>
      </c>
    </row>
    <row r="31">
      <c r="B31" s="6" t="inlineStr">
        <is>
          <t xml:space="preserve">  ↳ asianalliance_asianmilitia_shotgun_elite</t>
        </is>
      </c>
      <c r="C31" s="6" t="inlineStr">
        <is>
          <t>Armament@GARRISONEDELITE</t>
        </is>
      </c>
      <c r="K31" s="5" t="n">
        <v>6000</v>
      </c>
      <c r="L31" s="5" t="n">
        <v>50</v>
      </c>
      <c r="M31" s="5" t="n">
        <v>2</v>
      </c>
      <c r="N31" s="5" t="n">
        <v>3</v>
      </c>
      <c r="O31" s="5" t="n">
        <v>5500</v>
      </c>
      <c r="P31" s="5" t="n">
        <v>1</v>
      </c>
      <c r="Q31">
        <f>L31+IF(M31&gt;1,N(N31)*(M31-1),0)</f>
        <v/>
      </c>
      <c r="R31">
        <f>IFERROR(K31*MAX(M31,1)/Q31*P31,0)</f>
        <v/>
      </c>
      <c r="AA31" s="6" t="inlineStr">
        <is>
          <t>^RA2SmallArms</t>
        </is>
      </c>
    </row>
    <row r="32">
      <c r="B32" s="6" t="inlineStr">
        <is>
          <t xml:space="preserve">  ↳ asianalliance_asianmilitia_grenade</t>
        </is>
      </c>
      <c r="C32" s="6" t="inlineStr">
        <is>
          <t>Armament@GRENADEG</t>
        </is>
      </c>
      <c r="K32" s="5" t="n">
        <v>4000</v>
      </c>
      <c r="L32" s="5" t="n">
        <v>92</v>
      </c>
      <c r="M32" s="5" t="n">
        <v>1</v>
      </c>
      <c r="N32" s="5" t="n"/>
      <c r="O32" s="5" t="n">
        <v>4500</v>
      </c>
      <c r="P32" s="5" t="n">
        <v>1</v>
      </c>
      <c r="Q32">
        <f>L32+IF(M32&gt;1,N(N32)*(M32-1),0)</f>
        <v/>
      </c>
      <c r="R32">
        <f>IFERROR(K32*MAX(M32,1)/Q32*P32,0)</f>
        <v/>
      </c>
      <c r="AA32" s="6" t="inlineStr">
        <is>
          <t>^ShrapnelWeapon, ^RA2MediumCannon</t>
        </is>
      </c>
    </row>
    <row r="33">
      <c r="B33" s="6" t="inlineStr">
        <is>
          <t xml:space="preserve">  ↳ asianalliance_asianmilitia_grenade_elite</t>
        </is>
      </c>
      <c r="C33" s="6" t="inlineStr">
        <is>
          <t>Armament@GRENADEGE</t>
        </is>
      </c>
      <c r="K33" s="5" t="n">
        <v>4000</v>
      </c>
      <c r="L33" s="5" t="n">
        <v>92</v>
      </c>
      <c r="M33" s="5" t="n">
        <v>2</v>
      </c>
      <c r="N33" s="5" t="n">
        <v>3</v>
      </c>
      <c r="O33" s="5" t="n">
        <v>5500</v>
      </c>
      <c r="P33" s="5" t="n">
        <v>1</v>
      </c>
      <c r="Q33">
        <f>L33+IF(M33&gt;1,N(N33)*(M33-1),0)</f>
        <v/>
      </c>
      <c r="R33">
        <f>IFERROR(K33*MAX(M33,1)/Q33*P33,0)</f>
        <v/>
      </c>
      <c r="AA33" s="6" t="inlineStr">
        <is>
          <t>^ShrapnelWeapon, ^RA2MediumCannon</t>
        </is>
      </c>
    </row>
    <row r="34">
      <c r="A34" t="inlineStr">
        <is>
          <t>redalert2mod</t>
        </is>
      </c>
      <c r="B34" t="inlineStr">
        <is>
          <t>asianalliance_asiantankkiller</t>
        </is>
      </c>
      <c r="C34" t="inlineStr">
        <is>
          <t>Asian Tank Killer</t>
        </is>
      </c>
      <c r="D34" t="inlineStr"/>
      <c r="E34" s="5" t="n">
        <v>17000</v>
      </c>
      <c r="F34" s="5" t="n">
        <v>51</v>
      </c>
      <c r="G34" t="inlineStr">
        <is>
          <t>Flak</t>
        </is>
      </c>
      <c r="H34" s="5" t="n">
        <v>1</v>
      </c>
      <c r="I34" s="5" t="n">
        <v>0.5</v>
      </c>
      <c r="J34" s="5" t="n">
        <v>1</v>
      </c>
      <c r="O34">
        <f>MAX(O35,O36,O37,O38)</f>
        <v/>
      </c>
      <c r="R34">
        <f>R35+R36+R37+R38</f>
        <v/>
      </c>
      <c r="S34">
        <f>(E34/100000+F34/100+(O34/1000)*J34/5+R34/200)*200*I34*H34</f>
        <v/>
      </c>
      <c r="T34">
        <f>((E34*F34/25000)+((O34/1000)*J34*R34/2.5))*I34*H34</f>
        <v/>
      </c>
      <c r="U34">
        <f>(E34*F34*(O34/1000)*J34*R34*I34*H34)/12500000</f>
        <v/>
      </c>
      <c r="V34">
        <f>(S34+T34+U34)/3</f>
        <v/>
      </c>
      <c r="W34" s="5" t="n">
        <v>300</v>
      </c>
      <c r="X34">
        <f>IFERROR(V34-W34,"")</f>
        <v/>
      </c>
      <c r="Y34">
        <f>IFERROR(ABS(X34)/MAX(W34,1),"")</f>
        <v/>
      </c>
      <c r="Z34">
        <f>IFERROR((W34-(((E34/100000+F34/100+R34/200)*200*I34*H34)+((E34*F34/25000)*I34*H34))/3)/(((J34/5)*200*I34*H34)+((J34*R34/2.5)*I34*H34)+((E34*F34*J34*R34*I34*H34)/12500000))/3*1000,"")</f>
        <v/>
      </c>
    </row>
    <row r="35">
      <c r="B35" s="6" t="inlineStr">
        <is>
          <t xml:space="preserve">  ↳ AsianTankKillerRocket</t>
        </is>
      </c>
      <c r="C35" s="6" t="inlineStr">
        <is>
          <t>Armament@PRIMARY</t>
        </is>
      </c>
      <c r="K35" s="5" t="n">
        <v>34000</v>
      </c>
      <c r="L35" s="5" t="n">
        <v>75</v>
      </c>
      <c r="M35" s="5" t="n">
        <v>1</v>
      </c>
      <c r="N35" s="5" t="n"/>
      <c r="O35" s="5" t="n">
        <v>6460</v>
      </c>
      <c r="P35" s="5" t="n">
        <v>1</v>
      </c>
      <c r="Q35">
        <f>L35+IF(M35&gt;1,N(N35)*(M35-1),0)</f>
        <v/>
      </c>
      <c r="R35">
        <f>IFERROR(K35*MAX(M35,1)/Q35*P35,0)</f>
        <v/>
      </c>
      <c r="AA35" s="6" t="inlineStr">
        <is>
          <t>^RA2LightMissile</t>
        </is>
      </c>
    </row>
    <row r="36">
      <c r="B36" s="6" t="inlineStr">
        <is>
          <t xml:space="preserve">  ↳ AsianTankKillerRocket_upgrade</t>
        </is>
      </c>
      <c r="C36" s="6" t="inlineStr">
        <is>
          <t>Armament@Upgrade</t>
        </is>
      </c>
      <c r="K36" s="5" t="n">
        <v>34000</v>
      </c>
      <c r="L36" s="5" t="n">
        <v>75</v>
      </c>
      <c r="M36" s="5" t="n">
        <v>1</v>
      </c>
      <c r="N36" s="5" t="n"/>
      <c r="O36" s="5" t="n">
        <v>6460</v>
      </c>
      <c r="P36" s="5" t="n">
        <v>1</v>
      </c>
      <c r="Q36">
        <f>L36+IF(M36&gt;1,N(N36)*(M36-1),0)</f>
        <v/>
      </c>
      <c r="R36">
        <f>IFERROR(K36*MAX(M36,1)/Q36*P36,0)</f>
        <v/>
      </c>
      <c r="AA36" s="6" t="inlineStr">
        <is>
          <t>^RA2LightMissile</t>
        </is>
      </c>
    </row>
    <row r="37">
      <c r="B37" s="6" t="inlineStr">
        <is>
          <t xml:space="preserve">  ↳ AsianTankKillerRocket_elite</t>
        </is>
      </c>
      <c r="C37" s="6" t="inlineStr">
        <is>
          <t>Armament@PRIMARYELITE</t>
        </is>
      </c>
      <c r="K37" s="5" t="n">
        <v>68000</v>
      </c>
      <c r="L37" s="5" t="n">
        <v>75</v>
      </c>
      <c r="M37" s="5" t="n">
        <v>1</v>
      </c>
      <c r="N37" s="5" t="n"/>
      <c r="O37" s="5" t="n">
        <v>7460</v>
      </c>
      <c r="P37" s="5" t="n">
        <v>1</v>
      </c>
      <c r="Q37">
        <f>L37+IF(M37&gt;1,N(N37)*(M37-1),0)</f>
        <v/>
      </c>
      <c r="R37">
        <f>IFERROR(K37*MAX(M37,1)/Q37*P37,0)</f>
        <v/>
      </c>
      <c r="AA37" s="6" t="inlineStr">
        <is>
          <t>^RA2LightMissile</t>
        </is>
      </c>
    </row>
    <row r="38">
      <c r="B38" s="6" t="inlineStr">
        <is>
          <t xml:space="preserve">  ↳ AsianTankKillerRocket_elite_upgrade</t>
        </is>
      </c>
      <c r="C38" s="6" t="inlineStr">
        <is>
          <t>Armament@PRIMARYELITEUpgrade</t>
        </is>
      </c>
      <c r="K38" s="5" t="n">
        <v>68000</v>
      </c>
      <c r="L38" s="5" t="n">
        <v>75</v>
      </c>
      <c r="M38" s="5" t="n">
        <v>1</v>
      </c>
      <c r="N38" s="5" t="n"/>
      <c r="O38" s="5" t="n">
        <v>7460</v>
      </c>
      <c r="P38" s="5" t="n">
        <v>1</v>
      </c>
      <c r="Q38">
        <f>L38+IF(M38&gt;1,N(N38)*(M38-1),0)</f>
        <v/>
      </c>
      <c r="R38">
        <f>IFERROR(K38*MAX(M38,1)/Q38*P38,0)</f>
        <v/>
      </c>
      <c r="AA38" s="6" t="inlineStr">
        <is>
          <t>^RA2LightMissile</t>
        </is>
      </c>
    </row>
    <row r="39">
      <c r="B39" s="6" t="inlineStr">
        <is>
          <t xml:space="preserve">  ↳ AsianTankKillerRocket</t>
        </is>
      </c>
      <c r="C39" s="6" t="inlineStr">
        <is>
          <t>Armament@GARRISONED</t>
        </is>
      </c>
      <c r="K39" s="5" t="n">
        <v>34000</v>
      </c>
      <c r="L39" s="5" t="n">
        <v>75</v>
      </c>
      <c r="M39" s="5" t="n">
        <v>1</v>
      </c>
      <c r="N39" s="5" t="n"/>
      <c r="O39" s="5" t="n">
        <v>6460</v>
      </c>
      <c r="P39" s="5" t="n">
        <v>1</v>
      </c>
      <c r="Q39">
        <f>L39+IF(M39&gt;1,N(N39)*(M39-1),0)</f>
        <v/>
      </c>
      <c r="R39">
        <f>IFERROR(K39*MAX(M39,1)/Q39*P39,0)</f>
        <v/>
      </c>
      <c r="AA39" s="6" t="inlineStr">
        <is>
          <t>^RA2LightMissile</t>
        </is>
      </c>
    </row>
    <row r="40">
      <c r="B40" s="6" t="inlineStr">
        <is>
          <t xml:space="preserve">  ↳ AsianTankKillerRocket_upgrade</t>
        </is>
      </c>
      <c r="C40" s="6" t="inlineStr">
        <is>
          <t>Armament@GARRISONEDUpgrade</t>
        </is>
      </c>
      <c r="K40" s="5" t="n">
        <v>34000</v>
      </c>
      <c r="L40" s="5" t="n">
        <v>75</v>
      </c>
      <c r="M40" s="5" t="n">
        <v>1</v>
      </c>
      <c r="N40" s="5" t="n"/>
      <c r="O40" s="5" t="n">
        <v>6460</v>
      </c>
      <c r="P40" s="5" t="n">
        <v>1</v>
      </c>
      <c r="Q40">
        <f>L40+IF(M40&gt;1,N(N40)*(M40-1),0)</f>
        <v/>
      </c>
      <c r="R40">
        <f>IFERROR(K40*MAX(M40,1)/Q40*P40,0)</f>
        <v/>
      </c>
      <c r="AA40" s="6" t="inlineStr">
        <is>
          <t>^RA2LightMissile</t>
        </is>
      </c>
    </row>
    <row r="41">
      <c r="B41" s="6" t="inlineStr">
        <is>
          <t xml:space="preserve">  ↳ AsianTankKillerRocket_elite</t>
        </is>
      </c>
      <c r="C41" s="6" t="inlineStr">
        <is>
          <t>Armament@GARRISONEDELITE</t>
        </is>
      </c>
      <c r="K41" s="5" t="n">
        <v>68000</v>
      </c>
      <c r="L41" s="5" t="n">
        <v>75</v>
      </c>
      <c r="M41" s="5" t="n">
        <v>1</v>
      </c>
      <c r="N41" s="5" t="n"/>
      <c r="O41" s="5" t="n">
        <v>7460</v>
      </c>
      <c r="P41" s="5" t="n">
        <v>1</v>
      </c>
      <c r="Q41">
        <f>L41+IF(M41&gt;1,N(N41)*(M41-1),0)</f>
        <v/>
      </c>
      <c r="R41">
        <f>IFERROR(K41*MAX(M41,1)/Q41*P41,0)</f>
        <v/>
      </c>
      <c r="AA41" s="6" t="inlineStr">
        <is>
          <t>^RA2LightMissile</t>
        </is>
      </c>
    </row>
    <row r="42">
      <c r="B42" s="6" t="inlineStr">
        <is>
          <t xml:space="preserve">  ↳ AsianTankKillerRocket_elite_upgrade</t>
        </is>
      </c>
      <c r="C42" s="6" t="inlineStr">
        <is>
          <t>Armament@GARRISONEDELITEUpgrade</t>
        </is>
      </c>
      <c r="K42" s="5" t="n">
        <v>68000</v>
      </c>
      <c r="L42" s="5" t="n">
        <v>75</v>
      </c>
      <c r="M42" s="5" t="n">
        <v>1</v>
      </c>
      <c r="N42" s="5" t="n"/>
      <c r="O42" s="5" t="n">
        <v>7460</v>
      </c>
      <c r="P42" s="5" t="n">
        <v>1</v>
      </c>
      <c r="Q42">
        <f>L42+IF(M42&gt;1,N(N42)*(M42-1),0)</f>
        <v/>
      </c>
      <c r="R42">
        <f>IFERROR(K42*MAX(M42,1)/Q42*P42,0)</f>
        <v/>
      </c>
      <c r="AA42" s="6" t="inlineStr">
        <is>
          <t>^RA2LightMissile</t>
        </is>
      </c>
    </row>
    <row r="43">
      <c r="A43" t="inlineStr">
        <is>
          <t>redalert2mod</t>
        </is>
      </c>
      <c r="B43" t="inlineStr">
        <is>
          <t>asianalliance_engineer</t>
        </is>
      </c>
      <c r="C43" t="inlineStr">
        <is>
          <t>Engineer</t>
        </is>
      </c>
      <c r="D43" t="inlineStr"/>
      <c r="E43" s="5" t="n">
        <v>5000</v>
      </c>
      <c r="F43" s="5" t="n">
        <v>50</v>
      </c>
      <c r="G43" t="inlineStr">
        <is>
          <t>None</t>
        </is>
      </c>
      <c r="H43" s="5" t="n">
        <v>1</v>
      </c>
      <c r="I43" s="5" t="n">
        <v>1</v>
      </c>
      <c r="J43" s="5" t="n">
        <v>1</v>
      </c>
      <c r="O43">
        <f>MAX(O44,O45)</f>
        <v/>
      </c>
      <c r="R43">
        <f>R44+R45</f>
        <v/>
      </c>
      <c r="S43">
        <f>(E43/100000+F43/100+(O43/1000)*J43/5+R43/200)*200*I43*H43</f>
        <v/>
      </c>
      <c r="T43">
        <f>((E43*F43/25000)+((O43/1000)*J43*R43/2.5))*I43*H43</f>
        <v/>
      </c>
      <c r="U43">
        <f>(E43*F43*(O43/1000)*J43*R43*I43*H43)/12500000</f>
        <v/>
      </c>
      <c r="V43">
        <f>(S43+T43+U43)/3</f>
        <v/>
      </c>
      <c r="W43" s="5" t="n">
        <v>500</v>
      </c>
      <c r="X43">
        <f>IFERROR(V43-W43,"")</f>
        <v/>
      </c>
      <c r="Y43">
        <f>IFERROR(ABS(X43)/MAX(W43,1),"")</f>
        <v/>
      </c>
      <c r="Z43">
        <f>IFERROR((W43-(((E43/100000+F43/100+R43/200)*200*I43*H43)+((E43*F43/25000)*I43*H43))/3)/(((J43/5)*200*I43*H43)+((J43*R43/2.5)*I43*H43)+((E43*F43*J43*R43*I43*H43)/12500000))/3*1000,"")</f>
        <v/>
      </c>
    </row>
    <row r="44">
      <c r="B44" s="6" t="inlineStr">
        <is>
          <t xml:space="preserve">  ↳ DefuseKit</t>
        </is>
      </c>
      <c r="C44" s="6" t="inlineStr">
        <is>
          <t>Armament@defuse</t>
        </is>
      </c>
      <c r="K44" s="5" t="n"/>
      <c r="L44" s="5" t="n">
        <v>20</v>
      </c>
      <c r="M44" s="5" t="n">
        <v>1</v>
      </c>
      <c r="N44" s="5" t="n"/>
      <c r="O44" s="5" t="n">
        <v>1536</v>
      </c>
      <c r="P44" s="5" t="n">
        <v>1</v>
      </c>
      <c r="Q44">
        <f>L44+IF(M44&gt;1,N(N44)*(M44-1),0)</f>
        <v/>
      </c>
      <c r="R44">
        <f>IFERROR(K44*MAX(M44,1)/Q44*P44,0)</f>
        <v/>
      </c>
      <c r="AA44" s="6" t="inlineStr">
        <is>
          <t>^RemovesIvanBombs, ^RemovesTerrorDrone</t>
        </is>
      </c>
    </row>
    <row r="45">
      <c r="B45" s="6" t="inlineStr">
        <is>
          <t xml:space="preserve">  ↳ LeechDisinfect</t>
        </is>
      </c>
      <c r="C45" s="6" t="inlineStr">
        <is>
          <t>Armament@leechdisinfect</t>
        </is>
      </c>
      <c r="K45" s="5" t="n"/>
      <c r="L45" s="5" t="n">
        <v>100</v>
      </c>
      <c r="M45" s="5" t="n">
        <v>1</v>
      </c>
      <c r="N45" s="5" t="n"/>
      <c r="O45" s="5" t="n">
        <v>1536</v>
      </c>
      <c r="P45" s="5" t="n">
        <v>1</v>
      </c>
      <c r="Q45">
        <f>L45+IF(M45&gt;1,N(N45)*(M45-1),0)</f>
        <v/>
      </c>
      <c r="R45">
        <f>IFERROR(K45*MAX(M45,1)/Q45*P45,0)</f>
        <v/>
      </c>
      <c r="AA45" s="6" t="inlineStr"/>
    </row>
    <row r="46">
      <c r="A46" t="inlineStr">
        <is>
          <t>redalert2mod</t>
        </is>
      </c>
      <c r="B46" t="inlineStr">
        <is>
          <t>asianalliance_fanatic</t>
        </is>
      </c>
      <c r="C46" t="inlineStr">
        <is>
          <t>Fanatic</t>
        </is>
      </c>
      <c r="D46" t="inlineStr">
        <is>
          <t>closecombat</t>
        </is>
      </c>
      <c r="E46" s="5" t="n">
        <v>100000</v>
      </c>
      <c r="F46" s="5" t="n">
        <v>75</v>
      </c>
      <c r="G46" t="inlineStr">
        <is>
          <t>Plate</t>
        </is>
      </c>
      <c r="H46" s="5" t="n">
        <v>1</v>
      </c>
      <c r="I46" s="5" t="n">
        <v>1</v>
      </c>
      <c r="J46" s="5" t="n">
        <v>1</v>
      </c>
      <c r="O46">
        <f>MAX(O47,O48,O49)</f>
        <v/>
      </c>
      <c r="R46">
        <f>R47+R48+R49</f>
        <v/>
      </c>
      <c r="S46">
        <f>(E46/100000+F46/100+(O46/1000)*J46/5+R46/200)*200*I46*H46</f>
        <v/>
      </c>
      <c r="T46">
        <f>((E46*F46/25000)+((O46/1000)*J46*R46/2.5))*I46*H46</f>
        <v/>
      </c>
      <c r="U46">
        <f>(E46*F46*(O46/1000)*J46*R46*I46*H46)/12500000</f>
        <v/>
      </c>
      <c r="V46">
        <f>(S46+T46+U46)/3</f>
        <v/>
      </c>
      <c r="W46" s="5" t="n">
        <v>500</v>
      </c>
      <c r="X46">
        <f>IFERROR(V46-W46,"")</f>
        <v/>
      </c>
      <c r="Y46">
        <f>IFERROR(ABS(X46)/MAX(W46,1),"")</f>
        <v/>
      </c>
      <c r="Z46">
        <f>IFERROR((W46-(((E46/100000+F46/100+R46/200)*200*I46*H46)+((E46*F46/25000)*I46*H46))/3)/(((J46/5)*200*I46*H46)+((J46*R46/2.5)*I46*H46)+((E46*F46*J46*R46*I46*H46)/12500000))/3*1000,"")</f>
        <v/>
      </c>
    </row>
    <row r="47">
      <c r="B47" s="6" t="inlineStr">
        <is>
          <t xml:space="preserve">  ↳ asianalliance_fanatic_shotgun</t>
        </is>
      </c>
      <c r="C47" s="6" t="inlineStr">
        <is>
          <t>Armament@PRIMARY</t>
        </is>
      </c>
      <c r="K47" s="5" t="n">
        <v>2000</v>
      </c>
      <c r="L47" s="5" t="n">
        <v>75</v>
      </c>
      <c r="M47" s="5" t="n">
        <v>10</v>
      </c>
      <c r="N47" s="5" t="n">
        <v>0</v>
      </c>
      <c r="O47" s="5" t="n">
        <v>3500</v>
      </c>
      <c r="P47" s="5" t="n">
        <v>0.875</v>
      </c>
      <c r="Q47">
        <f>L47+IF(M47&gt;1,N(N47)*(M47-1),0)</f>
        <v/>
      </c>
      <c r="R47">
        <f>IFERROR(K47*MAX(M47,1)/Q47*P47,0)</f>
        <v/>
      </c>
      <c r="AA47" s="6" t="inlineStr">
        <is>
          <t>^SmallArms, ^Chaingun</t>
        </is>
      </c>
    </row>
    <row r="48">
      <c r="B48" s="6" t="inlineStr">
        <is>
          <t xml:space="preserve">  ↳ asianalliance_fanatic_shotgun_upgrade</t>
        </is>
      </c>
      <c r="C48" s="6" t="inlineStr">
        <is>
          <t>Armament@Upgrade</t>
        </is>
      </c>
      <c r="K48" s="5" t="n">
        <v>2000</v>
      </c>
      <c r="L48" s="5" t="n">
        <v>75</v>
      </c>
      <c r="M48" s="5" t="n">
        <v>13</v>
      </c>
      <c r="N48" s="5" t="n">
        <v>0</v>
      </c>
      <c r="O48" s="5" t="n">
        <v>3500</v>
      </c>
      <c r="P48" s="5" t="n">
        <v>0.875</v>
      </c>
      <c r="Q48">
        <f>L48+IF(M48&gt;1,N(N48)*(M48-1),0)</f>
        <v/>
      </c>
      <c r="R48">
        <f>IFERROR(K48*MAX(M48,1)/Q48*P48,0)</f>
        <v/>
      </c>
      <c r="AA48" s="6" t="inlineStr">
        <is>
          <t>^SmallArms, ^Chaingun</t>
        </is>
      </c>
    </row>
    <row r="49">
      <c r="B49" s="6" t="inlineStr">
        <is>
          <t xml:space="preserve">  ↳ asianalliance_fanatic_shotgun_elite</t>
        </is>
      </c>
      <c r="C49" s="6" t="inlineStr">
        <is>
          <t>Armament@ELITE</t>
        </is>
      </c>
      <c r="K49" s="5" t="n">
        <v>2000</v>
      </c>
      <c r="L49" s="5" t="n">
        <v>75</v>
      </c>
      <c r="M49" s="5" t="n">
        <v>16</v>
      </c>
      <c r="N49" s="5" t="n">
        <v>0</v>
      </c>
      <c r="O49" s="5" t="n">
        <v>3500</v>
      </c>
      <c r="P49" s="5" t="n">
        <v>0.875</v>
      </c>
      <c r="Q49">
        <f>L49+IF(M49&gt;1,N(N49)*(M49-1),0)</f>
        <v/>
      </c>
      <c r="R49">
        <f>IFERROR(K49*MAX(M49,1)/Q49*P49,0)</f>
        <v/>
      </c>
      <c r="AA49" s="6" t="inlineStr">
        <is>
          <t>^SmallArms, ^Chaingun</t>
        </is>
      </c>
    </row>
    <row r="50">
      <c r="B50" s="6" t="inlineStr">
        <is>
          <t xml:space="preserve">  ↳ asianalliance_fanatic_shotgun</t>
        </is>
      </c>
      <c r="C50" s="6" t="inlineStr">
        <is>
          <t>Armament@GARRISONED</t>
        </is>
      </c>
      <c r="K50" s="5" t="n">
        <v>2000</v>
      </c>
      <c r="L50" s="5" t="n">
        <v>75</v>
      </c>
      <c r="M50" s="5" t="n">
        <v>10</v>
      </c>
      <c r="N50" s="5" t="n">
        <v>0</v>
      </c>
      <c r="O50" s="5" t="n">
        <v>3500</v>
      </c>
      <c r="P50" s="5" t="n">
        <v>0.875</v>
      </c>
      <c r="Q50">
        <f>L50+IF(M50&gt;1,N(N50)*(M50-1),0)</f>
        <v/>
      </c>
      <c r="R50">
        <f>IFERROR(K50*MAX(M50,1)/Q50*P50,0)</f>
        <v/>
      </c>
      <c r="AA50" s="6" t="inlineStr">
        <is>
          <t>^SmallArms, ^Chaingun</t>
        </is>
      </c>
    </row>
    <row r="51">
      <c r="B51" s="6" t="inlineStr">
        <is>
          <t xml:space="preserve">  ↳ asianalliance_fanatic_shotgun_upgrade</t>
        </is>
      </c>
      <c r="C51" s="6" t="inlineStr">
        <is>
          <t>Armament@GARRISONEDUpgrade</t>
        </is>
      </c>
      <c r="K51" s="5" t="n">
        <v>2000</v>
      </c>
      <c r="L51" s="5" t="n">
        <v>75</v>
      </c>
      <c r="M51" s="5" t="n">
        <v>13</v>
      </c>
      <c r="N51" s="5" t="n">
        <v>0</v>
      </c>
      <c r="O51" s="5" t="n">
        <v>3500</v>
      </c>
      <c r="P51" s="5" t="n">
        <v>0.875</v>
      </c>
      <c r="Q51">
        <f>L51+IF(M51&gt;1,N(N51)*(M51-1),0)</f>
        <v/>
      </c>
      <c r="R51">
        <f>IFERROR(K51*MAX(M51,1)/Q51*P51,0)</f>
        <v/>
      </c>
      <c r="AA51" s="6" t="inlineStr">
        <is>
          <t>^SmallArms, ^Chaingun</t>
        </is>
      </c>
    </row>
    <row r="52">
      <c r="B52" s="6" t="inlineStr">
        <is>
          <t xml:space="preserve">  ↳ asianalliance_fanatic_shotgun_elite</t>
        </is>
      </c>
      <c r="C52" s="6" t="inlineStr">
        <is>
          <t>Armament@GARRISONEDELITE</t>
        </is>
      </c>
      <c r="K52" s="5" t="n">
        <v>2000</v>
      </c>
      <c r="L52" s="5" t="n">
        <v>75</v>
      </c>
      <c r="M52" s="5" t="n">
        <v>16</v>
      </c>
      <c r="N52" s="5" t="n">
        <v>0</v>
      </c>
      <c r="O52" s="5" t="n">
        <v>3500</v>
      </c>
      <c r="P52" s="5" t="n">
        <v>0.875</v>
      </c>
      <c r="Q52">
        <f>L52+IF(M52&gt;1,N(N52)*(M52-1),0)</f>
        <v/>
      </c>
      <c r="R52">
        <f>IFERROR(K52*MAX(M52,1)/Q52*P52,0)</f>
        <v/>
      </c>
      <c r="AA52" s="6" t="inlineStr">
        <is>
          <t>^SmallArms, ^Chaingun</t>
        </is>
      </c>
    </row>
    <row r="53">
      <c r="A53" t="inlineStr">
        <is>
          <t>redalert2mod</t>
        </is>
      </c>
      <c r="B53" t="inlineStr">
        <is>
          <t>asianalliance_japanesesamurai</t>
        </is>
      </c>
      <c r="C53" t="inlineStr">
        <is>
          <t>Japanese Samurai</t>
        </is>
      </c>
      <c r="D53" t="inlineStr"/>
      <c r="E53" s="5" t="n">
        <v>40000</v>
      </c>
      <c r="F53" s="5" t="n">
        <v>72</v>
      </c>
      <c r="G53" t="inlineStr">
        <is>
          <t>Plate</t>
        </is>
      </c>
      <c r="H53" s="5" t="n">
        <v>1</v>
      </c>
      <c r="I53" s="5" t="n">
        <v>1</v>
      </c>
      <c r="J53" s="5" t="n">
        <v>1</v>
      </c>
      <c r="O53">
        <f>MAX(O54,O55,O56)</f>
        <v/>
      </c>
      <c r="R53">
        <f>R54+R55+R56</f>
        <v/>
      </c>
      <c r="S53">
        <f>(E53/100000+F53/100+(O53/1000)*J53/5+R53/200)*200*I53*H53</f>
        <v/>
      </c>
      <c r="T53">
        <f>((E53*F53/25000)+((O53/1000)*J53*R53/2.5))*I53*H53</f>
        <v/>
      </c>
      <c r="U53">
        <f>(E53*F53*(O53/1000)*J53*R53*I53*H53)/12500000</f>
        <v/>
      </c>
      <c r="V53">
        <f>(S53+T53+U53)/3</f>
        <v/>
      </c>
      <c r="W53" s="5" t="n">
        <v>350</v>
      </c>
      <c r="X53">
        <f>IFERROR(V53-W53,"")</f>
        <v/>
      </c>
      <c r="Y53">
        <f>IFERROR(ABS(X53)/MAX(W53,1),"")</f>
        <v/>
      </c>
      <c r="Z53">
        <f>IFERROR((W53-(((E53/100000+F53/100+R53/200)*200*I53*H53)+((E53*F53/25000)*I53*H53))/3)/(((J53/5)*200*I53*H53)+((J53*R53/2.5)*I53*H53)+((E53*F53*J53*R53*I53*H53)/12500000))/3*1000,"")</f>
        <v/>
      </c>
    </row>
    <row r="54">
      <c r="B54" s="6" t="inlineStr">
        <is>
          <t xml:space="preserve">  ↳ AsianSamuraiSword1</t>
        </is>
      </c>
      <c r="C54" s="6" t="inlineStr">
        <is>
          <t>Armament@Sword1</t>
        </is>
      </c>
      <c r="K54" s="5" t="n">
        <v>20000</v>
      </c>
      <c r="L54" s="5" t="n">
        <v>40</v>
      </c>
      <c r="M54" s="5" t="n">
        <v>1</v>
      </c>
      <c r="N54" s="5" t="n"/>
      <c r="O54" s="5" t="n">
        <v>1579</v>
      </c>
      <c r="P54" s="5" t="n">
        <v>1</v>
      </c>
      <c r="Q54">
        <f>L54+IF(M54&gt;1,N(N54)*(M54-1),0)</f>
        <v/>
      </c>
      <c r="R54">
        <f>IFERROR(K54*MAX(M54,1)/Q54*P54,0)</f>
        <v/>
      </c>
      <c r="AA54" s="6" t="inlineStr">
        <is>
          <t>^SwordWeapon</t>
        </is>
      </c>
    </row>
    <row r="55">
      <c r="B55" s="6" t="inlineStr">
        <is>
          <t xml:space="preserve">  ↳ AsianSamuraiSword2</t>
        </is>
      </c>
      <c r="C55" s="6" t="inlineStr">
        <is>
          <t>Armament@Sword2</t>
        </is>
      </c>
      <c r="K55" s="5" t="n">
        <v>20000</v>
      </c>
      <c r="L55" s="5" t="n">
        <v>40</v>
      </c>
      <c r="M55" s="5" t="n">
        <v>2</v>
      </c>
      <c r="N55" s="5" t="n">
        <v>3</v>
      </c>
      <c r="O55" s="5" t="n">
        <v>1579</v>
      </c>
      <c r="P55" s="5" t="n">
        <v>1</v>
      </c>
      <c r="Q55">
        <f>L55+IF(M55&gt;1,N(N55)*(M55-1),0)</f>
        <v/>
      </c>
      <c r="R55">
        <f>IFERROR(K55*MAX(M55,1)/Q55*P55,0)</f>
        <v/>
      </c>
      <c r="AA55" s="6" t="inlineStr">
        <is>
          <t>^SwordWeapon</t>
        </is>
      </c>
    </row>
    <row r="56">
      <c r="B56" s="6" t="inlineStr">
        <is>
          <t xml:space="preserve">  ↳ AsianSamuraiSword3</t>
        </is>
      </c>
      <c r="C56" s="6" t="inlineStr">
        <is>
          <t>Armament@Sword3</t>
        </is>
      </c>
      <c r="K56" s="5" t="n">
        <v>20000</v>
      </c>
      <c r="L56" s="5" t="n">
        <v>40</v>
      </c>
      <c r="M56" s="5" t="n">
        <v>3</v>
      </c>
      <c r="N56" s="5" t="n">
        <v>3</v>
      </c>
      <c r="O56" s="5" t="n">
        <v>1579</v>
      </c>
      <c r="P56" s="5" t="n">
        <v>1</v>
      </c>
      <c r="Q56">
        <f>L56+IF(M56&gt;1,N(N56)*(M56-1),0)</f>
        <v/>
      </c>
      <c r="R56">
        <f>IFERROR(K56*MAX(M56,1)/Q56*P56,0)</f>
        <v/>
      </c>
      <c r="AA56" s="6" t="inlineStr">
        <is>
          <t>^SwordWeapon</t>
        </is>
      </c>
    </row>
    <row r="57">
      <c r="A57" t="inlineStr">
        <is>
          <t>redalert2mod</t>
        </is>
      </c>
      <c r="B57" t="inlineStr">
        <is>
          <t>asianalliance_plasmatrooper</t>
        </is>
      </c>
      <c r="C57" t="inlineStr">
        <is>
          <t>Plasma Trooper</t>
        </is>
      </c>
      <c r="D57" t="inlineStr"/>
      <c r="E57" s="5" t="n">
        <v>64000</v>
      </c>
      <c r="F57" s="5" t="n">
        <v>42</v>
      </c>
      <c r="G57" t="inlineStr">
        <is>
          <t>Plate</t>
        </is>
      </c>
      <c r="H57" s="5" t="n">
        <v>0.75</v>
      </c>
      <c r="I57" s="5" t="n">
        <v>0.8</v>
      </c>
      <c r="J57" s="5" t="n">
        <v>1</v>
      </c>
      <c r="O57">
        <f>MAX(O58,O59)</f>
        <v/>
      </c>
      <c r="R57">
        <f>R58+R59</f>
        <v/>
      </c>
      <c r="S57">
        <f>(E57/100000+F57/100+(O57/1000)*J57/5+R57/200)*200*I57*H57</f>
        <v/>
      </c>
      <c r="T57">
        <f>((E57*F57/25000)+((O57/1000)*J57*R57/2.5))*I57*H57</f>
        <v/>
      </c>
      <c r="U57">
        <f>(E57*F57*(O57/1000)*J57*R57*I57*H57)/12500000</f>
        <v/>
      </c>
      <c r="V57">
        <f>(S57+T57+U57)/3</f>
        <v/>
      </c>
      <c r="W57" s="5" t="n">
        <v>500</v>
      </c>
      <c r="X57">
        <f>IFERROR(V57-W57,"")</f>
        <v/>
      </c>
      <c r="Y57">
        <f>IFERROR(ABS(X57)/MAX(W57,1),"")</f>
        <v/>
      </c>
      <c r="Z57">
        <f>IFERROR((W57-(((E57/100000+F57/100+R57/200)*200*I57*H57)+((E57*F57/25000)*I57*H57))/3)/(((J57/5)*200*I57*H57)+((J57*R57/2.5)*I57*H57)+((E57*F57*J57*R57*I57*H57)/12500000))/3*1000,"")</f>
        <v/>
      </c>
    </row>
    <row r="58">
      <c r="B58" s="6" t="inlineStr">
        <is>
          <t xml:space="preserve">  ↳ AsianSinglePlasma</t>
        </is>
      </c>
      <c r="C58" s="6" t="inlineStr">
        <is>
          <t>Armament@PRIMARY</t>
        </is>
      </c>
      <c r="K58" s="5" t="n">
        <v>2000</v>
      </c>
      <c r="L58" s="5" t="n">
        <v>34</v>
      </c>
      <c r="M58" s="5" t="n">
        <v>1</v>
      </c>
      <c r="N58" s="5" t="n"/>
      <c r="O58" s="5" t="n">
        <v>5190</v>
      </c>
      <c r="P58" s="5" t="n">
        <v>1</v>
      </c>
      <c r="Q58">
        <f>L58+IF(M58&gt;1,N(N58)*(M58-1),0)</f>
        <v/>
      </c>
      <c r="R58">
        <f>IFERROR(K58*MAX(M58,1)/Q58*P58,0)</f>
        <v/>
      </c>
      <c r="AA58" s="6" t="inlineStr">
        <is>
          <t>^LightFlameWeapon, ^LightChemicalWeapon, ^MediumFlameWeapon, ^MediumChemicalWeapon, ^MediumCannon, ^ShrapnelWeapon, ^HeavyBomb, ^RA2HeavyCannon</t>
        </is>
      </c>
    </row>
    <row r="59">
      <c r="B59" s="6" t="inlineStr">
        <is>
          <t xml:space="preserve">  ↳ AsianSinglePlasmaE</t>
        </is>
      </c>
      <c r="C59" s="6" t="inlineStr">
        <is>
          <t>Armament@ELITE</t>
        </is>
      </c>
      <c r="K59" s="5" t="n">
        <v>2000</v>
      </c>
      <c r="L59" s="5" t="n">
        <v>34</v>
      </c>
      <c r="M59" s="5" t="n">
        <v>2</v>
      </c>
      <c r="N59" s="5" t="n">
        <v>3</v>
      </c>
      <c r="O59" s="5" t="n">
        <v>5836</v>
      </c>
      <c r="P59" s="5" t="n">
        <v>1</v>
      </c>
      <c r="Q59">
        <f>L59+IF(M59&gt;1,N(N59)*(M59-1),0)</f>
        <v/>
      </c>
      <c r="R59">
        <f>IFERROR(K59*MAX(M59,1)/Q59*P59,0)</f>
        <v/>
      </c>
      <c r="AA59" s="6" t="inlineStr">
        <is>
          <t>^LightFlameWeapon, ^LightChemicalWeapon, ^MediumFlameWeapon, ^MediumChemicalWeapon, ^MediumCannon, ^ShrapnelWeapon, ^HeavyBomb, ^RA2HeavyCannon</t>
        </is>
      </c>
    </row>
    <row r="60">
      <c r="B60" s="6" t="inlineStr">
        <is>
          <t xml:space="preserve">  ↳ AsianSinglePlasma</t>
        </is>
      </c>
      <c r="C60" s="6" t="inlineStr">
        <is>
          <t>Armament@GARRISONED</t>
        </is>
      </c>
      <c r="K60" s="5" t="n">
        <v>2000</v>
      </c>
      <c r="L60" s="5" t="n">
        <v>34</v>
      </c>
      <c r="M60" s="5" t="n">
        <v>1</v>
      </c>
      <c r="N60" s="5" t="n"/>
      <c r="O60" s="5" t="n">
        <v>5190</v>
      </c>
      <c r="P60" s="5" t="n">
        <v>1</v>
      </c>
      <c r="Q60">
        <f>L60+IF(M60&gt;1,N(N60)*(M60-1),0)</f>
        <v/>
      </c>
      <c r="R60">
        <f>IFERROR(K60*MAX(M60,1)/Q60*P60,0)</f>
        <v/>
      </c>
      <c r="AA60" s="6" t="inlineStr">
        <is>
          <t>^LightFlameWeapon, ^LightChemicalWeapon, ^MediumFlameWeapon, ^MediumChemicalWeapon, ^MediumCannon, ^ShrapnelWeapon, ^HeavyBomb, ^RA2HeavyCannon</t>
        </is>
      </c>
    </row>
    <row r="61">
      <c r="B61" s="6" t="inlineStr">
        <is>
          <t xml:space="preserve">  ↳ AsianSinglePlasmaE</t>
        </is>
      </c>
      <c r="C61" s="6" t="inlineStr">
        <is>
          <t>Armament@GARRISONEDELITE</t>
        </is>
      </c>
      <c r="K61" s="5" t="n">
        <v>2000</v>
      </c>
      <c r="L61" s="5" t="n">
        <v>34</v>
      </c>
      <c r="M61" s="5" t="n">
        <v>2</v>
      </c>
      <c r="N61" s="5" t="n">
        <v>3</v>
      </c>
      <c r="O61" s="5" t="n">
        <v>5836</v>
      </c>
      <c r="P61" s="5" t="n">
        <v>1</v>
      </c>
      <c r="Q61">
        <f>L61+IF(M61&gt;1,N(N61)*(M61-1),0)</f>
        <v/>
      </c>
      <c r="R61">
        <f>IFERROR(K61*MAX(M61,1)/Q61*P61,0)</f>
        <v/>
      </c>
      <c r="AA61" s="6" t="inlineStr">
        <is>
          <t>^LightFlameWeapon, ^LightChemicalWeapon, ^MediumFlameWeapon, ^MediumChemicalWeapon, ^MediumCannon, ^ShrapnelWeapon, ^HeavyBomb, ^RA2HeavyCannon</t>
        </is>
      </c>
    </row>
    <row r="62">
      <c r="A62" t="inlineStr">
        <is>
          <t>redalert2mod</t>
        </is>
      </c>
      <c r="B62" t="inlineStr">
        <is>
          <t>asianalliance_shinobi</t>
        </is>
      </c>
      <c r="C62" t="inlineStr">
        <is>
          <t>Shinobi</t>
        </is>
      </c>
      <c r="D62" t="inlineStr"/>
      <c r="E62" s="5" t="n">
        <v>20000</v>
      </c>
      <c r="F62" s="5" t="n">
        <v>60</v>
      </c>
      <c r="G62" t="inlineStr">
        <is>
          <t>Flak</t>
        </is>
      </c>
      <c r="H62" s="5" t="n">
        <v>1</v>
      </c>
      <c r="I62" s="5" t="n">
        <v>0.75</v>
      </c>
      <c r="J62" s="5" t="n">
        <v>1</v>
      </c>
      <c r="O62">
        <f>MAX(O63,O64)</f>
        <v/>
      </c>
      <c r="R62">
        <f>R63+R64</f>
        <v/>
      </c>
      <c r="S62">
        <f>(E62/100000+F62/100+(O62/1000)*J62/5+R62/200)*200*I62*H62</f>
        <v/>
      </c>
      <c r="T62">
        <f>((E62*F62/25000)+((O62/1000)*J62*R62/2.5))*I62*H62</f>
        <v/>
      </c>
      <c r="U62">
        <f>(E62*F62*(O62/1000)*J62*R62*I62*H62)/12500000</f>
        <v/>
      </c>
      <c r="V62">
        <f>(S62+T62+U62)/3</f>
        <v/>
      </c>
      <c r="W62" s="5" t="n">
        <v>750</v>
      </c>
      <c r="X62">
        <f>IFERROR(V62-W62,"")</f>
        <v/>
      </c>
      <c r="Y62">
        <f>IFERROR(ABS(X62)/MAX(W62,1),"")</f>
        <v/>
      </c>
      <c r="Z62">
        <f>IFERROR((W62-(((E62/100000+F62/100+R62/200)*200*I62*H62)+((E62*F62/25000)*I62*H62))/3)/(((J62/5)*200*I62*H62)+((J62*R62/2.5)*I62*H62)+((E62*F62*J62*R62*I62*H62)/12500000))/3*1000,"")</f>
        <v/>
      </c>
    </row>
    <row r="63">
      <c r="B63" s="6" t="inlineStr">
        <is>
          <t xml:space="preserve">  ↳ AsianNinjaStar</t>
        </is>
      </c>
      <c r="C63" s="6" t="inlineStr">
        <is>
          <t>Armament@PRIMARY</t>
        </is>
      </c>
      <c r="K63" s="5" t="n">
        <v>20000</v>
      </c>
      <c r="L63" s="5" t="n">
        <v>25</v>
      </c>
      <c r="M63" s="5" t="n">
        <v>1</v>
      </c>
      <c r="N63" s="5" t="n"/>
      <c r="O63" s="5" t="n">
        <v>4560</v>
      </c>
      <c r="P63" s="5" t="n">
        <v>1</v>
      </c>
      <c r="Q63">
        <f>L63+IF(M63&gt;1,N(N63)*(M63-1),0)</f>
        <v/>
      </c>
      <c r="R63">
        <f>IFERROR(K63*MAX(M63,1)/Q63*P63,0)</f>
        <v/>
      </c>
      <c r="AA63" s="6" t="inlineStr">
        <is>
          <t>^SwordWeapon</t>
        </is>
      </c>
    </row>
    <row r="64">
      <c r="B64" s="6" t="inlineStr">
        <is>
          <t xml:space="preserve">  ↳ AsianNinjaStarE</t>
        </is>
      </c>
      <c r="C64" s="6" t="inlineStr">
        <is>
          <t>Armament@ELITE</t>
        </is>
      </c>
      <c r="K64" s="5" t="n">
        <v>20000</v>
      </c>
      <c r="L64" s="5" t="n">
        <v>25</v>
      </c>
      <c r="M64" s="5" t="n">
        <v>2</v>
      </c>
      <c r="N64" s="5" t="n">
        <v>3</v>
      </c>
      <c r="O64" s="5" t="n">
        <v>5560</v>
      </c>
      <c r="P64" s="5" t="n">
        <v>1</v>
      </c>
      <c r="Q64">
        <f>L64+IF(M64&gt;1,N(N64)*(M64-1),0)</f>
        <v/>
      </c>
      <c r="R64">
        <f>IFERROR(K64*MAX(M64,1)/Q64*P64,0)</f>
        <v/>
      </c>
      <c r="AA64" s="6" t="inlineStr">
        <is>
          <t>^SwordWeapon</t>
        </is>
      </c>
    </row>
    <row r="65">
      <c r="B65" s="6" t="inlineStr">
        <is>
          <t xml:space="preserve">  ↳ AsianNinjaStar</t>
        </is>
      </c>
      <c r="C65" s="6" t="inlineStr">
        <is>
          <t>Armament@GARRISONED</t>
        </is>
      </c>
      <c r="K65" s="5" t="n">
        <v>20000</v>
      </c>
      <c r="L65" s="5" t="n">
        <v>25</v>
      </c>
      <c r="M65" s="5" t="n">
        <v>1</v>
      </c>
      <c r="N65" s="5" t="n"/>
      <c r="O65" s="5" t="n">
        <v>4560</v>
      </c>
      <c r="P65" s="5" t="n">
        <v>1</v>
      </c>
      <c r="Q65">
        <f>L65+IF(M65&gt;1,N(N65)*(M65-1),0)</f>
        <v/>
      </c>
      <c r="R65">
        <f>IFERROR(K65*MAX(M65,1)/Q65*P65,0)</f>
        <v/>
      </c>
      <c r="AA65" s="6" t="inlineStr">
        <is>
          <t>^SwordWeapon</t>
        </is>
      </c>
    </row>
    <row r="66">
      <c r="B66" s="6" t="inlineStr">
        <is>
          <t xml:space="preserve">  ↳ AsianNinjaStarE</t>
        </is>
      </c>
      <c r="C66" s="6" t="inlineStr">
        <is>
          <t>Armament@GARRISONEDELITE</t>
        </is>
      </c>
      <c r="K66" s="5" t="n">
        <v>20000</v>
      </c>
      <c r="L66" s="5" t="n">
        <v>25</v>
      </c>
      <c r="M66" s="5" t="n">
        <v>2</v>
      </c>
      <c r="N66" s="5" t="n">
        <v>3</v>
      </c>
      <c r="O66" s="5" t="n">
        <v>5560</v>
      </c>
      <c r="P66" s="5" t="n">
        <v>1</v>
      </c>
      <c r="Q66">
        <f>L66+IF(M66&gt;1,N(N66)*(M66-1),0)</f>
        <v/>
      </c>
      <c r="R66">
        <f>IFERROR(K66*MAX(M66,1)/Q66*P66,0)</f>
        <v/>
      </c>
      <c r="AA66" s="6" t="inlineStr">
        <is>
          <t>^SwordWeapon</t>
        </is>
      </c>
    </row>
    <row r="67">
      <c r="A67" t="inlineStr">
        <is>
          <t>redalert2mod</t>
        </is>
      </c>
      <c r="B67" t="inlineStr">
        <is>
          <t>asianalliance_veteranarcher</t>
        </is>
      </c>
      <c r="C67" t="inlineStr">
        <is>
          <t>Veteran Archer</t>
        </is>
      </c>
      <c r="D67" t="inlineStr"/>
      <c r="E67" s="5" t="n">
        <v>14000</v>
      </c>
      <c r="F67" s="5" t="n">
        <v>68</v>
      </c>
      <c r="G67" t="inlineStr">
        <is>
          <t>Flak</t>
        </is>
      </c>
      <c r="H67" s="5" t="n">
        <v>1</v>
      </c>
      <c r="I67" s="5" t="n">
        <v>0.5</v>
      </c>
      <c r="J67" s="5" t="n">
        <v>1</v>
      </c>
      <c r="O67">
        <f>MAX(O68,O69)</f>
        <v/>
      </c>
      <c r="R67">
        <f>R68+R69</f>
        <v/>
      </c>
      <c r="S67">
        <f>(E67/100000+F67/100+(O67/1000)*J67/5+R67/200)*200*I67*H67</f>
        <v/>
      </c>
      <c r="T67">
        <f>((E67*F67/25000)+((O67/1000)*J67*R67/2.5))*I67*H67</f>
        <v/>
      </c>
      <c r="U67">
        <f>(E67*F67*(O67/1000)*J67*R67*I67*H67)/12500000</f>
        <v/>
      </c>
      <c r="V67">
        <f>(S67+T67+U67)/3</f>
        <v/>
      </c>
      <c r="W67" s="5" t="n">
        <v>450</v>
      </c>
      <c r="X67">
        <f>IFERROR(V67-W67,"")</f>
        <v/>
      </c>
      <c r="Y67">
        <f>IFERROR(ABS(X67)/MAX(W67,1),"")</f>
        <v/>
      </c>
      <c r="Z67">
        <f>IFERROR((W67-(((E67/100000+F67/100+R67/200)*200*I67*H67)+((E67*F67/25000)*I67*H67))/3)/(((J67/5)*200*I67*H67)+((J67*R67/2.5)*I67*H67)+((E67*F67*J67*R67*I67*H67)/12500000))/3*1000,"")</f>
        <v/>
      </c>
    </row>
    <row r="68">
      <c r="B68" s="6" t="inlineStr">
        <is>
          <t xml:space="preserve">  ↳ AsianMaidenBow</t>
        </is>
      </c>
      <c r="C68" s="6" t="inlineStr">
        <is>
          <t>Armament@PRIMARY</t>
        </is>
      </c>
      <c r="K68" s="5" t="n">
        <v>2000</v>
      </c>
      <c r="L68" s="5" t="n">
        <v>68</v>
      </c>
      <c r="M68" s="5" t="n">
        <v>3</v>
      </c>
      <c r="N68" s="5" t="n">
        <v>0</v>
      </c>
      <c r="O68" s="5" t="n">
        <v>6740</v>
      </c>
      <c r="P68" s="5" t="n">
        <v>1</v>
      </c>
      <c r="Q68">
        <f>L68+IF(M68&gt;1,N(N68)*(M68-1),0)</f>
        <v/>
      </c>
      <c r="R68">
        <f>IFERROR(K68*MAX(M68,1)/Q68*P68,0)</f>
        <v/>
      </c>
      <c r="AA68" s="6" t="inlineStr">
        <is>
          <t>^MediumMissile, ^FlakWeapon, ^TeslaWeapon, ^MagicWeapon, ^Grenade, ^ArrowWeapon</t>
        </is>
      </c>
    </row>
    <row r="69">
      <c r="B69" s="6" t="inlineStr">
        <is>
          <t xml:space="preserve">  ↳ AsianMaidenBowE</t>
        </is>
      </c>
      <c r="C69" s="6" t="inlineStr">
        <is>
          <t>Armament@ELITE</t>
        </is>
      </c>
      <c r="K69" s="5" t="n">
        <v>2000</v>
      </c>
      <c r="L69" s="5" t="n">
        <v>68</v>
      </c>
      <c r="M69" s="5" t="n">
        <v>6</v>
      </c>
      <c r="N69" s="5" t="n">
        <v>0</v>
      </c>
      <c r="O69" s="5" t="n">
        <v>7740</v>
      </c>
      <c r="P69" s="5" t="n">
        <v>1</v>
      </c>
      <c r="Q69">
        <f>L69+IF(M69&gt;1,N(N69)*(M69-1),0)</f>
        <v/>
      </c>
      <c r="R69">
        <f>IFERROR(K69*MAX(M69,1)/Q69*P69,0)</f>
        <v/>
      </c>
      <c r="AA69" s="6" t="inlineStr">
        <is>
          <t>^MediumMissile, ^FlakWeapon, ^TeslaWeapon, ^MagicWeapon, ^Grenade, ^ArrowWeapon</t>
        </is>
      </c>
    </row>
    <row r="70">
      <c r="B70" s="6" t="inlineStr">
        <is>
          <t xml:space="preserve">  ↳ AsianMaidenBow</t>
        </is>
      </c>
      <c r="C70" s="6" t="inlineStr">
        <is>
          <t>Armament@GARRISONED</t>
        </is>
      </c>
      <c r="K70" s="5" t="n">
        <v>2000</v>
      </c>
      <c r="L70" s="5" t="n">
        <v>68</v>
      </c>
      <c r="M70" s="5" t="n">
        <v>3</v>
      </c>
      <c r="N70" s="5" t="n">
        <v>0</v>
      </c>
      <c r="O70" s="5" t="n">
        <v>6740</v>
      </c>
      <c r="P70" s="5" t="n">
        <v>1</v>
      </c>
      <c r="Q70">
        <f>L70+IF(M70&gt;1,N(N70)*(M70-1),0)</f>
        <v/>
      </c>
      <c r="R70">
        <f>IFERROR(K70*MAX(M70,1)/Q70*P70,0)</f>
        <v/>
      </c>
      <c r="AA70" s="6" t="inlineStr">
        <is>
          <t>^MediumMissile, ^FlakWeapon, ^TeslaWeapon, ^MagicWeapon, ^Grenade, ^ArrowWeapon</t>
        </is>
      </c>
    </row>
    <row r="71">
      <c r="B71" s="6" t="inlineStr">
        <is>
          <t xml:space="preserve">  ↳ AsianMaidenBowE</t>
        </is>
      </c>
      <c r="C71" s="6" t="inlineStr">
        <is>
          <t>Armament@GARRISONEDELITE</t>
        </is>
      </c>
      <c r="K71" s="5" t="n">
        <v>2000</v>
      </c>
      <c r="L71" s="5" t="n">
        <v>68</v>
      </c>
      <c r="M71" s="5" t="n">
        <v>6</v>
      </c>
      <c r="N71" s="5" t="n">
        <v>0</v>
      </c>
      <c r="O71" s="5" t="n">
        <v>7740</v>
      </c>
      <c r="P71" s="5" t="n">
        <v>1</v>
      </c>
      <c r="Q71">
        <f>L71+IF(M71&gt;1,N(N71)*(M71-1),0)</f>
        <v/>
      </c>
      <c r="R71">
        <f>IFERROR(K71*MAX(M71,1)/Q71*P71,0)</f>
        <v/>
      </c>
      <c r="AA71" s="6" t="inlineStr">
        <is>
          <t>^MediumMissile, ^FlakWeapon, ^TeslaWeapon, ^MagicWeapon, ^Grenade, ^ArrowWeapon</t>
        </is>
      </c>
    </row>
    <row r="72">
      <c r="A72" s="3" t="inlineStr">
        <is>
          <t>VEHICLES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</row>
    <row r="73">
      <c r="A73" t="inlineStr">
        <is>
          <t>redalert2mod</t>
        </is>
      </c>
      <c r="B73" t="inlineStr">
        <is>
          <t>asianalliance_asianflametank</t>
        </is>
      </c>
      <c r="C73" t="inlineStr">
        <is>
          <t>Asian Flame Tank</t>
        </is>
      </c>
      <c r="D73" t="inlineStr"/>
      <c r="E73" s="5" t="n">
        <v>85000</v>
      </c>
      <c r="F73" s="5" t="n">
        <v>85</v>
      </c>
      <c r="G73" t="inlineStr">
        <is>
          <t>Medium</t>
        </is>
      </c>
      <c r="H73" s="5" t="n">
        <v>1</v>
      </c>
      <c r="I73" s="5" t="n">
        <v>1</v>
      </c>
      <c r="J73" s="5" t="n">
        <v>1</v>
      </c>
      <c r="O73">
        <f>MAX(O74,O75)</f>
        <v/>
      </c>
      <c r="R73">
        <f>R74+R75</f>
        <v/>
      </c>
      <c r="S73">
        <f>(E73/100000+F73/100+(O73/1000)*J73/5+R73/200)*200*I73*H73</f>
        <v/>
      </c>
      <c r="T73">
        <f>((E73*F73/25000)+((O73/1000)*J73*R73/2.5))*I73*H73</f>
        <v/>
      </c>
      <c r="U73">
        <f>(E73*F73*(O73/1000)*J73*R73*I73*H73)/12500000</f>
        <v/>
      </c>
      <c r="V73">
        <f>(S73+T73+U73)/3</f>
        <v/>
      </c>
      <c r="W73" s="5" t="n">
        <v>1300</v>
      </c>
      <c r="X73">
        <f>IFERROR(V73-W73,"")</f>
        <v/>
      </c>
      <c r="Y73">
        <f>IFERROR(ABS(X73)/MAX(W73,1),"")</f>
        <v/>
      </c>
      <c r="Z73">
        <f>IFERROR((W73-(((E73/100000+F73/100+R73/200)*200*I73*H73)+((E73*F73/25000)*I73*H73))/3)/(((J73/5)*200*I73*H73)+((J73*R73/2.5)*I73*H73)+((E73*F73*J73*R73*I73*H73)/12500000))/3*1000,"")</f>
        <v/>
      </c>
    </row>
    <row r="74">
      <c r="B74" s="6" t="inlineStr">
        <is>
          <t xml:space="preserve">  ↳ AsianFlamerTank</t>
        </is>
      </c>
      <c r="C74" s="6" t="inlineStr">
        <is>
          <t>Armament@AG</t>
        </is>
      </c>
      <c r="K74" s="5" t="n">
        <v>4000</v>
      </c>
      <c r="L74" s="5" t="n">
        <v>25</v>
      </c>
      <c r="M74" s="5" t="n">
        <v>6</v>
      </c>
      <c r="N74" s="5" t="n">
        <v>3</v>
      </c>
      <c r="O74" s="5" t="n">
        <v>3700</v>
      </c>
      <c r="P74" s="5" t="n">
        <v>1</v>
      </c>
      <c r="Q74">
        <f>L74+IF(M74&gt;1,N(N74)*(M74-1),0)</f>
        <v/>
      </c>
      <c r="R74">
        <f>IFERROR(K74*MAX(M74,1)/Q74*P74,0)</f>
        <v/>
      </c>
      <c r="AA74" s="6" t="inlineStr">
        <is>
          <t>^LightFlameWeapon</t>
        </is>
      </c>
    </row>
    <row r="75">
      <c r="B75" s="6" t="inlineStr">
        <is>
          <t xml:space="preserve">  ↳ AsianFlamerTankE</t>
        </is>
      </c>
      <c r="C75" s="6" t="inlineStr">
        <is>
          <t>Armament@ELITE</t>
        </is>
      </c>
      <c r="K75" s="5" t="n">
        <v>4000</v>
      </c>
      <c r="L75" s="5" t="n">
        <v>25</v>
      </c>
      <c r="M75" s="5" t="n">
        <v>12</v>
      </c>
      <c r="N75" s="5" t="n">
        <v>3</v>
      </c>
      <c r="O75" s="5" t="n">
        <v>4700</v>
      </c>
      <c r="P75" s="5" t="n">
        <v>1</v>
      </c>
      <c r="Q75">
        <f>L75+IF(M75&gt;1,N(N75)*(M75-1),0)</f>
        <v/>
      </c>
      <c r="R75">
        <f>IFERROR(K75*MAX(M75,1)/Q75*P75,0)</f>
        <v/>
      </c>
      <c r="AA75" s="6" t="inlineStr">
        <is>
          <t>^LightFlameWeapon</t>
        </is>
      </c>
    </row>
    <row r="76">
      <c r="A76" t="inlineStr">
        <is>
          <t>redalert2mod</t>
        </is>
      </c>
      <c r="B76" t="inlineStr">
        <is>
          <t>asianalliance_asianmobileconstructionvehicle</t>
        </is>
      </c>
      <c r="C76" t="inlineStr">
        <is>
          <t>Asian Mobile Construction Vehicle</t>
        </is>
      </c>
      <c r="D76" t="inlineStr"/>
      <c r="E76" s="5" t="n">
        <v>300000</v>
      </c>
      <c r="F76" s="5" t="n">
        <v>75</v>
      </c>
      <c r="G76" t="inlineStr">
        <is>
          <t>Medium</t>
        </is>
      </c>
      <c r="H76" s="5" t="n">
        <v>1</v>
      </c>
      <c r="I76" s="5" t="n">
        <v>1</v>
      </c>
      <c r="J76" s="5" t="n">
        <v>1</v>
      </c>
      <c r="W76" s="5" t="n">
        <v>5000</v>
      </c>
    </row>
    <row r="77">
      <c r="A77" t="inlineStr">
        <is>
          <t>redalert2mod</t>
        </is>
      </c>
      <c r="B77" t="inlineStr">
        <is>
          <t>asianalliance_dragonfly</t>
        </is>
      </c>
      <c r="C77" t="inlineStr">
        <is>
          <t>Dragonfly</t>
        </is>
      </c>
      <c r="D77" t="inlineStr"/>
      <c r="E77" s="5" t="n">
        <v>32500</v>
      </c>
      <c r="F77" s="5" t="n">
        <v>100</v>
      </c>
      <c r="G77" t="inlineStr">
        <is>
          <t>Light</t>
        </is>
      </c>
      <c r="H77" s="5" t="n">
        <v>1</v>
      </c>
      <c r="I77" s="5" t="n">
        <v>1.25</v>
      </c>
      <c r="J77" s="5" t="n">
        <v>1.25</v>
      </c>
      <c r="W77" s="5" t="n">
        <v>1200</v>
      </c>
    </row>
    <row r="78">
      <c r="A78" t="inlineStr">
        <is>
          <t>redalert2mod</t>
        </is>
      </c>
      <c r="B78" t="inlineStr">
        <is>
          <t>asianalliance_droneminer</t>
        </is>
      </c>
      <c r="C78" t="inlineStr">
        <is>
          <t>Drone Miner</t>
        </is>
      </c>
      <c r="D78" t="inlineStr"/>
      <c r="E78" s="5" t="n">
        <v>25000</v>
      </c>
      <c r="F78" s="5" t="n">
        <v>125</v>
      </c>
      <c r="G78" t="inlineStr">
        <is>
          <t>Medium</t>
        </is>
      </c>
      <c r="H78" s="5" t="n">
        <v>1</v>
      </c>
      <c r="I78" s="5" t="n">
        <v>1</v>
      </c>
      <c r="J78" s="5" t="n">
        <v>1</v>
      </c>
      <c r="W78" s="5" t="n">
        <v>250</v>
      </c>
    </row>
    <row r="79">
      <c r="A79" t="inlineStr">
        <is>
          <t>redalert2mod</t>
        </is>
      </c>
      <c r="B79" t="inlineStr">
        <is>
          <t>asianalliance_heavyrailguntank</t>
        </is>
      </c>
      <c r="C79" t="inlineStr">
        <is>
          <t>Heavy Railgun Tank</t>
        </is>
      </c>
      <c r="D79" t="inlineStr"/>
      <c r="E79" s="5" t="n">
        <v>250000</v>
      </c>
      <c r="F79" s="5" t="n">
        <v>50</v>
      </c>
      <c r="G79" t="inlineStr">
        <is>
          <t>Heavy</t>
        </is>
      </c>
      <c r="H79" s="5" t="n">
        <v>1</v>
      </c>
      <c r="I79" s="5" t="n">
        <v>1</v>
      </c>
      <c r="J79" s="5" t="n">
        <v>1</v>
      </c>
      <c r="O79">
        <f>MAX(O80,O81)</f>
        <v/>
      </c>
      <c r="R79">
        <f>R80+R81</f>
        <v/>
      </c>
      <c r="S79">
        <f>(E79/100000+F79/100+(O79/1000)*J79/5+R79/200)*200*I79*H79</f>
        <v/>
      </c>
      <c r="T79">
        <f>((E79*F79/25000)+((O79/1000)*J79*R79/2.5))*I79*H79</f>
        <v/>
      </c>
      <c r="U79">
        <f>(E79*F79*(O79/1000)*J79*R79*I79*H79)/12500000</f>
        <v/>
      </c>
      <c r="V79">
        <f>(S79+T79+U79)/3</f>
        <v/>
      </c>
      <c r="W79" s="5" t="n">
        <v>2200</v>
      </c>
      <c r="X79">
        <f>IFERROR(V79-W79,"")</f>
        <v/>
      </c>
      <c r="Y79">
        <f>IFERROR(ABS(X79)/MAX(W79,1),"")</f>
        <v/>
      </c>
      <c r="Z79">
        <f>IFERROR((W79-(((E79/100000+F79/100+R79/200)*200*I79*H79)+((E79*F79/25000)*I79*H79))/3)/(((J79/5)*200*I79*H79)+((J79*R79/2.5)*I79*H79)+((E79*F79*J79*R79*I79*H79)/12500000))/3*1000,"")</f>
        <v/>
      </c>
    </row>
    <row r="80">
      <c r="B80" s="6" t="inlineStr">
        <is>
          <t xml:space="preserve">  ↳ AsianRailTank2</t>
        </is>
      </c>
      <c r="C80" s="6" t="inlineStr">
        <is>
          <t>Armament@PRIMARY</t>
        </is>
      </c>
      <c r="K80" s="5" t="n">
        <v>36000</v>
      </c>
      <c r="L80" s="5" t="n">
        <v>75</v>
      </c>
      <c r="M80" s="5" t="n">
        <v>1</v>
      </c>
      <c r="N80" s="5" t="n"/>
      <c r="O80" s="5" t="n">
        <v>10000</v>
      </c>
      <c r="P80" s="5" t="n">
        <v>1</v>
      </c>
      <c r="Q80">
        <f>L80+IF(M80&gt;1,N(N80)*(M80-1),0)</f>
        <v/>
      </c>
      <c r="R80">
        <f>IFERROR(K80*MAX(M80,1)/Q80*P80,0)</f>
        <v/>
      </c>
      <c r="AA80" s="6" t="inlineStr">
        <is>
          <t>^RailgunWeapon</t>
        </is>
      </c>
    </row>
    <row r="81">
      <c r="B81" s="6" t="inlineStr">
        <is>
          <t xml:space="preserve">  ↳ AsianRailTank3</t>
        </is>
      </c>
      <c r="C81" s="6" t="inlineStr">
        <is>
          <t>Armament@ELITE</t>
        </is>
      </c>
      <c r="K81" s="5" t="n">
        <v>48000</v>
      </c>
      <c r="L81" s="5" t="n">
        <v>90</v>
      </c>
      <c r="M81" s="5" t="n">
        <v>1</v>
      </c>
      <c r="N81" s="5" t="n"/>
      <c r="O81" s="5" t="n">
        <v>11111</v>
      </c>
      <c r="P81" s="5" t="n">
        <v>1</v>
      </c>
      <c r="Q81">
        <f>L81+IF(M81&gt;1,N(N81)*(M81-1),0)</f>
        <v/>
      </c>
      <c r="R81">
        <f>IFERROR(K81*MAX(M81,1)/Q81*P81,0)</f>
        <v/>
      </c>
      <c r="AA81" s="6" t="inlineStr">
        <is>
          <t>^RailgunWeapon</t>
        </is>
      </c>
    </row>
    <row r="82">
      <c r="A82" t="inlineStr">
        <is>
          <t>redalert2mod</t>
        </is>
      </c>
      <c r="B82" t="inlineStr">
        <is>
          <t>asianalliance_howitzer</t>
        </is>
      </c>
      <c r="C82" t="inlineStr">
        <is>
          <t>Howitzer</t>
        </is>
      </c>
      <c r="D82" t="inlineStr"/>
      <c r="E82" s="5" t="n">
        <v>40000</v>
      </c>
      <c r="F82" s="5" t="n">
        <v>60</v>
      </c>
      <c r="G82" t="inlineStr">
        <is>
          <t>Heavy</t>
        </is>
      </c>
      <c r="H82" s="5" t="n">
        <v>1</v>
      </c>
      <c r="I82" s="5" t="n">
        <v>1</v>
      </c>
      <c r="J82" s="5" t="n">
        <v>1</v>
      </c>
      <c r="O82">
        <f>MAX(O83,O84)</f>
        <v/>
      </c>
      <c r="R82">
        <f>R83+R84</f>
        <v/>
      </c>
      <c r="S82">
        <f>(E82/100000+F82/100+(O82/1000)*J82/5+R82/200)*200*I82*H82</f>
        <v/>
      </c>
      <c r="T82">
        <f>((E82*F82/25000)+((O82/1000)*J82*R82/2.5))*I82*H82</f>
        <v/>
      </c>
      <c r="U82">
        <f>(E82*F82*(O82/1000)*J82*R82*I82*H82)/12500000</f>
        <v/>
      </c>
      <c r="V82">
        <f>(S82+T82+U82)/3</f>
        <v/>
      </c>
      <c r="W82" s="5" t="n">
        <v>1600</v>
      </c>
      <c r="X82">
        <f>IFERROR(V82-W82,"")</f>
        <v/>
      </c>
      <c r="Y82">
        <f>IFERROR(ABS(X82)/MAX(W82,1),"")</f>
        <v/>
      </c>
      <c r="Z82">
        <f>IFERROR((W82-(((E82/100000+F82/100+R82/200)*200*I82*H82)+((E82*F82/25000)*I82*H82))/3)/(((J82/5)*200*I82*H82)+((J82*R82/2.5)*I82*H82)+((E82*F82*J82*R82*I82*H82)/12500000))/3*1000,"")</f>
        <v/>
      </c>
    </row>
    <row r="83">
      <c r="B83" s="6" t="inlineStr">
        <is>
          <t xml:space="preserve">  ↳ AsianHowitzerCannon</t>
        </is>
      </c>
      <c r="C83" s="6" t="inlineStr">
        <is>
          <t>Armament</t>
        </is>
      </c>
      <c r="K83" s="5" t="n">
        <v>20000</v>
      </c>
      <c r="L83" s="5" t="n">
        <v>160</v>
      </c>
      <c r="M83" s="5" t="n">
        <v>1</v>
      </c>
      <c r="N83" s="5" t="n"/>
      <c r="O83" s="5" t="n">
        <v>16000</v>
      </c>
      <c r="P83" s="5" t="n">
        <v>1</v>
      </c>
      <c r="Q83">
        <f>L83+IF(M83&gt;1,N(N83)*(M83-1),0)</f>
        <v/>
      </c>
      <c r="R83">
        <f>IFERROR(K83*MAX(M83,1)/Q83*P83,0)</f>
        <v/>
      </c>
      <c r="AA83" s="6" t="inlineStr">
        <is>
          <t>^RA2MediumCannon, ^RA2HeavyCannon</t>
        </is>
      </c>
    </row>
    <row r="84">
      <c r="B84" s="6" t="inlineStr">
        <is>
          <t xml:space="preserve">  ↳ AsianHowitzerCannonE</t>
        </is>
      </c>
      <c r="C84" s="6" t="inlineStr">
        <is>
          <t>Armament@ELITE</t>
        </is>
      </c>
      <c r="K84" s="5" t="n">
        <v>20000</v>
      </c>
      <c r="L84" s="5" t="n">
        <v>160</v>
      </c>
      <c r="M84" s="5" t="n">
        <v>1</v>
      </c>
      <c r="N84" s="5" t="n"/>
      <c r="O84" s="5" t="n">
        <v>20000</v>
      </c>
      <c r="P84" s="5" t="n">
        <v>1</v>
      </c>
      <c r="Q84">
        <f>L84+IF(M84&gt;1,N(N84)*(M84-1),0)</f>
        <v/>
      </c>
      <c r="R84">
        <f>IFERROR(K84*MAX(M84,1)/Q84*P84,0)</f>
        <v/>
      </c>
      <c r="AA84" s="6" t="inlineStr">
        <is>
          <t>^RA2MediumCannon, ^RA2HeavyCannon</t>
        </is>
      </c>
    </row>
    <row r="85">
      <c r="A85" t="inlineStr">
        <is>
          <t>redalert2mod</t>
        </is>
      </c>
      <c r="B85" t="inlineStr">
        <is>
          <t>asianalliance_lynxtank</t>
        </is>
      </c>
      <c r="C85" t="inlineStr">
        <is>
          <t>Lynx Tank</t>
        </is>
      </c>
      <c r="D85" t="inlineStr"/>
      <c r="E85" s="5" t="n">
        <v>120000</v>
      </c>
      <c r="F85" s="5" t="n">
        <v>90</v>
      </c>
      <c r="G85" t="inlineStr">
        <is>
          <t>Medium</t>
        </is>
      </c>
      <c r="H85" s="5" t="n">
        <v>1</v>
      </c>
      <c r="I85" s="5" t="n">
        <v>1</v>
      </c>
      <c r="J85" s="5" t="n">
        <v>1</v>
      </c>
      <c r="O85">
        <f>MAX(O86,O87,O88,O89)</f>
        <v/>
      </c>
      <c r="R85">
        <f>R86+R87+R88+R89</f>
        <v/>
      </c>
      <c r="S85">
        <f>(E85/100000+F85/100+(O85/1000)*J85/5+R85/200)*200*I85*H85</f>
        <v/>
      </c>
      <c r="T85">
        <f>((E85*F85/25000)+((O85/1000)*J85*R85/2.5))*I85*H85</f>
        <v/>
      </c>
      <c r="U85">
        <f>(E85*F85*(O85/1000)*J85*R85*I85*H85)/12500000</f>
        <v/>
      </c>
      <c r="V85">
        <f>(S85+T85+U85)/3</f>
        <v/>
      </c>
      <c r="W85" s="5" t="n">
        <v>850</v>
      </c>
      <c r="X85">
        <f>IFERROR(V85-W85,"")</f>
        <v/>
      </c>
      <c r="Y85">
        <f>IFERROR(ABS(X85)/MAX(W85,1),"")</f>
        <v/>
      </c>
      <c r="Z85">
        <f>IFERROR((W85-(((E85/100000+F85/100+R85/200)*200*I85*H85)+((E85*F85/25000)*I85*H85))/3)/(((J85/5)*200*I85*H85)+((J85*R85/2.5)*I85*H85)+((E85*F85*J85*R85*I85*H85)/12500000))/3*1000,"")</f>
        <v/>
      </c>
    </row>
    <row r="86">
      <c r="B86" s="6" t="inlineStr">
        <is>
          <t xml:space="preserve">  ↳ AsianLynxTankCannon</t>
        </is>
      </c>
      <c r="C86" s="6" t="inlineStr">
        <is>
          <t>Armament</t>
        </is>
      </c>
      <c r="K86" s="5" t="n">
        <v>2000</v>
      </c>
      <c r="L86" s="5" t="n">
        <v>55</v>
      </c>
      <c r="M86" s="5" t="n">
        <v>1</v>
      </c>
      <c r="N86" s="5" t="n"/>
      <c r="O86" s="5" t="n">
        <v>5357</v>
      </c>
      <c r="P86" s="5" t="n">
        <v>1</v>
      </c>
      <c r="Q86">
        <f>L86+IF(M86&gt;1,N(N86)*(M86-1),0)</f>
        <v/>
      </c>
      <c r="R86">
        <f>IFERROR(K86*MAX(M86,1)/Q86*P86,0)</f>
        <v/>
      </c>
      <c r="AA86" s="6" t="inlineStr">
        <is>
          <t>^Grenade, ^ShrapnelWeapon, ^LightFlameWeapon, ^MediumChemicalWeapon, ^TankDestroyerCannon, ^RA2MediumCannon</t>
        </is>
      </c>
    </row>
    <row r="87">
      <c r="B87" s="6" t="inlineStr">
        <is>
          <t xml:space="preserve">  ↳ AsianLynxTankCannon_elite</t>
        </is>
      </c>
      <c r="C87" s="6" t="inlineStr">
        <is>
          <t>Armament@elite</t>
        </is>
      </c>
      <c r="K87" s="5" t="n">
        <v>2000</v>
      </c>
      <c r="L87" s="5" t="n">
        <v>55</v>
      </c>
      <c r="M87" s="5" t="n">
        <v>2</v>
      </c>
      <c r="N87" s="5" t="n">
        <v>3</v>
      </c>
      <c r="O87" s="5" t="n">
        <v>6357</v>
      </c>
      <c r="P87" s="5" t="n">
        <v>1</v>
      </c>
      <c r="Q87">
        <f>L87+IF(M87&gt;1,N(N87)*(M87-1),0)</f>
        <v/>
      </c>
      <c r="R87">
        <f>IFERROR(K87*MAX(M87,1)/Q87*P87,0)</f>
        <v/>
      </c>
      <c r="AA87" s="6" t="inlineStr">
        <is>
          <t>^Grenade, ^ShrapnelWeapon, ^LightFlameWeapon, ^MediumChemicalWeapon, ^TankDestroyerCannon, ^RA2MediumCannon, ^RA2EliteEffects</t>
        </is>
      </c>
    </row>
    <row r="88">
      <c r="B88" s="6" t="inlineStr">
        <is>
          <t xml:space="preserve">  ↳ AsianLynxMG</t>
        </is>
      </c>
      <c r="C88" s="6" t="inlineStr">
        <is>
          <t>Armament@MG</t>
        </is>
      </c>
      <c r="K88" s="5" t="n">
        <v>2000</v>
      </c>
      <c r="L88" s="5" t="n">
        <v>51</v>
      </c>
      <c r="M88" s="5" t="n">
        <v>3</v>
      </c>
      <c r="N88" s="5" t="n">
        <v>2</v>
      </c>
      <c r="O88" s="5" t="n">
        <v>5357</v>
      </c>
      <c r="P88" s="5" t="n">
        <v>1</v>
      </c>
      <c r="Q88">
        <f>L88+IF(M88&gt;1,N(N88)*(M88-1),0)</f>
        <v/>
      </c>
      <c r="R88">
        <f>IFERROR(K88*MAX(M88,1)/Q88*P88,0)</f>
        <v/>
      </c>
      <c r="AA88" s="6" t="inlineStr">
        <is>
          <t>^RA2SmallArms, ^RA2Chaingun</t>
        </is>
      </c>
    </row>
    <row r="89">
      <c r="B89" s="6" t="inlineStr">
        <is>
          <t xml:space="preserve">  ↳ AsianLynxMG_elite</t>
        </is>
      </c>
      <c r="C89" s="6" t="inlineStr">
        <is>
          <t>Armament@MGelite</t>
        </is>
      </c>
      <c r="K89" s="5" t="n">
        <v>2000</v>
      </c>
      <c r="L89" s="5" t="n">
        <v>51</v>
      </c>
      <c r="M89" s="5" t="n">
        <v>6</v>
      </c>
      <c r="N89" s="5" t="n">
        <v>2</v>
      </c>
      <c r="O89" s="5" t="n">
        <v>6357</v>
      </c>
      <c r="P89" s="5" t="n">
        <v>1</v>
      </c>
      <c r="Q89">
        <f>L89+IF(M89&gt;1,N(N89)*(M89-1),0)</f>
        <v/>
      </c>
      <c r="R89">
        <f>IFERROR(K89*MAX(M89,1)/Q89*P89,0)</f>
        <v/>
      </c>
      <c r="AA89" s="6" t="inlineStr">
        <is>
          <t>^RA2SmallArms, ^RA2Chaingun, ^RA2EliteEffects</t>
        </is>
      </c>
    </row>
    <row r="90">
      <c r="A90" t="inlineStr">
        <is>
          <t>redalert2mod</t>
        </is>
      </c>
      <c r="B90" t="inlineStr">
        <is>
          <t>asianalliance_oiltruck</t>
        </is>
      </c>
      <c r="C90" t="inlineStr">
        <is>
          <t>Oil Truck</t>
        </is>
      </c>
      <c r="D90" t="inlineStr"/>
      <c r="E90" s="5" t="n">
        <v>20000</v>
      </c>
      <c r="F90" s="5" t="n">
        <v>100</v>
      </c>
      <c r="G90" t="inlineStr">
        <is>
          <t>Light</t>
        </is>
      </c>
      <c r="H90" s="5" t="n">
        <v>1</v>
      </c>
      <c r="I90" s="5" t="n">
        <v>1</v>
      </c>
      <c r="J90" s="5" t="n">
        <v>1</v>
      </c>
      <c r="O90">
        <f>MAX(O91)</f>
        <v/>
      </c>
      <c r="R90">
        <f>R91</f>
        <v/>
      </c>
      <c r="S90">
        <f>(E90/100000+F90/100+(O90/1000)*J90/5+R90/200)*200*I90*H90</f>
        <v/>
      </c>
      <c r="T90">
        <f>((E90*F90/25000)+((O90/1000)*J90*R90/2.5))*I90*H90</f>
        <v/>
      </c>
      <c r="U90">
        <f>(E90*F90*(O90/1000)*J90*R90*I90*H90)/12500000</f>
        <v/>
      </c>
      <c r="V90">
        <f>(S90+T90+U90)/3</f>
        <v/>
      </c>
      <c r="W90" s="5" t="n">
        <v>1000</v>
      </c>
      <c r="X90">
        <f>IFERROR(V90-W90,"")</f>
        <v/>
      </c>
      <c r="Y90">
        <f>IFERROR(ABS(X90)/MAX(W90,1),"")</f>
        <v/>
      </c>
      <c r="Z90">
        <f>IFERROR((W90-(((E90/100000+F90/100+R90/200)*200*I90*H90)+((E90*F90/25000)*I90*H90))/3)/(((J90/5)*200*I90*H90)+((J90*R90/2.5)*I90*H90)+((E90*F90*J90*R90*I90*H90)/12500000))/3*1000,"")</f>
        <v/>
      </c>
    </row>
    <row r="91">
      <c r="B91" s="6" t="inlineStr">
        <is>
          <t xml:space="preserve">  ↳ DemoTruckTargeting</t>
        </is>
      </c>
      <c r="C91" s="6" t="inlineStr">
        <is>
          <t>Armament@PRIMARY</t>
        </is>
      </c>
      <c r="K91" s="5" t="n"/>
      <c r="L91" s="5" t="n"/>
      <c r="M91" s="5" t="n">
        <v>1</v>
      </c>
      <c r="N91" s="5" t="n"/>
      <c r="O91" s="5" t="n">
        <v>2000</v>
      </c>
      <c r="P91" s="5" t="n">
        <v>1</v>
      </c>
      <c r="Q91">
        <f>L91+IF(M91&gt;1,N(N91)*(M91-1),0)</f>
        <v/>
      </c>
      <c r="R91">
        <f>IFERROR(K91*MAX(M91,1)/Q91*P91,0)</f>
        <v/>
      </c>
      <c r="AA91" s="6" t="inlineStr"/>
    </row>
    <row r="92">
      <c r="A92" t="inlineStr">
        <is>
          <t>redalert2mod</t>
        </is>
      </c>
      <c r="B92" t="inlineStr">
        <is>
          <t>asianalliance_pulverizer</t>
        </is>
      </c>
      <c r="C92" t="inlineStr">
        <is>
          <t>Pulverizer</t>
        </is>
      </c>
      <c r="D92" t="inlineStr"/>
      <c r="E92" s="5" t="n">
        <v>85000</v>
      </c>
      <c r="F92" s="5" t="n">
        <v>65</v>
      </c>
      <c r="G92" t="inlineStr">
        <is>
          <t>Medium</t>
        </is>
      </c>
      <c r="H92" s="5" t="n">
        <v>1</v>
      </c>
      <c r="I92" s="5" t="n">
        <v>1</v>
      </c>
      <c r="J92" s="5" t="n">
        <v>1.25</v>
      </c>
      <c r="O92">
        <f>MAX(O93,O94)</f>
        <v/>
      </c>
      <c r="R92">
        <f>R93+R94</f>
        <v/>
      </c>
      <c r="S92">
        <f>(E92/100000+F92/100+(O92/1000)*J92/5+R92/200)*200*I92*H92</f>
        <v/>
      </c>
      <c r="T92">
        <f>((E92*F92/25000)+((O92/1000)*J92*R92/2.5))*I92*H92</f>
        <v/>
      </c>
      <c r="U92">
        <f>(E92*F92*(O92/1000)*J92*R92*I92*H92)/12500000</f>
        <v/>
      </c>
      <c r="V92">
        <f>(S92+T92+U92)/3</f>
        <v/>
      </c>
      <c r="W92" s="5" t="n">
        <v>1400</v>
      </c>
      <c r="X92">
        <f>IFERROR(V92-W92,"")</f>
        <v/>
      </c>
      <c r="Y92">
        <f>IFERROR(ABS(X92)/MAX(W92,1),"")</f>
        <v/>
      </c>
      <c r="Z92">
        <f>IFERROR((W92-(((E92/100000+F92/100+R92/200)*200*I92*H92)+((E92*F92/25000)*I92*H92))/3)/(((J92/5)*200*I92*H92)+((J92*R92/2.5)*I92*H92)+((E92*F92*J92*R92*I92*H92)/12500000))/3*1000,"")</f>
        <v/>
      </c>
    </row>
    <row r="93">
      <c r="B93" s="6" t="inlineStr">
        <is>
          <t xml:space="preserve">  ↳ AsianPulverizerGatling</t>
        </is>
      </c>
      <c r="C93" s="6" t="inlineStr">
        <is>
          <t>Armament@1</t>
        </is>
      </c>
      <c r="K93" s="5" t="n">
        <v>2000</v>
      </c>
      <c r="L93" s="5" t="n">
        <v>12</v>
      </c>
      <c r="M93" s="5" t="n">
        <v>1</v>
      </c>
      <c r="N93" s="5" t="n"/>
      <c r="O93" s="5" t="n">
        <v>5517</v>
      </c>
      <c r="P93" s="5" t="n">
        <v>1</v>
      </c>
      <c r="Q93">
        <f>L93+IF(M93&gt;1,N(N93)*(M93-1),0)</f>
        <v/>
      </c>
      <c r="R93">
        <f>IFERROR(K93*MAX(M93,1)/Q93*P93,0)</f>
        <v/>
      </c>
      <c r="AA93" s="6" t="inlineStr">
        <is>
          <t>^HeavyCannon, ^SmallArms, ^RA2Chaingun</t>
        </is>
      </c>
    </row>
    <row r="94">
      <c r="B94" s="6" t="inlineStr">
        <is>
          <t xml:space="preserve">  ↳ AsianPulverizerGatling</t>
        </is>
      </c>
      <c r="C94" s="6" t="inlineStr">
        <is>
          <t>Armament@2</t>
        </is>
      </c>
      <c r="K94" s="5" t="n">
        <v>2000</v>
      </c>
      <c r="L94" s="5" t="n">
        <v>12</v>
      </c>
      <c r="M94" s="5" t="n">
        <v>1</v>
      </c>
      <c r="N94" s="5" t="n"/>
      <c r="O94" s="5" t="n">
        <v>5517</v>
      </c>
      <c r="P94" s="5" t="n">
        <v>1</v>
      </c>
      <c r="Q94">
        <f>L94+IF(M94&gt;1,N(N94)*(M94-1),0)</f>
        <v/>
      </c>
      <c r="R94">
        <f>IFERROR(K94*MAX(M94,1)/Q94*P94,0)</f>
        <v/>
      </c>
      <c r="AA94" s="6" t="inlineStr">
        <is>
          <t>^HeavyCannon, ^SmallArms, ^RA2Chaingun</t>
        </is>
      </c>
    </row>
    <row r="95">
      <c r="A95" t="inlineStr">
        <is>
          <t>redalert2mod</t>
        </is>
      </c>
      <c r="B95" t="inlineStr">
        <is>
          <t>asianalliance_pulverizermecha</t>
        </is>
      </c>
      <c r="C95" t="inlineStr">
        <is>
          <t>Pulverizer Mecha</t>
        </is>
      </c>
      <c r="D95" t="inlineStr"/>
      <c r="E95" s="5" t="n">
        <v>285000</v>
      </c>
      <c r="F95" s="5" t="n">
        <v>55</v>
      </c>
      <c r="G95" t="inlineStr">
        <is>
          <t>Superheavy</t>
        </is>
      </c>
      <c r="H95" s="5" t="n">
        <v>0.75</v>
      </c>
      <c r="I95" s="5" t="n">
        <v>1</v>
      </c>
      <c r="J95" s="5" t="n">
        <v>1.25</v>
      </c>
      <c r="O95">
        <f>MAX(O96,O97)</f>
        <v/>
      </c>
      <c r="R95">
        <f>R96+R97</f>
        <v/>
      </c>
      <c r="S95">
        <f>(E95/100000+F95/100+(O95/1000)*J95/5+R95/200)*200*I95*H95</f>
        <v/>
      </c>
      <c r="T95">
        <f>((E95*F95/25000)+((O95/1000)*J95*R95/2.5))*I95*H95</f>
        <v/>
      </c>
      <c r="U95">
        <f>(E95*F95*(O95/1000)*J95*R95*I95*H95)/12500000</f>
        <v/>
      </c>
      <c r="V95">
        <f>(S95+T95+U95)/3</f>
        <v/>
      </c>
      <c r="W95" s="5" t="n">
        <v>3000</v>
      </c>
      <c r="X95">
        <f>IFERROR(V95-W95,"")</f>
        <v/>
      </c>
      <c r="Y95">
        <f>IFERROR(ABS(X95)/MAX(W95,1),"")</f>
        <v/>
      </c>
      <c r="Z95">
        <f>IFERROR((W95-(((E95/100000+F95/100+R95/200)*200*I95*H95)+((E95*F95/25000)*I95*H95))/3)/(((J95/5)*200*I95*H95)+((J95*R95/2.5)*I95*H95)+((E95*F95*J95*R95*I95*H95)/12500000))/3*1000,"")</f>
        <v/>
      </c>
    </row>
    <row r="96">
      <c r="B96" s="6" t="inlineStr">
        <is>
          <t xml:space="preserve">  ↳ AsianPulverizerMechaGatling</t>
        </is>
      </c>
      <c r="C96" s="6" t="inlineStr">
        <is>
          <t>Armament@1</t>
        </is>
      </c>
      <c r="K96" s="5" t="n">
        <v>2000</v>
      </c>
      <c r="L96" s="5" t="n">
        <v>15</v>
      </c>
      <c r="M96" s="5" t="n">
        <v>1</v>
      </c>
      <c r="N96" s="5" t="n"/>
      <c r="O96" s="5" t="n">
        <v>7020</v>
      </c>
      <c r="P96" s="5" t="n">
        <v>1</v>
      </c>
      <c r="Q96">
        <f>L96+IF(M96&gt;1,N(N96)*(M96-1),0)</f>
        <v/>
      </c>
      <c r="R96">
        <f>IFERROR(K96*MAX(M96,1)/Q96*P96,0)</f>
        <v/>
      </c>
      <c r="AA96" s="6" t="inlineStr">
        <is>
          <t>^MediumChemicalWeapon, ^MediumMissile, ^HeavyCannon, ^SmallArms, ^RA2Chaingun</t>
        </is>
      </c>
    </row>
    <row r="97">
      <c r="B97" s="6" t="inlineStr">
        <is>
          <t xml:space="preserve">  ↳ AsianPulverizerMechaGatling</t>
        </is>
      </c>
      <c r="C97" s="6" t="inlineStr">
        <is>
          <t>Armament@2</t>
        </is>
      </c>
      <c r="K97" s="5" t="n">
        <v>2000</v>
      </c>
      <c r="L97" s="5" t="n">
        <v>15</v>
      </c>
      <c r="M97" s="5" t="n">
        <v>1</v>
      </c>
      <c r="N97" s="5" t="n"/>
      <c r="O97" s="5" t="n">
        <v>7020</v>
      </c>
      <c r="P97" s="5" t="n">
        <v>1</v>
      </c>
      <c r="Q97">
        <f>L97+IF(M97&gt;1,N(N97)*(M97-1),0)</f>
        <v/>
      </c>
      <c r="R97">
        <f>IFERROR(K97*MAX(M97,1)/Q97*P97,0)</f>
        <v/>
      </c>
      <c r="AA97" s="6" t="inlineStr">
        <is>
          <t>^MediumChemicalWeapon, ^MediumMissile, ^HeavyCannon, ^SmallArms, ^RA2Chaingun</t>
        </is>
      </c>
    </row>
    <row r="98">
      <c r="A98" t="inlineStr">
        <is>
          <t>redalert2mod</t>
        </is>
      </c>
      <c r="B98" t="inlineStr">
        <is>
          <t>asianalliance_quasar</t>
        </is>
      </c>
      <c r="C98" t="inlineStr">
        <is>
          <t>Quasar</t>
        </is>
      </c>
      <c r="D98" t="inlineStr"/>
      <c r="E98" s="5" t="n">
        <v>55000</v>
      </c>
      <c r="F98" s="5" t="n">
        <v>125</v>
      </c>
      <c r="G98" t="inlineStr">
        <is>
          <t>Light</t>
        </is>
      </c>
      <c r="H98" s="5" t="n">
        <v>1</v>
      </c>
      <c r="I98" s="5" t="n">
        <v>1</v>
      </c>
      <c r="J98" s="5" t="n">
        <v>1</v>
      </c>
      <c r="O98">
        <f>MAX(O99,O100,O101,O102)</f>
        <v/>
      </c>
      <c r="R98">
        <f>R99+R100+R101+R102</f>
        <v/>
      </c>
      <c r="S98">
        <f>(E98/100000+F98/100+(O98/1000)*J98/5+R98/200)*200*I98*H98</f>
        <v/>
      </c>
      <c r="T98">
        <f>((E98*F98/25000)+((O98/1000)*J98*R98/2.5))*I98*H98</f>
        <v/>
      </c>
      <c r="U98">
        <f>(E98*F98*(O98/1000)*J98*R98*I98*H98)/12500000</f>
        <v/>
      </c>
      <c r="V98">
        <f>(S98+T98+U98)/3</f>
        <v/>
      </c>
      <c r="W98" s="5" t="n">
        <v>900</v>
      </c>
      <c r="X98">
        <f>IFERROR(V98-W98,"")</f>
        <v/>
      </c>
      <c r="Y98">
        <f>IFERROR(ABS(X98)/MAX(W98,1),"")</f>
        <v/>
      </c>
      <c r="Z98">
        <f>IFERROR((W98-(((E98/100000+F98/100+R98/200)*200*I98*H98)+((E98*F98/25000)*I98*H98))/3)/(((J98/5)*200*I98*H98)+((J98*R98/2.5)*I98*H98)+((E98*F98*J98*R98*I98*H98)/12500000))/3*1000,"")</f>
        <v/>
      </c>
    </row>
    <row r="99">
      <c r="B99" s="6" t="inlineStr">
        <is>
          <t xml:space="preserve">  ↳ AsianQuasarAG</t>
        </is>
      </c>
      <c r="C99" s="6" t="inlineStr">
        <is>
          <t>Armament@AG</t>
        </is>
      </c>
      <c r="K99" s="5" t="n">
        <v>2000</v>
      </c>
      <c r="L99" s="5" t="n">
        <v>33</v>
      </c>
      <c r="M99" s="5" t="n">
        <v>1</v>
      </c>
      <c r="N99" s="5" t="n"/>
      <c r="O99" s="5" t="n">
        <v>6000</v>
      </c>
      <c r="P99" s="5" t="n">
        <v>1</v>
      </c>
      <c r="Q99">
        <f>L99+IF(M99&gt;1,N(N99)*(M99-1),0)</f>
        <v/>
      </c>
      <c r="R99">
        <f>IFERROR(K99*MAX(M99,1)/Q99*P99,0)</f>
        <v/>
      </c>
      <c r="AA99" s="6" t="inlineStr">
        <is>
          <t>^MediumMissile, ^FlakWeapon, ^TeslaWeapon, ^MagicWeapon</t>
        </is>
      </c>
    </row>
    <row r="100">
      <c r="B100" s="6" t="inlineStr">
        <is>
          <t xml:space="preserve">  ↳ AsianQuasarAGEMP</t>
        </is>
      </c>
      <c r="C100" s="6" t="inlineStr">
        <is>
          <t>Armament@UpgradeAG</t>
        </is>
      </c>
      <c r="K100" s="5" t="n">
        <v>2000</v>
      </c>
      <c r="L100" s="5" t="n">
        <v>33</v>
      </c>
      <c r="M100" s="5" t="n">
        <v>1</v>
      </c>
      <c r="N100" s="5" t="n"/>
      <c r="O100" s="5" t="n">
        <v>6000</v>
      </c>
      <c r="P100" s="5" t="n">
        <v>1</v>
      </c>
      <c r="Q100">
        <f>L100+IF(M100&gt;1,N(N100)*(M100-1),0)</f>
        <v/>
      </c>
      <c r="R100">
        <f>IFERROR(K100*MAX(M100,1)/Q100*P100,0)</f>
        <v/>
      </c>
      <c r="AA100" s="6" t="inlineStr">
        <is>
          <t>^MediumMissile, ^FlakWeapon, ^TeslaWeapon, ^MagicWeapon</t>
        </is>
      </c>
    </row>
    <row r="101">
      <c r="B101" s="6" t="inlineStr">
        <is>
          <t xml:space="preserve">  ↳ AsianQuasarAA</t>
        </is>
      </c>
      <c r="C101" s="6" t="inlineStr">
        <is>
          <t>Armament@AA</t>
        </is>
      </c>
      <c r="K101" s="5" t="n">
        <v>2000</v>
      </c>
      <c r="L101" s="5" t="n">
        <v>33</v>
      </c>
      <c r="M101" s="5" t="n">
        <v>1</v>
      </c>
      <c r="N101" s="5" t="n"/>
      <c r="O101" s="5" t="n">
        <v>9000</v>
      </c>
      <c r="P101" s="5" t="n">
        <v>1</v>
      </c>
      <c r="Q101">
        <f>L101+IF(M101&gt;1,N(N101)*(M101-1),0)</f>
        <v/>
      </c>
      <c r="R101">
        <f>IFERROR(K101*MAX(M101,1)/Q101*P101,0)</f>
        <v/>
      </c>
      <c r="AA101" s="6" t="inlineStr">
        <is>
          <t>^MediumMissile, ^FlakWeapon, ^TeslaWeapon, ^MagicWeapon</t>
        </is>
      </c>
    </row>
    <row r="102">
      <c r="B102" s="6" t="inlineStr">
        <is>
          <t xml:space="preserve">  ↳ AsianQuasarAAEMP</t>
        </is>
      </c>
      <c r="C102" s="6" t="inlineStr">
        <is>
          <t>Armament@UpgradeAA</t>
        </is>
      </c>
      <c r="K102" s="5" t="n">
        <v>2000</v>
      </c>
      <c r="L102" s="5" t="n">
        <v>33</v>
      </c>
      <c r="M102" s="5" t="n">
        <v>1</v>
      </c>
      <c r="N102" s="5" t="n"/>
      <c r="O102" s="5" t="n">
        <v>9000</v>
      </c>
      <c r="P102" s="5" t="n">
        <v>1</v>
      </c>
      <c r="Q102">
        <f>L102+IF(M102&gt;1,N(N102)*(M102-1),0)</f>
        <v/>
      </c>
      <c r="R102">
        <f>IFERROR(K102*MAX(M102,1)/Q102*P102,0)</f>
        <v/>
      </c>
      <c r="AA102" s="6" t="inlineStr">
        <is>
          <t>^MediumMissile, ^FlakWeapon, ^TeslaWeapon, ^MagicWeapon</t>
        </is>
      </c>
    </row>
    <row r="103">
      <c r="A103" t="inlineStr">
        <is>
          <t>redalert2mod</t>
        </is>
      </c>
      <c r="B103" t="inlineStr">
        <is>
          <t>asianalliance_railguntank</t>
        </is>
      </c>
      <c r="C103" t="inlineStr">
        <is>
          <t>Railgun Tank</t>
        </is>
      </c>
      <c r="D103" t="inlineStr"/>
      <c r="E103" s="5" t="n">
        <v>160000</v>
      </c>
      <c r="F103" s="5" t="n">
        <v>65</v>
      </c>
      <c r="G103" t="inlineStr">
        <is>
          <t>Medium</t>
        </is>
      </c>
      <c r="H103" s="5" t="n">
        <v>1</v>
      </c>
      <c r="I103" s="5" t="n">
        <v>1</v>
      </c>
      <c r="J103" s="5" t="n">
        <v>1</v>
      </c>
      <c r="O103">
        <f>MAX(O104,O105)</f>
        <v/>
      </c>
      <c r="R103">
        <f>R104+R105</f>
        <v/>
      </c>
      <c r="S103">
        <f>(E103/100000+F103/100+(O103/1000)*J103/5+R103/200)*200*I103*H103</f>
        <v/>
      </c>
      <c r="T103">
        <f>((E103*F103/25000)+((O103/1000)*J103*R103/2.5))*I103*H103</f>
        <v/>
      </c>
      <c r="U103">
        <f>(E103*F103*(O103/1000)*J103*R103*I103*H103)/12500000</f>
        <v/>
      </c>
      <c r="V103">
        <f>(S103+T103+U103)/3</f>
        <v/>
      </c>
      <c r="W103" s="5" t="n">
        <v>1500</v>
      </c>
      <c r="X103">
        <f>IFERROR(V103-W103,"")</f>
        <v/>
      </c>
      <c r="Y103">
        <f>IFERROR(ABS(X103)/MAX(W103,1),"")</f>
        <v/>
      </c>
      <c r="Z103">
        <f>IFERROR((W103-(((E103/100000+F103/100+R103/200)*200*I103*H103)+((E103*F103/25000)*I103*H103))/3)/(((J103/5)*200*I103*H103)+((J103*R103/2.5)*I103*H103)+((E103*F103*J103*R103*I103*H103)/12500000))/3*1000,"")</f>
        <v/>
      </c>
    </row>
    <row r="104">
      <c r="B104" s="6" t="inlineStr">
        <is>
          <t xml:space="preserve">  ↳ AsianRailTank</t>
        </is>
      </c>
      <c r="C104" s="6" t="inlineStr">
        <is>
          <t>Armament@PRIMARY</t>
        </is>
      </c>
      <c r="K104" s="5" t="n">
        <v>24000</v>
      </c>
      <c r="L104" s="5" t="n">
        <v>60</v>
      </c>
      <c r="M104" s="5" t="n">
        <v>1</v>
      </c>
      <c r="N104" s="5" t="n"/>
      <c r="O104" s="5" t="n">
        <v>8888</v>
      </c>
      <c r="P104" s="5" t="n">
        <v>1</v>
      </c>
      <c r="Q104">
        <f>L104+IF(M104&gt;1,N(N104)*(M104-1),0)</f>
        <v/>
      </c>
      <c r="R104">
        <f>IFERROR(K104*MAX(M104,1)/Q104*P104,0)</f>
        <v/>
      </c>
      <c r="AA104" s="6" t="inlineStr">
        <is>
          <t>^RailgunWeapon</t>
        </is>
      </c>
    </row>
    <row r="105">
      <c r="B105" s="6" t="inlineStr">
        <is>
          <t xml:space="preserve">  ↳ AsianRailTank2</t>
        </is>
      </c>
      <c r="C105" s="6" t="inlineStr">
        <is>
          <t>Armament@ELITE</t>
        </is>
      </c>
      <c r="K105" s="5" t="n">
        <v>36000</v>
      </c>
      <c r="L105" s="5" t="n">
        <v>75</v>
      </c>
      <c r="M105" s="5" t="n">
        <v>1</v>
      </c>
      <c r="N105" s="5" t="n"/>
      <c r="O105" s="5" t="n">
        <v>10000</v>
      </c>
      <c r="P105" s="5" t="n">
        <v>1</v>
      </c>
      <c r="Q105">
        <f>L105+IF(M105&gt;1,N(N105)*(M105-1),0)</f>
        <v/>
      </c>
      <c r="R105">
        <f>IFERROR(K105*MAX(M105,1)/Q105*P105,0)</f>
        <v/>
      </c>
      <c r="AA105" s="6" t="inlineStr">
        <is>
          <t>^RailgunWeapon</t>
        </is>
      </c>
    </row>
    <row r="106">
      <c r="A106" t="inlineStr">
        <is>
          <t>redalert2mod</t>
        </is>
      </c>
      <c r="B106" t="inlineStr">
        <is>
          <t>asianalliance_type89mlrs</t>
        </is>
      </c>
      <c r="C106" t="inlineStr">
        <is>
          <t>Type 89 MLRS</t>
        </is>
      </c>
      <c r="D106" t="inlineStr"/>
      <c r="E106" s="5" t="n">
        <v>40000</v>
      </c>
      <c r="F106" s="5" t="n">
        <v>80</v>
      </c>
      <c r="G106" t="inlineStr">
        <is>
          <t>Medium</t>
        </is>
      </c>
      <c r="H106" s="5" t="n">
        <v>0.75</v>
      </c>
      <c r="I106" s="5" t="n">
        <v>1</v>
      </c>
      <c r="J106" s="5" t="n">
        <v>1.25</v>
      </c>
      <c r="O106">
        <f>MAX(O107)</f>
        <v/>
      </c>
      <c r="R106">
        <f>R107</f>
        <v/>
      </c>
      <c r="S106">
        <f>(E106/100000+F106/100+(O106/1000)*J106/5+R106/200)*200*I106*H106</f>
        <v/>
      </c>
      <c r="T106">
        <f>((E106*F106/25000)+((O106/1000)*J106*R106/2.5))*I106*H106</f>
        <v/>
      </c>
      <c r="U106">
        <f>(E106*F106*(O106/1000)*J106*R106*I106*H106)/12500000</f>
        <v/>
      </c>
      <c r="V106">
        <f>(S106+T106+U106)/3</f>
        <v/>
      </c>
      <c r="W106" s="5" t="n">
        <v>1200</v>
      </c>
      <c r="X106">
        <f>IFERROR(V106-W106,"")</f>
        <v/>
      </c>
      <c r="Y106">
        <f>IFERROR(ABS(X106)/MAX(W106,1),"")</f>
        <v/>
      </c>
      <c r="Z106">
        <f>IFERROR((W106-(((E106/100000+F106/100+R106/200)*200*I106*H106)+((E106*F106/25000)*I106*H106))/3)/(((J106/5)*200*I106*H106)+((J106*R106/2.5)*I106*H106)+((E106*F106*J106*R106*I106*H106)/12500000))/3*1000,"")</f>
        <v/>
      </c>
    </row>
    <row r="107">
      <c r="B107" s="6" t="inlineStr">
        <is>
          <t xml:space="preserve">  ↳ AsianMLRS</t>
        </is>
      </c>
      <c r="C107" s="6" t="inlineStr">
        <is>
          <t>Armament@PRIMARY</t>
        </is>
      </c>
      <c r="K107" s="5" t="n">
        <v>2000</v>
      </c>
      <c r="L107" s="5" t="n">
        <v>16</v>
      </c>
      <c r="M107" s="5" t="n">
        <v>1</v>
      </c>
      <c r="N107" s="5" t="n"/>
      <c r="O107" s="5" t="n">
        <v>8500</v>
      </c>
      <c r="P107" s="5" t="n">
        <v>1</v>
      </c>
      <c r="Q107">
        <f>L107+IF(M107&gt;1,N(N107)*(M107-1),0)</f>
        <v/>
      </c>
      <c r="R107">
        <f>IFERROR(K107*MAX(M107,1)/Q107*P107,0)</f>
        <v/>
      </c>
      <c r="AA107" s="6" t="inlineStr">
        <is>
          <t>^HeavyMissile, ^FlakWeapon, ^RA2Grenade, ^RA2MediumMissile</t>
        </is>
      </c>
    </row>
    <row r="108">
      <c r="A108" t="inlineStr">
        <is>
          <t>redalert2mod</t>
        </is>
      </c>
      <c r="B108" t="inlineStr">
        <is>
          <t>asianalliance_viper</t>
        </is>
      </c>
      <c r="C108" t="inlineStr">
        <is>
          <t>Viper</t>
        </is>
      </c>
      <c r="D108" t="inlineStr"/>
      <c r="E108" s="5" t="n">
        <v>25000</v>
      </c>
      <c r="F108" s="5" t="n">
        <v>125</v>
      </c>
      <c r="G108" t="inlineStr">
        <is>
          <t>Light</t>
        </is>
      </c>
      <c r="H108" s="5" t="n">
        <v>1</v>
      </c>
      <c r="I108" s="5" t="n">
        <v>1</v>
      </c>
      <c r="J108" s="5" t="n">
        <v>1</v>
      </c>
      <c r="O108">
        <f>MAX(O109,O110)</f>
        <v/>
      </c>
      <c r="R108">
        <f>R109+R110</f>
        <v/>
      </c>
      <c r="S108">
        <f>(E108/100000+F108/100+(O108/1000)*J108/5+R108/200)*200*I108*H108</f>
        <v/>
      </c>
      <c r="T108">
        <f>((E108*F108/25000)+((O108/1000)*J108*R108/2.5))*I108*H108</f>
        <v/>
      </c>
      <c r="U108">
        <f>(E108*F108*(O108/1000)*J108*R108*I108*H108)/12500000</f>
        <v/>
      </c>
      <c r="V108">
        <f>(S108+T108+U108)/3</f>
        <v/>
      </c>
      <c r="W108" s="5" t="n">
        <v>700</v>
      </c>
      <c r="X108">
        <f>IFERROR(V108-W108,"")</f>
        <v/>
      </c>
      <c r="Y108">
        <f>IFERROR(ABS(X108)/MAX(W108,1),"")</f>
        <v/>
      </c>
      <c r="Z108">
        <f>IFERROR((W108-(((E108/100000+F108/100+R108/200)*200*I108*H108)+((E108*F108/25000)*I108*H108))/3)/(((J108/5)*200*I108*H108)+((J108*R108/2.5)*I108*H108)+((E108*F108*J108*R108*I108*H108)/12500000))/3*1000,"")</f>
        <v/>
      </c>
    </row>
    <row r="109">
      <c r="B109" s="6" t="inlineStr">
        <is>
          <t xml:space="preserve">  ↳ AsianChemical</t>
        </is>
      </c>
      <c r="C109" s="6" t="inlineStr">
        <is>
          <t>Armament@PRIMARY</t>
        </is>
      </c>
      <c r="K109" s="5" t="n">
        <v>4000</v>
      </c>
      <c r="L109" s="5" t="n">
        <v>60</v>
      </c>
      <c r="M109" s="5" t="n">
        <v>1</v>
      </c>
      <c r="N109" s="5" t="n"/>
      <c r="O109" s="5" t="n">
        <v>9000</v>
      </c>
      <c r="P109" s="5" t="n">
        <v>1</v>
      </c>
      <c r="Q109">
        <f>L109+IF(M109&gt;1,N(N109)*(M109-1),0)</f>
        <v/>
      </c>
      <c r="R109">
        <f>IFERROR(K109*MAX(M109,1)/Q109*P109,0)</f>
        <v/>
      </c>
      <c r="AA109" s="6" t="inlineStr">
        <is>
          <t>^LightChemicalWeapon, ^MediumChemicalWeapon, ^HeavyChemicalWeapon, ^HeavyBomb, ^ShrapnelWeapon, ^RA2Grenade</t>
        </is>
      </c>
    </row>
    <row r="110">
      <c r="B110" s="6" t="inlineStr">
        <is>
          <t xml:space="preserve">  ↳ AsianChemicalE</t>
        </is>
      </c>
      <c r="C110" s="6" t="inlineStr">
        <is>
          <t>Armament@ELITE</t>
        </is>
      </c>
      <c r="K110" s="5" t="n">
        <v>4000</v>
      </c>
      <c r="L110" s="5" t="n">
        <v>60</v>
      </c>
      <c r="M110" s="5" t="n">
        <v>2</v>
      </c>
      <c r="N110" s="5" t="n">
        <v>3</v>
      </c>
      <c r="O110" s="5" t="n">
        <v>10000</v>
      </c>
      <c r="P110" s="5" t="n">
        <v>1</v>
      </c>
      <c r="Q110">
        <f>L110+IF(M110&gt;1,N(N110)*(M110-1),0)</f>
        <v/>
      </c>
      <c r="R110">
        <f>IFERROR(K110*MAX(M110,1)/Q110*P110,0)</f>
        <v/>
      </c>
      <c r="AA110" s="6" t="inlineStr">
        <is>
          <t>^LightChemicalWeapon, ^MediumChemicalWeapon, ^HeavyChemicalWeapon, ^HeavyBomb, ^ShrapnelWeapon, ^RA2Grenade</t>
        </is>
      </c>
    </row>
    <row r="111">
      <c r="A111" t="inlineStr">
        <is>
          <t>redalert2mod</t>
        </is>
      </c>
      <c r="B111" t="inlineStr">
        <is>
          <t>asianalliance_warturtle</t>
        </is>
      </c>
      <c r="C111" t="inlineStr">
        <is>
          <t>War Turtle</t>
        </is>
      </c>
      <c r="D111" t="inlineStr"/>
      <c r="E111" s="5" t="n">
        <v>250000</v>
      </c>
      <c r="F111" s="5" t="n">
        <v>75</v>
      </c>
      <c r="G111" t="inlineStr">
        <is>
          <t>Medium</t>
        </is>
      </c>
      <c r="H111" s="5" t="n">
        <v>0.75</v>
      </c>
      <c r="I111" s="5" t="n">
        <v>1.25</v>
      </c>
      <c r="J111" s="5" t="n">
        <v>1</v>
      </c>
      <c r="O111">
        <f>MAX(O112)</f>
        <v/>
      </c>
      <c r="R111">
        <f>R112</f>
        <v/>
      </c>
      <c r="S111">
        <f>(E111/100000+F111/100+(O111/1000)*J111/5+R111/200)*200*I111*H111</f>
        <v/>
      </c>
      <c r="T111">
        <f>((E111*F111/25000)+((O111/1000)*J111*R111/2.5))*I111*H111</f>
        <v/>
      </c>
      <c r="U111">
        <f>(E111*F111*(O111/1000)*J111*R111*I111*H111)/12500000</f>
        <v/>
      </c>
      <c r="V111">
        <f>(S111+T111+U111)/3</f>
        <v/>
      </c>
      <c r="W111" s="5" t="n">
        <v>5000</v>
      </c>
      <c r="X111">
        <f>IFERROR(V111-W111,"")</f>
        <v/>
      </c>
      <c r="Y111">
        <f>IFERROR(ABS(X111)/MAX(W111,1),"")</f>
        <v/>
      </c>
      <c r="Z111">
        <f>IFERROR((W111-(((E111/100000+F111/100+R111/200)*200*I111*H111)+((E111*F111/25000)*I111*H111))/3)/(((J111/5)*200*I111*H111)+((J111*R111/2.5)*I111*H111)+((E111*F111*J111*R111*I111*H111)/12500000))/3*1000,"")</f>
        <v/>
      </c>
    </row>
    <row r="112">
      <c r="B112" s="6" t="inlineStr">
        <is>
          <t xml:space="preserve">  ↳ AsianGrenade</t>
        </is>
      </c>
      <c r="C112" s="6" t="inlineStr">
        <is>
          <t>Armament</t>
        </is>
      </c>
      <c r="K112" s="5" t="n">
        <v>4000</v>
      </c>
      <c r="L112" s="5" t="n">
        <v>92</v>
      </c>
      <c r="M112" s="5" t="n">
        <v>1</v>
      </c>
      <c r="N112" s="5" t="n"/>
      <c r="O112" s="5" t="n">
        <v>4567</v>
      </c>
      <c r="P112" s="5" t="n">
        <v>1</v>
      </c>
      <c r="Q112">
        <f>L112+IF(M112&gt;1,N(N112)*(M112-1),0)</f>
        <v/>
      </c>
      <c r="R112">
        <f>IFERROR(K112*MAX(M112,1)/Q112*P112,0)</f>
        <v/>
      </c>
      <c r="AA112" s="6" t="inlineStr">
        <is>
          <t>^ShrapnelWeapon, ^RA2MediumCannon</t>
        </is>
      </c>
    </row>
    <row r="113">
      <c r="A113" t="inlineStr">
        <is>
          <t>redalert2mod</t>
        </is>
      </c>
      <c r="B113" t="inlineStr">
        <is>
          <t>ptnk.asian</t>
        </is>
      </c>
      <c r="C113" t="inlineStr">
        <is>
          <t>Plasma Tank</t>
        </is>
      </c>
      <c r="D113" t="inlineStr"/>
      <c r="E113" s="5" t="n">
        <v>130000</v>
      </c>
      <c r="F113" s="5" t="n">
        <v>50</v>
      </c>
      <c r="G113" t="inlineStr">
        <is>
          <t>Heavy</t>
        </is>
      </c>
      <c r="H113" s="5" t="n">
        <v>1</v>
      </c>
      <c r="I113" s="5" t="n">
        <v>1</v>
      </c>
      <c r="J113" s="5" t="n">
        <v>1</v>
      </c>
      <c r="O113">
        <f>MAX(O114,O115)</f>
        <v/>
      </c>
      <c r="R113">
        <f>R114+R115</f>
        <v/>
      </c>
      <c r="S113">
        <f>(E113/100000+F113/100+(O113/1000)*J113/5+R113/200)*200*I113*H113</f>
        <v/>
      </c>
      <c r="T113">
        <f>((E113*F113/25000)+((O113/1000)*J113*R113/2.5))*I113*H113</f>
        <v/>
      </c>
      <c r="U113">
        <f>(E113*F113*(O113/1000)*J113*R113*I113*H113)/12500000</f>
        <v/>
      </c>
      <c r="V113">
        <f>(S113+T113+U113)/3</f>
        <v/>
      </c>
      <c r="W113" s="5" t="n">
        <v>2400</v>
      </c>
      <c r="X113">
        <f>IFERROR(V113-W113,"")</f>
        <v/>
      </c>
      <c r="Y113">
        <f>IFERROR(ABS(X113)/MAX(W113,1),"")</f>
        <v/>
      </c>
      <c r="Z113">
        <f>IFERROR((W113-(((E113/100000+F113/100+R113/200)*200*I113*H113)+((E113*F113/25000)*I113*H113))/3)/(((J113/5)*200*I113*H113)+((J113*R113/2.5)*I113*H113)+((E113*F113*J113*R113*I113*H113)/12500000))/3*1000,"")</f>
        <v/>
      </c>
    </row>
    <row r="114">
      <c r="B114" s="6" t="inlineStr">
        <is>
          <t xml:space="preserve">  ↳ AsianTwinPlasma</t>
        </is>
      </c>
      <c r="C114" s="6" t="inlineStr">
        <is>
          <t>Armament@PRIMARY</t>
        </is>
      </c>
      <c r="K114" s="5" t="n">
        <v>2000</v>
      </c>
      <c r="L114" s="5" t="n">
        <v>25</v>
      </c>
      <c r="M114" s="5" t="n">
        <v>2</v>
      </c>
      <c r="N114" s="5" t="n">
        <v>5</v>
      </c>
      <c r="O114" s="5" t="n">
        <v>7777</v>
      </c>
      <c r="P114" s="5" t="n">
        <v>1</v>
      </c>
      <c r="Q114">
        <f>L114+IF(M114&gt;1,N(N114)*(M114-1),0)</f>
        <v/>
      </c>
      <c r="R114">
        <f>IFERROR(K114*MAX(M114,1)/Q114*P114,0)</f>
        <v/>
      </c>
      <c r="AA114" s="6" t="inlineStr">
        <is>
          <t>^LightFlameWeapon, ^LightChemicalWeapon, ^MediumFlameWeapon, ^MediumChemicalWeapon, ^MediumCannon, ^ShrapnelWeapon, ^HeavyBomb, ^RA2HeavyCannon</t>
        </is>
      </c>
    </row>
    <row r="115">
      <c r="B115" s="6" t="inlineStr">
        <is>
          <t xml:space="preserve">  ↳ AsianTwinPlasmaE</t>
        </is>
      </c>
      <c r="C115" s="6" t="inlineStr">
        <is>
          <t>Armament@ELITE</t>
        </is>
      </c>
      <c r="K115" s="5" t="n">
        <v>2000</v>
      </c>
      <c r="L115" s="5" t="n">
        <v>25</v>
      </c>
      <c r="M115" s="5" t="n">
        <v>4</v>
      </c>
      <c r="N115" s="5" t="n">
        <v>5</v>
      </c>
      <c r="O115" s="5" t="n">
        <v>8888</v>
      </c>
      <c r="P115" s="5" t="n">
        <v>1</v>
      </c>
      <c r="Q115">
        <f>L115+IF(M115&gt;1,N(N115)*(M115-1),0)</f>
        <v/>
      </c>
      <c r="R115">
        <f>IFERROR(K115*MAX(M115,1)/Q115*P115,0)</f>
        <v/>
      </c>
      <c r="AA115" s="6" t="inlineStr">
        <is>
          <t>^LightFlameWeapon, ^LightChemicalWeapon, ^MediumFlameWeapon, ^MediumChemicalWeapon, ^MediumCannon, ^ShrapnelWeapon, ^HeavyBomb, ^RA2HeavyCannon</t>
        </is>
      </c>
    </row>
    <row r="116">
      <c r="A116" s="3" t="inlineStr">
        <is>
          <t>AIRCRAFT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>
      <c r="A117" t="inlineStr">
        <is>
          <t>redalert2mod</t>
        </is>
      </c>
      <c r="B117" t="inlineStr">
        <is>
          <t>asianalliance_pelican</t>
        </is>
      </c>
      <c r="C117" t="inlineStr">
        <is>
          <t>Pelican</t>
        </is>
      </c>
      <c r="D117" t="inlineStr"/>
      <c r="E117" s="5" t="n">
        <v>40000</v>
      </c>
      <c r="F117" s="5" t="n">
        <v>125</v>
      </c>
      <c r="G117" t="inlineStr">
        <is>
          <t>Helicopter</t>
        </is>
      </c>
      <c r="H117" s="5" t="n">
        <v>1</v>
      </c>
      <c r="I117" s="5" t="n">
        <v>1</v>
      </c>
      <c r="J117" s="5" t="n">
        <v>1</v>
      </c>
      <c r="O117">
        <f>MAX(O118,O119,O120,O121)</f>
        <v/>
      </c>
      <c r="R117">
        <f>R118+R119+R120+R121</f>
        <v/>
      </c>
      <c r="S117">
        <f>(E117/100000+F117/100+(O117/1000)*J117/5+R117/200)*200*I117*H117</f>
        <v/>
      </c>
      <c r="T117">
        <f>((E117*F117/25000)+((O117/1000)*J117*R117/2.5))*I117*H117</f>
        <v/>
      </c>
      <c r="U117">
        <f>(E117*F117*(O117/1000)*J117*R117*I117*H117)/12500000</f>
        <v/>
      </c>
      <c r="V117">
        <f>(S117+T117+U117)/3</f>
        <v/>
      </c>
      <c r="W117" s="5" t="n">
        <v>2000</v>
      </c>
      <c r="X117">
        <f>IFERROR(V117-W117,"")</f>
        <v/>
      </c>
      <c r="Y117">
        <f>IFERROR(ABS(X117)/MAX(W117,1),"")</f>
        <v/>
      </c>
      <c r="Z117">
        <f>IFERROR((W117-(((E117/100000+F117/100+R117/200)*200*I117*H117)+((E117*F117/25000)*I117*H117))/3)/(((J117/5)*200*I117*H117)+((J117*R117/2.5)*I117*H117)+((E117*F117*J117*R117*I117*H117)/12500000))/3*1000,"")</f>
        <v/>
      </c>
    </row>
    <row r="118">
      <c r="B118" s="6" t="inlineStr">
        <is>
          <t xml:space="preserve">  ↳ AsianPelicanMissile</t>
        </is>
      </c>
      <c r="C118" s="6" t="inlineStr">
        <is>
          <t>Armament@PRIMARY</t>
        </is>
      </c>
      <c r="K118" s="5" t="n">
        <v>4000</v>
      </c>
      <c r="L118" s="5" t="n">
        <v>25</v>
      </c>
      <c r="M118" s="5" t="n">
        <v>2</v>
      </c>
      <c r="N118" s="5" t="n">
        <v>2</v>
      </c>
      <c r="O118" s="5" t="n">
        <v>6100</v>
      </c>
      <c r="P118" s="5" t="n">
        <v>1</v>
      </c>
      <c r="Q118">
        <f>L118+IF(M118&gt;1,N(N118)*(M118-1),0)</f>
        <v/>
      </c>
      <c r="R118">
        <f>IFERROR(K118*MAX(M118,1)/Q118*P118,0)</f>
        <v/>
      </c>
      <c r="AA118" s="6" t="inlineStr">
        <is>
          <t>^Grenade, ^HeavyMissile, ^RA2MediumMissile</t>
        </is>
      </c>
    </row>
    <row r="119">
      <c r="B119" s="6" t="inlineStr">
        <is>
          <t xml:space="preserve">  ↳ AsianPelicanMissileE</t>
        </is>
      </c>
      <c r="C119" s="6" t="inlineStr">
        <is>
          <t>Armament@PRIMARYELITE</t>
        </is>
      </c>
      <c r="K119" s="5" t="n">
        <v>4000</v>
      </c>
      <c r="L119" s="5" t="n">
        <v>25</v>
      </c>
      <c r="M119" s="5" t="n">
        <v>4</v>
      </c>
      <c r="N119" s="5" t="n">
        <v>2</v>
      </c>
      <c r="O119" s="5" t="n">
        <v>7100</v>
      </c>
      <c r="P119" s="5" t="n">
        <v>1</v>
      </c>
      <c r="Q119">
        <f>L119+IF(M119&gt;1,N(N119)*(M119-1),0)</f>
        <v/>
      </c>
      <c r="R119">
        <f>IFERROR(K119*MAX(M119,1)/Q119*P119,0)</f>
        <v/>
      </c>
      <c r="AA119" s="6" t="inlineStr">
        <is>
          <t>^Grenade, ^HeavyMissile, ^RA2MediumMissile</t>
        </is>
      </c>
    </row>
    <row r="120">
      <c r="B120" s="6" t="inlineStr">
        <is>
          <t xml:space="preserve">  ↳ AsianPelicanMG</t>
        </is>
      </c>
      <c r="C120" s="6" t="inlineStr">
        <is>
          <t>Armament@MG</t>
        </is>
      </c>
      <c r="K120" s="5" t="n">
        <v>2000</v>
      </c>
      <c r="L120" s="5" t="n">
        <v>18</v>
      </c>
      <c r="M120" s="5" t="n">
        <v>4</v>
      </c>
      <c r="N120" s="5" t="n">
        <v>3</v>
      </c>
      <c r="O120" s="5" t="n">
        <v>6100</v>
      </c>
      <c r="P120" s="5" t="n">
        <v>1</v>
      </c>
      <c r="Q120">
        <f>L120+IF(M120&gt;1,N(N120)*(M120-1),0)</f>
        <v/>
      </c>
      <c r="R120">
        <f>IFERROR(K120*MAX(M120,1)/Q120*P120,0)</f>
        <v/>
      </c>
      <c r="AA120" s="6" t="inlineStr">
        <is>
          <t>^RA2HeavyCannon, ^RA2SmallArms, ^RA2Chaingun</t>
        </is>
      </c>
    </row>
    <row r="121">
      <c r="B121" s="6" t="inlineStr">
        <is>
          <t xml:space="preserve">  ↳ AsianPelicanMG_elite</t>
        </is>
      </c>
      <c r="C121" s="6" t="inlineStr">
        <is>
          <t>Armament@MGelite</t>
        </is>
      </c>
      <c r="K121" s="5" t="n">
        <v>2000</v>
      </c>
      <c r="L121" s="5" t="n">
        <v>18</v>
      </c>
      <c r="M121" s="5" t="n">
        <v>8</v>
      </c>
      <c r="N121" s="5" t="n">
        <v>3</v>
      </c>
      <c r="O121" s="5" t="n">
        <v>7100</v>
      </c>
      <c r="P121" s="5" t="n">
        <v>1</v>
      </c>
      <c r="Q121">
        <f>L121+IF(M121&gt;1,N(N121)*(M121-1),0)</f>
        <v/>
      </c>
      <c r="R121">
        <f>IFERROR(K121*MAX(M121,1)/Q121*P121,0)</f>
        <v/>
      </c>
      <c r="AA121" s="6" t="inlineStr">
        <is>
          <t>^RA2HeavyCannon, ^RA2SmallArms, ^RA2Chaingun</t>
        </is>
      </c>
    </row>
    <row r="122">
      <c r="A122" t="inlineStr">
        <is>
          <t>redalert2mod</t>
        </is>
      </c>
      <c r="B122" t="inlineStr">
        <is>
          <t>asianalliance_phoenix</t>
        </is>
      </c>
      <c r="C122" t="inlineStr">
        <is>
          <t>Phoenix</t>
        </is>
      </c>
      <c r="D122" t="inlineStr"/>
      <c r="E122" s="5" t="n">
        <v>90000</v>
      </c>
      <c r="F122" s="5" t="n">
        <v>180</v>
      </c>
      <c r="G122" t="inlineStr">
        <is>
          <t>Bomber</t>
        </is>
      </c>
      <c r="H122" s="5" t="n">
        <v>1</v>
      </c>
      <c r="I122" s="5" t="n">
        <v>1</v>
      </c>
      <c r="J122" s="5" t="n">
        <v>1</v>
      </c>
      <c r="O122">
        <f>MAX(O123,O124)</f>
        <v/>
      </c>
      <c r="R122">
        <f>R123+R124</f>
        <v/>
      </c>
      <c r="S122">
        <f>(E122/100000+F122/100+(O122/1000)*J122/5+R122/200)*200*I122*H122</f>
        <v/>
      </c>
      <c r="T122">
        <f>((E122*F122/25000)+((O122/1000)*J122*R122/2.5))*I122*H122</f>
        <v/>
      </c>
      <c r="U122">
        <f>(E122*F122*(O122/1000)*J122*R122*I122*H122)/12500000</f>
        <v/>
      </c>
      <c r="V122">
        <f>(S122+T122+U122)/3</f>
        <v/>
      </c>
      <c r="W122" s="5" t="n">
        <v>1800</v>
      </c>
      <c r="X122">
        <f>IFERROR(V122-W122,"")</f>
        <v/>
      </c>
      <c r="Y122">
        <f>IFERROR(ABS(X122)/MAX(W122,1),"")</f>
        <v/>
      </c>
      <c r="Z122">
        <f>IFERROR((W122-(((E122/100000+F122/100+R122/200)*200*I122*H122)+((E122*F122/25000)*I122*H122))/3)/(((J122/5)*200*I122*H122)+((J122*R122/2.5)*I122*H122)+((E122*F122*J122*R122*I122*H122)/12500000))/3*1000,"")</f>
        <v/>
      </c>
    </row>
    <row r="123">
      <c r="B123" s="6" t="inlineStr">
        <is>
          <t xml:space="preserve">  ↳ AsianPhoenixRocket</t>
        </is>
      </c>
      <c r="C123" s="6" t="inlineStr">
        <is>
          <t>Armament@PRIMARY</t>
        </is>
      </c>
      <c r="K123" s="5" t="n">
        <v>20000</v>
      </c>
      <c r="L123" s="5" t="n">
        <v>65</v>
      </c>
      <c r="M123" s="5" t="n">
        <v>2</v>
      </c>
      <c r="N123" s="5" t="n">
        <v>2</v>
      </c>
      <c r="O123" s="5" t="n">
        <v>6500</v>
      </c>
      <c r="P123" s="5" t="n">
        <v>1</v>
      </c>
      <c r="Q123">
        <f>L123+IF(M123&gt;1,N(N123)*(M123-1),0)</f>
        <v/>
      </c>
      <c r="R123">
        <f>IFERROR(K123*MAX(M123,1)/Q123*P123,0)</f>
        <v/>
      </c>
      <c r="AA123" s="6" t="inlineStr">
        <is>
          <t>^MediumFlameWeapon, ^Grenade, ^RA2HeavyMissile</t>
        </is>
      </c>
    </row>
    <row r="124">
      <c r="B124" s="6" t="inlineStr">
        <is>
          <t xml:space="preserve">  ↳ AsianPhoenixRocket_elite</t>
        </is>
      </c>
      <c r="C124" s="6" t="inlineStr">
        <is>
          <t>Armament@PRIMARYELITE</t>
        </is>
      </c>
      <c r="K124" s="5" t="n">
        <v>20000</v>
      </c>
      <c r="L124" s="5" t="n">
        <v>65</v>
      </c>
      <c r="M124" s="5" t="n">
        <v>4</v>
      </c>
      <c r="N124" s="5" t="n">
        <v>2</v>
      </c>
      <c r="O124" s="5" t="n">
        <v>7500</v>
      </c>
      <c r="P124" s="5" t="n">
        <v>1</v>
      </c>
      <c r="Q124">
        <f>L124+IF(M124&gt;1,N(N124)*(M124-1),0)</f>
        <v/>
      </c>
      <c r="R124">
        <f>IFERROR(K124*MAX(M124,1)/Q124*P124,0)</f>
        <v/>
      </c>
      <c r="AA124" s="6" t="inlineStr">
        <is>
          <t>^MediumFlameWeapon, ^Grenade, ^RA2HeavyMissile</t>
        </is>
      </c>
    </row>
    <row r="125">
      <c r="A125" t="inlineStr">
        <is>
          <t>redalert2mod</t>
        </is>
      </c>
      <c r="B125" t="inlineStr">
        <is>
          <t>bomber_minebomb.asian</t>
        </is>
      </c>
      <c r="C125" t="inlineStr">
        <is>
          <t>Asian Stealth Bomber</t>
        </is>
      </c>
      <c r="D125" t="inlineStr"/>
      <c r="E125" s="5" t="n">
        <v>100000</v>
      </c>
      <c r="F125" s="5" t="n">
        <v>250</v>
      </c>
      <c r="G125" t="inlineStr">
        <is>
          <t>Bomber</t>
        </is>
      </c>
      <c r="H125" s="5" t="n">
        <v>1</v>
      </c>
      <c r="I125" s="5" t="n">
        <v>1</v>
      </c>
      <c r="J125" s="5" t="n">
        <v>1</v>
      </c>
      <c r="O125">
        <f>MAX(O126)</f>
        <v/>
      </c>
      <c r="R125">
        <f>R126</f>
        <v/>
      </c>
      <c r="S125">
        <f>(E125/100000+F125/100+(O125/1000)*J125/5+R125/200)*200*I125*H125</f>
        <v/>
      </c>
      <c r="T125">
        <f>((E125*F125/25000)+((O125/1000)*J125*R125/2.5))*I125*H125</f>
        <v/>
      </c>
      <c r="U125">
        <f>(E125*F125*(O125/1000)*J125*R125*I125*H125)/12500000</f>
        <v/>
      </c>
      <c r="V125">
        <f>(S125+T125+U125)/3</f>
        <v/>
      </c>
      <c r="W125" s="5" t="n">
        <v>5000</v>
      </c>
      <c r="X125">
        <f>IFERROR(V125-W125,"")</f>
        <v/>
      </c>
      <c r="Y125">
        <f>IFERROR(ABS(X125)/MAX(W125,1),"")</f>
        <v/>
      </c>
      <c r="Z125">
        <f>IFERROR((W125-(((E125/100000+F125/100+R125/200)*200*I125*H125)+((E125*F125/25000)*I125*H125))/3)/(((J125/5)*200*I125*H125)+((J125*R125/2.5)*I125*H125)+((E125*F125*J125*R125*I125*H125)/12500000))/3*1000,"")</f>
        <v/>
      </c>
    </row>
    <row r="126">
      <c r="B126" s="6" t="inlineStr">
        <is>
          <t xml:space="preserve">  ↳ AsianMineBomb</t>
        </is>
      </c>
      <c r="C126" s="6" t="inlineStr">
        <is>
          <t>Armament</t>
        </is>
      </c>
      <c r="K126" s="5" t="n"/>
      <c r="L126" s="5" t="n">
        <v>125</v>
      </c>
      <c r="M126" s="5" t="n">
        <v>1</v>
      </c>
      <c r="N126" s="5" t="n"/>
      <c r="O126" s="5" t="n">
        <v>1250</v>
      </c>
      <c r="P126" s="5" t="n">
        <v>1</v>
      </c>
      <c r="Q126">
        <f>L126+IF(M126&gt;1,N(N126)*(M126-1),0)</f>
        <v/>
      </c>
      <c r="R126">
        <f>IFERROR(K126*MAX(M126,1)/Q126*P126,0)</f>
        <v/>
      </c>
      <c r="AA126" s="6" t="inlineStr"/>
    </row>
    <row r="127">
      <c r="A127" t="inlineStr">
        <is>
          <t>redalert2mod</t>
        </is>
      </c>
      <c r="B127" t="inlineStr">
        <is>
          <t>bomber_minebomb2.asian</t>
        </is>
      </c>
      <c r="C127" t="inlineStr">
        <is>
          <t>Asian Stealth Bomber</t>
        </is>
      </c>
      <c r="D127" t="inlineStr"/>
      <c r="E127" s="5" t="n">
        <v>100000</v>
      </c>
      <c r="F127" s="5" t="n">
        <v>250</v>
      </c>
      <c r="G127" t="inlineStr">
        <is>
          <t>Bomber</t>
        </is>
      </c>
      <c r="H127" s="5" t="n">
        <v>1</v>
      </c>
      <c r="I127" s="5" t="n">
        <v>1</v>
      </c>
      <c r="J127" s="5" t="n">
        <v>1</v>
      </c>
      <c r="O127">
        <f>MAX(O128)</f>
        <v/>
      </c>
      <c r="R127">
        <f>R128</f>
        <v/>
      </c>
      <c r="S127">
        <f>(E127/100000+F127/100+(O127/1000)*J127/5+R127/200)*200*I127*H127</f>
        <v/>
      </c>
      <c r="T127">
        <f>((E127*F127/25000)+((O127/1000)*J127*R127/2.5))*I127*H127</f>
        <v/>
      </c>
      <c r="U127">
        <f>(E127*F127*(O127/1000)*J127*R127*I127*H127)/12500000</f>
        <v/>
      </c>
      <c r="V127">
        <f>(S127+T127+U127)/3</f>
        <v/>
      </c>
      <c r="W127" s="5" t="n">
        <v>5000</v>
      </c>
      <c r="X127">
        <f>IFERROR(V127-W127,"")</f>
        <v/>
      </c>
      <c r="Y127">
        <f>IFERROR(ABS(X127)/MAX(W127,1),"")</f>
        <v/>
      </c>
      <c r="Z127">
        <f>IFERROR((W127-(((E127/100000+F127/100+R127/200)*200*I127*H127)+((E127*F127/25000)*I127*H127))/3)/(((J127/5)*200*I127*H127)+((J127*R127/2.5)*I127*H127)+((E127*F127*J127*R127*I127*H127)/12500000))/3*1000,"")</f>
        <v/>
      </c>
    </row>
    <row r="128">
      <c r="B128" s="6" t="inlineStr">
        <is>
          <t xml:space="preserve">  ↳ AsianMineBomb2</t>
        </is>
      </c>
      <c r="C128" s="6" t="inlineStr">
        <is>
          <t>Armament</t>
        </is>
      </c>
      <c r="K128" s="5" t="n"/>
      <c r="L128" s="5" t="n">
        <v>100</v>
      </c>
      <c r="M128" s="5" t="n">
        <v>1</v>
      </c>
      <c r="N128" s="5" t="n"/>
      <c r="O128" s="5" t="n">
        <v>1024</v>
      </c>
      <c r="P128" s="5" t="n">
        <v>1</v>
      </c>
      <c r="Q128">
        <f>L128+IF(M128&gt;1,N(N128)*(M128-1),0)</f>
        <v/>
      </c>
      <c r="R128">
        <f>IFERROR(K128*MAX(M128,1)/Q128*P128,0)</f>
        <v/>
      </c>
      <c r="AA128" s="6" t="inlineStr"/>
    </row>
    <row r="129">
      <c r="A129" t="inlineStr">
        <is>
          <t>redalert2mod</t>
        </is>
      </c>
      <c r="B129" t="inlineStr">
        <is>
          <t>kami.asian</t>
        </is>
      </c>
      <c r="C129" t="inlineStr">
        <is>
          <t>Kamikaze</t>
        </is>
      </c>
      <c r="D129" t="inlineStr"/>
      <c r="E129" s="5" t="n">
        <v>7500</v>
      </c>
      <c r="F129" s="5" t="n">
        <v>160</v>
      </c>
      <c r="G129" t="inlineStr">
        <is>
          <t>Bomber</t>
        </is>
      </c>
      <c r="H129" s="5" t="n">
        <v>1</v>
      </c>
      <c r="I129" s="5" t="n">
        <v>1</v>
      </c>
      <c r="J129" s="5" t="n">
        <v>1</v>
      </c>
      <c r="O129">
        <f>MAX(O130)</f>
        <v/>
      </c>
      <c r="R129">
        <f>R130</f>
        <v/>
      </c>
      <c r="S129">
        <f>(E129/100000+F129/100+(O129/1000)*J129/5+R129/200)*200*I129*H129</f>
        <v/>
      </c>
      <c r="T129">
        <f>((E129*F129/25000)+((O129/1000)*J129*R129/2.5))*I129*H129</f>
        <v/>
      </c>
      <c r="U129">
        <f>(E129*F129*(O129/1000)*J129*R129*I129*H129)/12500000</f>
        <v/>
      </c>
      <c r="V129">
        <f>(S129+T129+U129)/3</f>
        <v/>
      </c>
      <c r="W129" s="5" t="n">
        <v>800</v>
      </c>
      <c r="X129">
        <f>IFERROR(V129-W129,"")</f>
        <v/>
      </c>
      <c r="Y129">
        <f>IFERROR(ABS(X129)/MAX(W129,1),"")</f>
        <v/>
      </c>
      <c r="Z129">
        <f>IFERROR((W129-(((E129/100000+F129/100+R129/200)*200*I129*H129)+((E129*F129/25000)*I129*H129))/3)/(((J129/5)*200*I129*H129)+((J129*R129/2.5)*I129*H129)+((E129*F129*J129*R129*I129*H129)/12500000))/3*1000,"")</f>
        <v/>
      </c>
    </row>
    <row r="130">
      <c r="B130" s="6" t="inlineStr">
        <is>
          <t xml:space="preserve">  ↳ AsianKamikazeChaingun</t>
        </is>
      </c>
      <c r="C130" s="6" t="inlineStr">
        <is>
          <t>Armament@PRIMARY</t>
        </is>
      </c>
      <c r="K130" s="5" t="n">
        <v>2000</v>
      </c>
      <c r="L130" s="5" t="n">
        <v>12</v>
      </c>
      <c r="M130" s="5" t="n">
        <v>3</v>
      </c>
      <c r="N130" s="5" t="n">
        <v>2</v>
      </c>
      <c r="O130" s="5" t="n">
        <v>7000</v>
      </c>
      <c r="P130" s="5" t="n">
        <v>1</v>
      </c>
      <c r="Q130">
        <f>L130+IF(M130&gt;1,N(N130)*(M130-1),0)</f>
        <v/>
      </c>
      <c r="R130">
        <f>IFERROR(K130*MAX(M130,1)/Q130*P130,0)</f>
        <v/>
      </c>
      <c r="AA130" s="6" t="inlineStr">
        <is>
          <t>^RA2SmallArms, ^RA2Chaingun</t>
        </is>
      </c>
    </row>
    <row r="131">
      <c r="A131" t="inlineStr">
        <is>
          <t>redalert2mod</t>
        </is>
      </c>
      <c r="B131" t="inlineStr">
        <is>
          <t>kami_asdf.asian</t>
        </is>
      </c>
      <c r="C131" t="inlineStr">
        <is>
          <t>Airstrike Kamikaze</t>
        </is>
      </c>
      <c r="D131" t="inlineStr"/>
      <c r="E131" s="5" t="n">
        <v>7500</v>
      </c>
      <c r="F131" s="5" t="n">
        <v>160</v>
      </c>
      <c r="G131" t="inlineStr">
        <is>
          <t>Bomber</t>
        </is>
      </c>
      <c r="H131" s="5" t="n">
        <v>1</v>
      </c>
      <c r="I131" s="5" t="n">
        <v>1</v>
      </c>
      <c r="J131" s="5" t="n">
        <v>1</v>
      </c>
      <c r="O131">
        <f>MAX(O132)</f>
        <v/>
      </c>
      <c r="R131">
        <f>R132</f>
        <v/>
      </c>
      <c r="S131">
        <f>(E131/100000+F131/100+(O131/1000)*J131/5+R131/200)*200*I131*H131</f>
        <v/>
      </c>
      <c r="T131">
        <f>((E131*F131/25000)+((O131/1000)*J131*R131/2.5))*I131*H131</f>
        <v/>
      </c>
      <c r="U131">
        <f>(E131*F131*(O131/1000)*J131*R131*I131*H131)/12500000</f>
        <v/>
      </c>
      <c r="V131">
        <f>(S131+T131+U131)/3</f>
        <v/>
      </c>
      <c r="W131" s="5" t="n">
        <v>500</v>
      </c>
      <c r="X131">
        <f>IFERROR(V131-W131,"")</f>
        <v/>
      </c>
      <c r="Y131">
        <f>IFERROR(ABS(X131)/MAX(W131,1),"")</f>
        <v/>
      </c>
      <c r="Z131">
        <f>IFERROR((W131-(((E131/100000+F131/100+R131/200)*200*I131*H131)+((E131*F131/25000)*I131*H131))/3)/(((J131/5)*200*I131*H131)+((J131*R131/2.5)*I131*H131)+((E131*F131*J131*R131*I131*H131)/12500000))/3*1000,"")</f>
        <v/>
      </c>
    </row>
    <row r="132">
      <c r="B132" s="6" t="inlineStr">
        <is>
          <t xml:space="preserve">  ↳ ASDFKamikazeTargeting</t>
        </is>
      </c>
      <c r="C132" s="6" t="inlineStr">
        <is>
          <t>Armament@PRIMARY</t>
        </is>
      </c>
      <c r="K132" s="5" t="n"/>
      <c r="L132" s="5" t="n">
        <v>100</v>
      </c>
      <c r="M132" s="5" t="n">
        <v>1</v>
      </c>
      <c r="N132" s="5" t="n"/>
      <c r="O132" s="5" t="n">
        <v>7250</v>
      </c>
      <c r="P132" s="5" t="n">
        <v>1</v>
      </c>
      <c r="Q132">
        <f>L132+IF(M132&gt;1,N(N132)*(M132-1),0)</f>
        <v/>
      </c>
      <c r="R132">
        <f>IFERROR(K132*MAX(M132,1)/Q132*P132,0)</f>
        <v/>
      </c>
      <c r="AA132" s="6" t="inlineStr"/>
    </row>
    <row r="133">
      <c r="A133" t="inlineStr">
        <is>
          <t>redalert2mod</t>
        </is>
      </c>
      <c r="B133" t="inlineStr">
        <is>
          <t>kami_chemical.asian</t>
        </is>
      </c>
      <c r="C133" t="inlineStr">
        <is>
          <t>Chemical Kamikaze</t>
        </is>
      </c>
      <c r="D133" t="inlineStr"/>
      <c r="E133" s="5" t="n">
        <v>15000</v>
      </c>
      <c r="F133" s="5" t="n">
        <v>160</v>
      </c>
      <c r="G133" t="inlineStr">
        <is>
          <t>Bomber</t>
        </is>
      </c>
      <c r="H133" s="5" t="n">
        <v>1</v>
      </c>
      <c r="I133" s="5" t="n">
        <v>1</v>
      </c>
      <c r="J133" s="5" t="n">
        <v>1</v>
      </c>
      <c r="O133">
        <f>MAX(O134,O135)</f>
        <v/>
      </c>
      <c r="R133">
        <f>R134+R135</f>
        <v/>
      </c>
      <c r="S133">
        <f>(E133/100000+F133/100+(O133/1000)*J133/5+R133/200)*200*I133*H133</f>
        <v/>
      </c>
      <c r="T133">
        <f>((E133*F133/25000)+((O133/1000)*J133*R133/2.5))*I133*H133</f>
        <v/>
      </c>
      <c r="U133">
        <f>(E133*F133*(O133/1000)*J133*R133*I133*H133)/12500000</f>
        <v/>
      </c>
      <c r="V133">
        <f>(S133+T133+U133)/3</f>
        <v/>
      </c>
      <c r="W133" s="5" t="n">
        <v>1600</v>
      </c>
      <c r="X133">
        <f>IFERROR(V133-W133,"")</f>
        <v/>
      </c>
      <c r="Y133">
        <f>IFERROR(ABS(X133)/MAX(W133,1),"")</f>
        <v/>
      </c>
      <c r="Z133">
        <f>IFERROR((W133-(((E133/100000+F133/100+R133/200)*200*I133*H133)+((E133*F133/25000)*I133*H133))/3)/(((J133/5)*200*I133*H133)+((J133*R133/2.5)*I133*H133)+((E133*F133*J133*R133*I133*H133)/12500000))/3*1000,"")</f>
        <v/>
      </c>
    </row>
    <row r="134">
      <c r="B134" s="6" t="inlineStr">
        <is>
          <t xml:space="preserve">  ↳ AsianKamikazeChaingun</t>
        </is>
      </c>
      <c r="C134" s="6" t="inlineStr">
        <is>
          <t>Armament@PRIMARY</t>
        </is>
      </c>
      <c r="K134" s="5" t="n">
        <v>2000</v>
      </c>
      <c r="L134" s="5" t="n">
        <v>12</v>
      </c>
      <c r="M134" s="5" t="n">
        <v>3</v>
      </c>
      <c r="N134" s="5" t="n">
        <v>2</v>
      </c>
      <c r="O134" s="5" t="n">
        <v>7000</v>
      </c>
      <c r="P134" s="5" t="n">
        <v>1</v>
      </c>
      <c r="Q134">
        <f>L134+IF(M134&gt;1,N(N134)*(M134-1),0)</f>
        <v/>
      </c>
      <c r="R134">
        <f>IFERROR(K134*MAX(M134,1)/Q134*P134,0)</f>
        <v/>
      </c>
      <c r="AA134" s="6" t="inlineStr">
        <is>
          <t>^RA2SmallArms, ^RA2Chaingun</t>
        </is>
      </c>
    </row>
    <row r="135">
      <c r="B135" s="6" t="inlineStr">
        <is>
          <t xml:space="preserve">  ↳ AsianChemicalBombs</t>
        </is>
      </c>
      <c r="C135" s="6" t="inlineStr">
        <is>
          <t>Armament@Secondary</t>
        </is>
      </c>
      <c r="K135" s="5" t="n">
        <v>2000</v>
      </c>
      <c r="L135" s="5" t="n">
        <v>8</v>
      </c>
      <c r="M135" s="5" t="n">
        <v>1</v>
      </c>
      <c r="N135" s="5" t="n"/>
      <c r="O135" s="5" t="n">
        <v>3000</v>
      </c>
      <c r="P135" s="5" t="n">
        <v>1</v>
      </c>
      <c r="Q135">
        <f>L135+IF(M135&gt;1,N(N135)*(M135-1),0)</f>
        <v/>
      </c>
      <c r="R135">
        <f>IFERROR(K135*MAX(M135,1)/Q135*P135,0)</f>
        <v/>
      </c>
      <c r="AA135" s="6" t="inlineStr">
        <is>
          <t>^HeavyChemicalWeapon, ^RA2MediumCannon</t>
        </is>
      </c>
    </row>
    <row r="136">
      <c r="A136" s="3" t="inlineStr">
        <is>
          <t>NAVAL</t>
        </is>
      </c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>
      <c r="A137" t="inlineStr">
        <is>
          <t>redalert2mod</t>
        </is>
      </c>
      <c r="B137" t="inlineStr">
        <is>
          <t>gunb.asian</t>
        </is>
      </c>
      <c r="C137" t="inlineStr">
        <is>
          <t>Asian Gun Boat</t>
        </is>
      </c>
      <c r="D137" t="inlineStr"/>
      <c r="E137" s="5" t="n">
        <v>90000</v>
      </c>
      <c r="F137" s="5" t="n">
        <v>90</v>
      </c>
      <c r="G137" t="inlineStr">
        <is>
          <t>Medium</t>
        </is>
      </c>
      <c r="H137" s="5" t="n">
        <v>1</v>
      </c>
      <c r="I137" s="5" t="n">
        <v>1</v>
      </c>
      <c r="J137" s="5" t="n">
        <v>1</v>
      </c>
      <c r="O137">
        <f>MAX(O138,O139,O140,O141,O142,O143)</f>
        <v/>
      </c>
      <c r="R137">
        <f>R138+R139+R140+R141+R142+R143</f>
        <v/>
      </c>
      <c r="S137">
        <f>(E137/100000+F137/100+(O137/1000)*J137/5+R137/200)*200*I137*H137</f>
        <v/>
      </c>
      <c r="T137">
        <f>((E137*F137/25000)+((O137/1000)*J137*R137/2.5))*I137*H137</f>
        <v/>
      </c>
      <c r="U137">
        <f>(E137*F137*(O137/1000)*J137*R137*I137*H137)/12500000</f>
        <v/>
      </c>
      <c r="V137">
        <f>(S137+T137+U137)/3</f>
        <v/>
      </c>
      <c r="W137" s="5" t="n">
        <v>1400</v>
      </c>
      <c r="X137">
        <f>IFERROR(V137-W137,"")</f>
        <v/>
      </c>
      <c r="Y137">
        <f>IFERROR(ABS(X137)/MAX(W137,1),"")</f>
        <v/>
      </c>
      <c r="Z137">
        <f>IFERROR((W137-(((E137/100000+F137/100+R137/200)*200*I137*H137)+((E137*F137/25000)*I137*H137))/3)/(((J137/5)*200*I137*H137)+((J137*R137/2.5)*I137*H137)+((E137*F137*J137*R137*I137*H137)/12500000))/3*1000,"")</f>
        <v/>
      </c>
    </row>
    <row r="138">
      <c r="B138" s="6" t="inlineStr">
        <is>
          <t xml:space="preserve">  ↳ AAGunBoatCannon</t>
        </is>
      </c>
      <c r="C138" s="6" t="inlineStr">
        <is>
          <t>Armament@PRIMARY</t>
        </is>
      </c>
      <c r="K138" s="5" t="n">
        <v>16000</v>
      </c>
      <c r="L138" s="5" t="n">
        <v>40</v>
      </c>
      <c r="M138" s="5" t="n">
        <v>1</v>
      </c>
      <c r="N138" s="5" t="n"/>
      <c r="O138" s="5" t="n">
        <v>9000</v>
      </c>
      <c r="P138" s="5" t="n">
        <v>1</v>
      </c>
      <c r="Q138">
        <f>L138+IF(M138&gt;1,N(N138)*(M138-1),0)</f>
        <v/>
      </c>
      <c r="R138">
        <f>IFERROR(K138*MAX(M138,1)/Q138*P138,0)</f>
        <v/>
      </c>
      <c r="AA138" s="6" t="inlineStr">
        <is>
          <t>^RA2HeavyCannon</t>
        </is>
      </c>
    </row>
    <row r="139">
      <c r="B139" s="6" t="inlineStr">
        <is>
          <t xml:space="preserve">  ↳ AAGunBoatCannon_elite</t>
        </is>
      </c>
      <c r="C139" s="6" t="inlineStr">
        <is>
          <t>Armament@ELITE</t>
        </is>
      </c>
      <c r="K139" s="5" t="n">
        <v>16000</v>
      </c>
      <c r="L139" s="5" t="n">
        <v>40</v>
      </c>
      <c r="M139" s="5" t="n">
        <v>2</v>
      </c>
      <c r="N139" s="5" t="n">
        <v>3</v>
      </c>
      <c r="O139" s="5" t="n">
        <v>10000</v>
      </c>
      <c r="P139" s="5" t="n">
        <v>1</v>
      </c>
      <c r="Q139">
        <f>L139+IF(M139&gt;1,N(N139)*(M139-1),0)</f>
        <v/>
      </c>
      <c r="R139">
        <f>IFERROR(K139*MAX(M139,1)/Q139*P139,0)</f>
        <v/>
      </c>
      <c r="AA139" s="6" t="inlineStr">
        <is>
          <t>^RA2HeavyCannon, ^RA2EliteEffects</t>
        </is>
      </c>
    </row>
    <row r="140">
      <c r="B140" s="6" t="inlineStr">
        <is>
          <t xml:space="preserve">  ↳ AAGunBoatFlak</t>
        </is>
      </c>
      <c r="C140" s="6" t="inlineStr">
        <is>
          <t>Armament@AA</t>
        </is>
      </c>
      <c r="K140" s="5" t="n">
        <v>2000</v>
      </c>
      <c r="L140" s="5" t="n">
        <v>18</v>
      </c>
      <c r="M140" s="5" t="n">
        <v>2</v>
      </c>
      <c r="N140" s="5" t="n">
        <v>3</v>
      </c>
      <c r="O140" s="5" t="n">
        <v>9000</v>
      </c>
      <c r="P140" s="5" t="n">
        <v>1</v>
      </c>
      <c r="Q140">
        <f>L140+IF(M140&gt;1,N(N140)*(M140-1),0)</f>
        <v/>
      </c>
      <c r="R140">
        <f>IFERROR(K140*MAX(M140,1)/Q140*P140,0)</f>
        <v/>
      </c>
      <c r="AA140" s="6" t="inlineStr">
        <is>
          <t>^SmallArms, ^Grenade, ^Chaingun, ^RA2FlakWeapon</t>
        </is>
      </c>
    </row>
    <row r="141">
      <c r="B141" s="6" t="inlineStr">
        <is>
          <t xml:space="preserve">  ↳ AAGunBoatFlak_elite</t>
        </is>
      </c>
      <c r="C141" s="6" t="inlineStr">
        <is>
          <t>Armament@EliteAA</t>
        </is>
      </c>
      <c r="K141" s="5" t="n">
        <v>2000</v>
      </c>
      <c r="L141" s="5" t="n">
        <v>18</v>
      </c>
      <c r="M141" s="5" t="n">
        <v>4</v>
      </c>
      <c r="N141" s="5" t="n">
        <v>3</v>
      </c>
      <c r="O141" s="5" t="n">
        <v>10000</v>
      </c>
      <c r="P141" s="5" t="n">
        <v>1</v>
      </c>
      <c r="Q141">
        <f>L141+IF(M141&gt;1,N(N141)*(M141-1),0)</f>
        <v/>
      </c>
      <c r="R141">
        <f>IFERROR(K141*MAX(M141,1)/Q141*P141,0)</f>
        <v/>
      </c>
      <c r="AA141" s="6" t="inlineStr">
        <is>
          <t>^SmallArms, ^Grenade, ^Chaingun, ^RA2FlakWeapon</t>
        </is>
      </c>
    </row>
    <row r="142">
      <c r="B142" s="6" t="inlineStr">
        <is>
          <t xml:space="preserve">  ↳ DepthCharge</t>
        </is>
      </c>
      <c r="C142" s="6" t="inlineStr">
        <is>
          <t>Armament@AntiSub</t>
        </is>
      </c>
      <c r="K142" s="5" t="n">
        <v>60000</v>
      </c>
      <c r="L142" s="5" t="n">
        <v>60</v>
      </c>
      <c r="M142" s="5" t="n">
        <v>1</v>
      </c>
      <c r="N142" s="5" t="n"/>
      <c r="O142" s="5" t="n">
        <v>6000</v>
      </c>
      <c r="P142" s="5" t="n">
        <v>1</v>
      </c>
      <c r="Q142">
        <f>L142+IF(M142&gt;1,N(N142)*(M142-1),0)</f>
        <v/>
      </c>
      <c r="R142">
        <f>IFERROR(K142*MAX(M142,1)/Q142*P142,0)</f>
        <v/>
      </c>
      <c r="AA142" s="6" t="inlineStr">
        <is>
          <t>^Grenade</t>
        </is>
      </c>
    </row>
    <row r="143">
      <c r="B143" s="6" t="inlineStr">
        <is>
          <t xml:space="preserve">  ↳ DepthCharge</t>
        </is>
      </c>
      <c r="C143" s="6" t="inlineStr">
        <is>
          <t>Armament@AntiSubElite</t>
        </is>
      </c>
      <c r="K143" s="5" t="n">
        <v>60000</v>
      </c>
      <c r="L143" s="5" t="n">
        <v>60</v>
      </c>
      <c r="M143" s="5" t="n">
        <v>1</v>
      </c>
      <c r="N143" s="5" t="n"/>
      <c r="O143" s="5" t="n">
        <v>6000</v>
      </c>
      <c r="P143" s="5" t="n">
        <v>1</v>
      </c>
      <c r="Q143">
        <f>L143+IF(M143&gt;1,N(N143)*(M143-1),0)</f>
        <v/>
      </c>
      <c r="R143">
        <f>IFERROR(K143*MAX(M143,1)/Q143*P143,0)</f>
        <v/>
      </c>
      <c r="AA143" s="6" t="inlineStr">
        <is>
          <t>^Grenade</t>
        </is>
      </c>
    </row>
    <row r="144">
      <c r="A144" t="inlineStr">
        <is>
          <t>redalert2mod</t>
        </is>
      </c>
      <c r="B144" t="inlineStr">
        <is>
          <t>karrier.asian</t>
        </is>
      </c>
      <c r="C144" t="inlineStr">
        <is>
          <t>Kamikaze Carrier</t>
        </is>
      </c>
      <c r="D144" t="inlineStr"/>
      <c r="E144" s="5" t="n">
        <v>175000</v>
      </c>
      <c r="F144" s="5" t="n">
        <v>55</v>
      </c>
      <c r="G144" t="inlineStr">
        <is>
          <t>Heavy</t>
        </is>
      </c>
      <c r="H144" s="5" t="n">
        <v>1</v>
      </c>
      <c r="I144" s="5" t="n">
        <v>1</v>
      </c>
      <c r="J144" s="5" t="n">
        <v>1</v>
      </c>
      <c r="O144">
        <f>MAX(O145)</f>
        <v/>
      </c>
      <c r="R144">
        <f>R145</f>
        <v/>
      </c>
      <c r="S144">
        <f>(E144/100000+F144/100+(O144/1000)*J144/5+R144/200)*200*I144*H144</f>
        <v/>
      </c>
      <c r="T144">
        <f>((E144*F144/25000)+((O144/1000)*J144*R144/2.5))*I144*H144</f>
        <v/>
      </c>
      <c r="U144">
        <f>(E144*F144*(O144/1000)*J144*R144*I144*H144)/12500000</f>
        <v/>
      </c>
      <c r="V144">
        <f>(S144+T144+U144)/3</f>
        <v/>
      </c>
      <c r="W144" s="5" t="n">
        <v>1750</v>
      </c>
      <c r="X144">
        <f>IFERROR(V144-W144,"")</f>
        <v/>
      </c>
      <c r="Y144">
        <f>IFERROR(ABS(X144)/MAX(W144,1),"")</f>
        <v/>
      </c>
      <c r="Z144">
        <f>IFERROR((W144-(((E144/100000+F144/100+R144/200)*200*I144*H144)+((E144*F144/25000)*I144*H144))/3)/(((J144/5)*200*I144*H144)+((J144*R144/2.5)*I144*H144)+((E144*F144*J144*R144*I144*H144)/12500000))/3*1000,"")</f>
        <v/>
      </c>
    </row>
    <row r="145">
      <c r="B145" s="6" t="inlineStr">
        <is>
          <t xml:space="preserve">  ↳ KamikazeCarrierTarget</t>
        </is>
      </c>
      <c r="C145" s="6" t="inlineStr">
        <is>
          <t>Armament@PRIMARY</t>
        </is>
      </c>
      <c r="K145" s="5" t="n"/>
      <c r="L145" s="5" t="n">
        <v>25</v>
      </c>
      <c r="M145" s="5" t="n">
        <v>1</v>
      </c>
      <c r="N145" s="5" t="n"/>
      <c r="O145" s="5" t="n">
        <v>17500</v>
      </c>
      <c r="P145" s="5" t="n">
        <v>1</v>
      </c>
      <c r="Q145">
        <f>L145+IF(M145&gt;1,N(N145)*(M145-1),0)</f>
        <v/>
      </c>
      <c r="R145">
        <f>IFERROR(K145*MAX(M145,1)/Q145*P145,0)</f>
        <v/>
      </c>
      <c r="AA145" s="6" t="inlineStr"/>
    </row>
    <row r="146">
      <c r="A146" t="inlineStr">
        <is>
          <t>redalert2mod</t>
        </is>
      </c>
      <c r="B146" t="inlineStr">
        <is>
          <t>ksub.asian</t>
        </is>
      </c>
      <c r="C146" t="inlineStr">
        <is>
          <t>Kamikaze Submarine</t>
        </is>
      </c>
      <c r="D146" t="inlineStr"/>
      <c r="E146" s="5" t="n">
        <v>25000</v>
      </c>
      <c r="F146" s="5" t="n">
        <v>125</v>
      </c>
      <c r="G146" t="inlineStr">
        <is>
          <t>Medium</t>
        </is>
      </c>
      <c r="H146" s="5" t="n">
        <v>1</v>
      </c>
      <c r="I146" s="5" t="n">
        <v>1</v>
      </c>
      <c r="J146" s="5" t="n">
        <v>1</v>
      </c>
      <c r="O146">
        <f>MAX(O147)</f>
        <v/>
      </c>
      <c r="R146">
        <f>R147</f>
        <v/>
      </c>
      <c r="S146">
        <f>(E146/100000+F146/100+(O146/1000)*J146/5+R146/200)*200*I146*H146</f>
        <v/>
      </c>
      <c r="T146">
        <f>((E146*F146/25000)+((O146/1000)*J146*R146/2.5))*I146*H146</f>
        <v/>
      </c>
      <c r="U146">
        <f>(E146*F146*(O146/1000)*J146*R146*I146*H146)/12500000</f>
        <v/>
      </c>
      <c r="V146">
        <f>(S146+T146+U146)/3</f>
        <v/>
      </c>
      <c r="W146" s="5" t="n">
        <v>500</v>
      </c>
      <c r="X146">
        <f>IFERROR(V146-W146,"")</f>
        <v/>
      </c>
      <c r="Y146">
        <f>IFERROR(ABS(X146)/MAX(W146,1),"")</f>
        <v/>
      </c>
      <c r="Z146">
        <f>IFERROR((W146-(((E146/100000+F146/100+R146/200)*200*I146*H146)+((E146*F146/25000)*I146*H146))/3)/(((J146/5)*200*I146*H146)+((J146*R146/2.5)*I146*H146)+((E146*F146*J146*R146*I146*H146)/12500000))/3*1000,"")</f>
        <v/>
      </c>
    </row>
    <row r="147">
      <c r="B147" s="6" t="inlineStr">
        <is>
          <t xml:space="preserve">  ↳ AsianDemoSubTargeting</t>
        </is>
      </c>
      <c r="C147" s="6" t="inlineStr">
        <is>
          <t>Armament@PRIMARY</t>
        </is>
      </c>
      <c r="K147" s="5" t="n"/>
      <c r="L147" s="5" t="n"/>
      <c r="M147" s="5" t="n">
        <v>1</v>
      </c>
      <c r="N147" s="5" t="n"/>
      <c r="O147" s="5" t="n">
        <v>1250</v>
      </c>
      <c r="P147" s="5" t="n">
        <v>1</v>
      </c>
      <c r="Q147">
        <f>L147+IF(M147&gt;1,N(N147)*(M147-1),0)</f>
        <v/>
      </c>
      <c r="R147">
        <f>IFERROR(K147*MAX(M147,1)/Q147*P147,0)</f>
        <v/>
      </c>
      <c r="AA147" s="6" t="inlineStr"/>
    </row>
    <row r="148">
      <c r="A148" t="inlineStr">
        <is>
          <t>redalert2mod</t>
        </is>
      </c>
      <c r="B148" t="inlineStr">
        <is>
          <t>lsub.asian</t>
        </is>
      </c>
      <c r="C148" t="inlineStr">
        <is>
          <t>Leviathan</t>
        </is>
      </c>
      <c r="D148" t="inlineStr"/>
      <c r="E148" s="5" t="n">
        <v>240000</v>
      </c>
      <c r="F148" s="5" t="n">
        <v>60</v>
      </c>
      <c r="G148" t="inlineStr">
        <is>
          <t>Heavy</t>
        </is>
      </c>
      <c r="H148" s="5" t="n">
        <v>1</v>
      </c>
      <c r="I148" s="5" t="n">
        <v>1</v>
      </c>
      <c r="J148" s="5" t="n">
        <v>1</v>
      </c>
      <c r="O148">
        <f>MAX(O149)</f>
        <v/>
      </c>
      <c r="R148">
        <f>R149</f>
        <v/>
      </c>
      <c r="S148">
        <f>(E148/100000+F148/100+(O148/1000)*J148/5+R148/200)*200*I148*H148</f>
        <v/>
      </c>
      <c r="T148">
        <f>((E148*F148/25000)+((O148/1000)*J148*R148/2.5))*I148*H148</f>
        <v/>
      </c>
      <c r="U148">
        <f>(E148*F148*(O148/1000)*J148*R148*I148*H148)/12500000</f>
        <v/>
      </c>
      <c r="V148">
        <f>(S148+T148+U148)/3</f>
        <v/>
      </c>
      <c r="W148" s="5" t="n">
        <v>2400</v>
      </c>
      <c r="X148">
        <f>IFERROR(V148-W148,"")</f>
        <v/>
      </c>
      <c r="Y148">
        <f>IFERROR(ABS(X148)/MAX(W148,1),"")</f>
        <v/>
      </c>
      <c r="Z148">
        <f>IFERROR((W148-(((E148/100000+F148/100+R148/200)*200*I148*H148)+((E148*F148/25000)*I148*H148))/3)/(((J148/5)*200*I148*H148)+((J148*R148/2.5)*I148*H148)+((E148*F148*J148*R148*I148*H148)/12500000))/3*1000,"")</f>
        <v/>
      </c>
    </row>
    <row r="149">
      <c r="B149" s="6" t="inlineStr">
        <is>
          <t xml:space="preserve">  ↳ AsianSmallTorpedo</t>
        </is>
      </c>
      <c r="C149" s="6" t="inlineStr">
        <is>
          <t>Armament@Torp</t>
        </is>
      </c>
      <c r="K149" s="5" t="n">
        <v>12000</v>
      </c>
      <c r="L149" s="5" t="n">
        <v>120</v>
      </c>
      <c r="M149" s="5" t="n">
        <v>2</v>
      </c>
      <c r="N149" s="5" t="n">
        <v>8</v>
      </c>
      <c r="O149" s="5" t="n">
        <v>12000</v>
      </c>
      <c r="P149" s="5" t="n">
        <v>1</v>
      </c>
      <c r="Q149">
        <f>L149+IF(M149&gt;1,N(N149)*(M149-1),0)</f>
        <v/>
      </c>
      <c r="R149">
        <f>IFERROR(K149*MAX(M149,1)/Q149*P149,0)</f>
        <v/>
      </c>
      <c r="AA149" s="6" t="inlineStr">
        <is>
          <t>^RA2Grenade, ^RA2HeavyMissile</t>
        </is>
      </c>
    </row>
    <row r="150">
      <c r="A150" t="inlineStr">
        <is>
          <t>redalert2mod</t>
        </is>
      </c>
      <c r="B150" t="inlineStr">
        <is>
          <t>panth.asian</t>
        </is>
      </c>
      <c r="C150" t="inlineStr">
        <is>
          <t>Enforcer Transport</t>
        </is>
      </c>
      <c r="D150" t="inlineStr"/>
      <c r="E150" s="5" t="n">
        <v>100000</v>
      </c>
      <c r="F150" s="5" t="n">
        <v>60</v>
      </c>
      <c r="G150" t="inlineStr">
        <is>
          <t>Heavy</t>
        </is>
      </c>
      <c r="H150" s="5" t="n">
        <v>1</v>
      </c>
      <c r="I150" s="5" t="n">
        <v>1</v>
      </c>
      <c r="J150" s="5" t="n">
        <v>1</v>
      </c>
      <c r="O150">
        <f>MAX(O151,O152)</f>
        <v/>
      </c>
      <c r="R150">
        <f>R151+R152</f>
        <v/>
      </c>
      <c r="S150">
        <f>(E150/100000+F150/100+(O150/1000)*J150/5+R150/200)*200*I150*H150</f>
        <v/>
      </c>
      <c r="T150">
        <f>((E150*F150/25000)+((O150/1000)*J150*R150/2.5))*I150*H150</f>
        <v/>
      </c>
      <c r="U150">
        <f>(E150*F150*(O150/1000)*J150*R150*I150*H150)/12500000</f>
        <v/>
      </c>
      <c r="V150">
        <f>(S150+T150+U150)/3</f>
        <v/>
      </c>
      <c r="W150" s="5" t="n">
        <v>1000</v>
      </c>
      <c r="X150">
        <f>IFERROR(V150-W150,"")</f>
        <v/>
      </c>
      <c r="Y150">
        <f>IFERROR(ABS(X150)/MAX(W150,1),"")</f>
        <v/>
      </c>
      <c r="Z150">
        <f>IFERROR((W150-(((E150/100000+F150/100+R150/200)*200*I150*H150)+((E150*F150/25000)*I150*H150))/3)/(((J150/5)*200*I150*H150)+((J150*R150/2.5)*I150*H150)+((E150*F150*J150*R150*I150*H150)/12500000))/3*1000,"")</f>
        <v/>
      </c>
    </row>
    <row r="151">
      <c r="B151" s="6" t="inlineStr">
        <is>
          <t xml:space="preserve">  ↳ RA2120mm</t>
        </is>
      </c>
      <c r="C151" s="6" t="inlineStr">
        <is>
          <t>Armament</t>
        </is>
      </c>
      <c r="K151" s="5" t="n">
        <v>10000</v>
      </c>
      <c r="L151" s="5" t="n">
        <v>54</v>
      </c>
      <c r="M151" s="5" t="n">
        <v>1</v>
      </c>
      <c r="N151" s="5" t="n"/>
      <c r="O151" s="5" t="n">
        <v>5374</v>
      </c>
      <c r="P151" s="5" t="n">
        <v>1</v>
      </c>
      <c r="Q151">
        <f>L151+IF(M151&gt;1,N(N151)*(M151-1),0)</f>
        <v/>
      </c>
      <c r="R151">
        <f>IFERROR(K151*MAX(M151,1)/Q151*P151,0)</f>
        <v/>
      </c>
      <c r="AA151" s="6" t="inlineStr">
        <is>
          <t>^RA2MediumCannon</t>
        </is>
      </c>
    </row>
    <row r="152">
      <c r="B152" s="6" t="inlineStr">
        <is>
          <t xml:space="preserve">  ↳ RA2120mm_elite</t>
        </is>
      </c>
      <c r="C152" s="6" t="inlineStr">
        <is>
          <t>Armament@elite</t>
        </is>
      </c>
      <c r="K152" s="5" t="n">
        <v>10000</v>
      </c>
      <c r="L152" s="5" t="n">
        <v>54</v>
      </c>
      <c r="M152" s="5" t="n">
        <v>2</v>
      </c>
      <c r="N152" s="5" t="n">
        <v>3</v>
      </c>
      <c r="O152" s="5" t="n">
        <v>6374</v>
      </c>
      <c r="P152" s="5" t="n">
        <v>1</v>
      </c>
      <c r="Q152">
        <f>L152+IF(M152&gt;1,N(N152)*(M152-1),0)</f>
        <v/>
      </c>
      <c r="R152">
        <f>IFERROR(K152*MAX(M152,1)/Q152*P152,0)</f>
        <v/>
      </c>
      <c r="AA152" s="6" t="inlineStr">
        <is>
          <t>^RA2MediumCannon, ^RA2EliteEffects</t>
        </is>
      </c>
    </row>
    <row r="153">
      <c r="A153" t="inlineStr">
        <is>
          <t>redalert2mod</t>
        </is>
      </c>
      <c r="B153" t="inlineStr">
        <is>
          <t>quasfrig.asian</t>
        </is>
      </c>
      <c r="C153" t="inlineStr">
        <is>
          <t>Quasar Frigate</t>
        </is>
      </c>
      <c r="D153" t="inlineStr"/>
      <c r="E153" s="5" t="n">
        <v>137500</v>
      </c>
      <c r="F153" s="5" t="n">
        <v>75</v>
      </c>
      <c r="G153" t="inlineStr">
        <is>
          <t>Heavy</t>
        </is>
      </c>
      <c r="H153" s="5" t="n">
        <v>1</v>
      </c>
      <c r="I153" s="5" t="n">
        <v>1</v>
      </c>
      <c r="J153" s="5" t="n">
        <v>1</v>
      </c>
      <c r="O153">
        <f>MAX(O154,O155,O156,O157)</f>
        <v/>
      </c>
      <c r="R153">
        <f>R154+R155+R156+R157</f>
        <v/>
      </c>
      <c r="S153">
        <f>(E153/100000+F153/100+(O153/1000)*J153/5+R153/200)*200*I153*H153</f>
        <v/>
      </c>
      <c r="T153">
        <f>((E153*F153/25000)+((O153/1000)*J153*R153/2.5))*I153*H153</f>
        <v/>
      </c>
      <c r="U153">
        <f>(E153*F153*(O153/1000)*J153*R153*I153*H153)/12500000</f>
        <v/>
      </c>
      <c r="V153">
        <f>(S153+T153+U153)/3</f>
        <v/>
      </c>
      <c r="W153" s="5" t="n">
        <v>2000</v>
      </c>
      <c r="X153">
        <f>IFERROR(V153-W153,"")</f>
        <v/>
      </c>
      <c r="Y153">
        <f>IFERROR(ABS(X153)/MAX(W153,1),"")</f>
        <v/>
      </c>
      <c r="Z153">
        <f>IFERROR((W153-(((E153/100000+F153/100+R153/200)*200*I153*H153)+((E153*F153/25000)*I153*H153))/3)/(((J153/5)*200*I153*H153)+((J153*R153/2.5)*I153*H153)+((E153*F153*J153*R153*I153*H153)/12500000))/3*1000,"")</f>
        <v/>
      </c>
    </row>
    <row r="154">
      <c r="B154" s="6" t="inlineStr">
        <is>
          <t xml:space="preserve">  ↳ AsianQuasarBoatAG</t>
        </is>
      </c>
      <c r="C154" s="6" t="inlineStr">
        <is>
          <t>Armament@AG</t>
        </is>
      </c>
      <c r="K154" s="5" t="n">
        <v>2000</v>
      </c>
      <c r="L154" s="5" t="n">
        <v>22</v>
      </c>
      <c r="M154" s="5" t="n">
        <v>3</v>
      </c>
      <c r="N154" s="5" t="n">
        <v>3</v>
      </c>
      <c r="O154" s="5" t="n">
        <v>7168</v>
      </c>
      <c r="P154" s="5" t="n">
        <v>1</v>
      </c>
      <c r="Q154">
        <f>L154+IF(M154&gt;1,N(N154)*(M154-1),0)</f>
        <v/>
      </c>
      <c r="R154">
        <f>IFERROR(K154*MAX(M154,1)/Q154*P154,0)</f>
        <v/>
      </c>
      <c r="AA154" s="6" t="inlineStr">
        <is>
          <t>^MediumMissile, ^FlakWeapon, ^TeslaWeapon, ^MagicWeapon</t>
        </is>
      </c>
    </row>
    <row r="155">
      <c r="B155" s="6" t="inlineStr">
        <is>
          <t xml:space="preserve">  ↳ AsianQuasarBoatAGEMP</t>
        </is>
      </c>
      <c r="C155" s="6" t="inlineStr">
        <is>
          <t>Armament@UpgradeAG</t>
        </is>
      </c>
      <c r="K155" s="5" t="n">
        <v>2000</v>
      </c>
      <c r="L155" s="5" t="n">
        <v>22</v>
      </c>
      <c r="M155" s="5" t="n">
        <v>3</v>
      </c>
      <c r="N155" s="5" t="n">
        <v>3</v>
      </c>
      <c r="O155" s="5" t="n">
        <v>7168</v>
      </c>
      <c r="P155" s="5" t="n">
        <v>1</v>
      </c>
      <c r="Q155">
        <f>L155+IF(M155&gt;1,N(N155)*(M155-1),0)</f>
        <v/>
      </c>
      <c r="R155">
        <f>IFERROR(K155*MAX(M155,1)/Q155*P155,0)</f>
        <v/>
      </c>
      <c r="AA155" s="6" t="inlineStr">
        <is>
          <t>^MediumMissile, ^FlakWeapon, ^TeslaWeapon, ^MagicWeapon</t>
        </is>
      </c>
    </row>
    <row r="156">
      <c r="B156" s="6" t="inlineStr">
        <is>
          <t xml:space="preserve">  ↳ AsianQuasarBoatAA</t>
        </is>
      </c>
      <c r="C156" s="6" t="inlineStr">
        <is>
          <t>Armament@AA</t>
        </is>
      </c>
      <c r="K156" s="5" t="n">
        <v>2000</v>
      </c>
      <c r="L156" s="5" t="n">
        <v>22</v>
      </c>
      <c r="M156" s="5" t="n">
        <v>3</v>
      </c>
      <c r="N156" s="5" t="n">
        <v>3</v>
      </c>
      <c r="O156" s="5" t="n">
        <v>7168</v>
      </c>
      <c r="P156" s="5" t="n">
        <v>1</v>
      </c>
      <c r="Q156">
        <f>L156+IF(M156&gt;1,N(N156)*(M156-1),0)</f>
        <v/>
      </c>
      <c r="R156">
        <f>IFERROR(K156*MAX(M156,1)/Q156*P156,0)</f>
        <v/>
      </c>
      <c r="AA156" s="6" t="inlineStr">
        <is>
          <t>^MediumMissile, ^FlakWeapon, ^TeslaWeapon, ^MagicWeapon</t>
        </is>
      </c>
    </row>
    <row r="157">
      <c r="B157" s="6" t="inlineStr">
        <is>
          <t xml:space="preserve">  ↳ AsianQuasarBoatAAEMP</t>
        </is>
      </c>
      <c r="C157" s="6" t="inlineStr">
        <is>
          <t>Armament@UpgradeAA</t>
        </is>
      </c>
      <c r="K157" s="5" t="n">
        <v>2000</v>
      </c>
      <c r="L157" s="5" t="n">
        <v>22</v>
      </c>
      <c r="M157" s="5" t="n">
        <v>3</v>
      </c>
      <c r="N157" s="5" t="n">
        <v>3</v>
      </c>
      <c r="O157" s="5" t="n">
        <v>7168</v>
      </c>
      <c r="P157" s="5" t="n">
        <v>1</v>
      </c>
      <c r="Q157">
        <f>L157+IF(M157&gt;1,N(N157)*(M157-1),0)</f>
        <v/>
      </c>
      <c r="R157">
        <f>IFERROR(K157*MAX(M157,1)/Q157*P157,0)</f>
        <v/>
      </c>
      <c r="AA157" s="6" t="inlineStr">
        <is>
          <t>^MediumMissile, ^FlakWeapon, ^TeslaWeapon, ^MagicWeapon</t>
        </is>
      </c>
    </row>
    <row r="158">
      <c r="A158" t="inlineStr">
        <is>
          <t>redalert2mod</t>
        </is>
      </c>
      <c r="B158" t="inlineStr">
        <is>
          <t>tsun.asian</t>
        </is>
      </c>
      <c r="C158" t="inlineStr">
        <is>
          <t>Tsunami Carrier</t>
        </is>
      </c>
      <c r="D158" t="inlineStr"/>
      <c r="E158" s="5" t="n">
        <v>275000</v>
      </c>
      <c r="F158" s="5" t="n">
        <v>65</v>
      </c>
      <c r="G158" t="inlineStr">
        <is>
          <t>Superheavy</t>
        </is>
      </c>
      <c r="H158" s="5" t="n">
        <v>1</v>
      </c>
      <c r="I158" s="5" t="n">
        <v>1</v>
      </c>
      <c r="J158" s="5" t="n">
        <v>1</v>
      </c>
      <c r="O158">
        <f>MAX(O159)</f>
        <v/>
      </c>
      <c r="R158">
        <f>R159</f>
        <v/>
      </c>
      <c r="S158">
        <f>(E158/100000+F158/100+(O158/1000)*J158/5+R158/200)*200*I158*H158</f>
        <v/>
      </c>
      <c r="T158">
        <f>((E158*F158/25000)+((O158/1000)*J158*R158/2.5))*I158*H158</f>
        <v/>
      </c>
      <c r="U158">
        <f>(E158*F158*(O158/1000)*J158*R158*I158*H158)/12500000</f>
        <v/>
      </c>
      <c r="V158">
        <f>(S158+T158+U158)/3</f>
        <v/>
      </c>
      <c r="W158" s="5" t="n">
        <v>4500</v>
      </c>
      <c r="X158">
        <f>IFERROR(V158-W158,"")</f>
        <v/>
      </c>
      <c r="Y158">
        <f>IFERROR(ABS(X158)/MAX(W158,1),"")</f>
        <v/>
      </c>
      <c r="Z158">
        <f>IFERROR((W158-(((E158/100000+F158/100+R158/200)*200*I158*H158)+((E158*F158/25000)*I158*H158))/3)/(((J158/5)*200*I158*H158)+((J158*R158/2.5)*I158*H158)+((E158*F158*J158*R158*I158*H158)/12500000))/3*1000,"")</f>
        <v/>
      </c>
    </row>
    <row r="159">
      <c r="B159" s="6" t="inlineStr">
        <is>
          <t xml:space="preserve">  ↳ JapanCarrierTarget</t>
        </is>
      </c>
      <c r="C159" s="6" t="inlineStr">
        <is>
          <t>Armament@PRIMARY</t>
        </is>
      </c>
      <c r="K159" s="5" t="n"/>
      <c r="L159" s="5" t="n">
        <v>25</v>
      </c>
      <c r="M159" s="5" t="n">
        <v>1</v>
      </c>
      <c r="N159" s="5" t="n"/>
      <c r="O159" s="5" t="n">
        <v>20000</v>
      </c>
      <c r="P159" s="5" t="n">
        <v>1</v>
      </c>
      <c r="Q159">
        <f>L159+IF(M159&gt;1,N(N159)*(M159-1),0)</f>
        <v/>
      </c>
      <c r="R159">
        <f>IFERROR(K159*MAX(M159,1)/Q159*P159,0)</f>
        <v/>
      </c>
      <c r="AA159" s="6" t="inlineStr"/>
    </row>
    <row r="160">
      <c r="A160" s="3" t="inlineStr">
        <is>
          <t>BUILDINGS</t>
        </is>
      </c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</row>
    <row r="161">
      <c r="A161" t="inlineStr">
        <is>
          <t>redalert2mod</t>
        </is>
      </c>
      <c r="B161" t="inlineStr">
        <is>
          <t>asianalliance_advancedcommunicationcenter</t>
        </is>
      </c>
      <c r="C161" t="inlineStr">
        <is>
          <t>Advanced Communication Center</t>
        </is>
      </c>
      <c r="D161" t="inlineStr"/>
      <c r="E161" s="5" t="n">
        <v>1000000</v>
      </c>
      <c r="F161" s="5" t="n"/>
      <c r="G161" t="inlineStr">
        <is>
          <t>Concrete</t>
        </is>
      </c>
      <c r="H161" s="5" t="n">
        <v>1</v>
      </c>
      <c r="I161" s="5" t="n">
        <v>1</v>
      </c>
      <c r="J161" s="5" t="n">
        <v>1</v>
      </c>
      <c r="W161" s="5" t="n">
        <v>10000</v>
      </c>
    </row>
    <row r="162">
      <c r="A162" t="inlineStr">
        <is>
          <t>redalert2mod</t>
        </is>
      </c>
      <c r="B162" t="inlineStr">
        <is>
          <t>asianalliance_asianairforcecommand</t>
        </is>
      </c>
      <c r="C162" t="inlineStr">
        <is>
          <t>Asian Airforce Command</t>
        </is>
      </c>
      <c r="D162" t="inlineStr"/>
      <c r="E162" s="5" t="n">
        <v>300000</v>
      </c>
      <c r="F162" s="5" t="n"/>
      <c r="G162" t="inlineStr">
        <is>
          <t>Wood</t>
        </is>
      </c>
      <c r="H162" s="5" t="n">
        <v>1</v>
      </c>
      <c r="I162" s="5" t="n">
        <v>1</v>
      </c>
      <c r="J162" s="5" t="n">
        <v>1</v>
      </c>
      <c r="W162" s="5" t="n">
        <v>1500</v>
      </c>
    </row>
    <row r="163">
      <c r="A163" t="inlineStr">
        <is>
          <t>redalert2mod</t>
        </is>
      </c>
      <c r="B163" t="inlineStr">
        <is>
          <t>asianalliance_asianbarracks</t>
        </is>
      </c>
      <c r="C163" t="inlineStr">
        <is>
          <t>Asian Barracks</t>
        </is>
      </c>
      <c r="D163" t="inlineStr"/>
      <c r="E163" s="5" t="n">
        <v>200000</v>
      </c>
      <c r="F163" s="5" t="n"/>
      <c r="G163" t="inlineStr">
        <is>
          <t>Wood</t>
        </is>
      </c>
      <c r="H163" s="5" t="n">
        <v>1</v>
      </c>
      <c r="I163" s="5" t="n">
        <v>1</v>
      </c>
      <c r="J163" s="5" t="n">
        <v>1</v>
      </c>
      <c r="W163" s="5" t="n">
        <v>1000</v>
      </c>
    </row>
    <row r="164">
      <c r="A164" t="inlineStr">
        <is>
          <t>redalert2mod</t>
        </is>
      </c>
      <c r="B164" t="inlineStr">
        <is>
          <t>asianalliance_asianbattlelab</t>
        </is>
      </c>
      <c r="C164" t="inlineStr">
        <is>
          <t>Asian Battle Lab</t>
        </is>
      </c>
      <c r="D164" t="inlineStr"/>
      <c r="E164" s="5" t="n">
        <v>500000</v>
      </c>
      <c r="F164" s="5" t="n"/>
      <c r="G164" t="inlineStr">
        <is>
          <t>Concrete</t>
        </is>
      </c>
      <c r="H164" s="5" t="n">
        <v>1</v>
      </c>
      <c r="I164" s="5" t="n">
        <v>1</v>
      </c>
      <c r="J164" s="5" t="n">
        <v>1</v>
      </c>
      <c r="W164" s="5" t="n">
        <v>5000</v>
      </c>
    </row>
    <row r="165">
      <c r="A165" t="inlineStr">
        <is>
          <t>redalert2mod</t>
        </is>
      </c>
      <c r="B165" t="inlineStr">
        <is>
          <t>asianalliance_asianconstructionyard</t>
        </is>
      </c>
      <c r="C165" t="inlineStr">
        <is>
          <t>Asian Construction Yard</t>
        </is>
      </c>
      <c r="D165" t="inlineStr"/>
      <c r="E165" s="5" t="n">
        <v>1000000</v>
      </c>
      <c r="F165" s="5" t="n"/>
      <c r="G165" t="inlineStr">
        <is>
          <t>Concrete</t>
        </is>
      </c>
      <c r="H165" s="5" t="n">
        <v>1</v>
      </c>
      <c r="I165" s="5" t="n">
        <v>1</v>
      </c>
      <c r="J165" s="5" t="n">
        <v>1</v>
      </c>
      <c r="W165" s="5" t="n">
        <v>5000</v>
      </c>
    </row>
    <row r="166">
      <c r="A166" t="inlineStr">
        <is>
          <t>redalert2mod</t>
        </is>
      </c>
      <c r="B166" t="inlineStr">
        <is>
          <t>asianalliance_asianorerefinery</t>
        </is>
      </c>
      <c r="C166" t="inlineStr">
        <is>
          <t>Asian Ore Refinery</t>
        </is>
      </c>
      <c r="D166" t="inlineStr"/>
      <c r="E166" s="5" t="n">
        <v>300000</v>
      </c>
      <c r="F166" s="5" t="n"/>
      <c r="G166" t="inlineStr">
        <is>
          <t>Concrete</t>
        </is>
      </c>
      <c r="H166" s="5" t="n">
        <v>1</v>
      </c>
      <c r="I166" s="5" t="n">
        <v>1</v>
      </c>
      <c r="J166" s="5" t="n">
        <v>1</v>
      </c>
      <c r="W166" s="5" t="n">
        <v>3000</v>
      </c>
    </row>
    <row r="167">
      <c r="A167" t="inlineStr">
        <is>
          <t>redalert2mod</t>
        </is>
      </c>
      <c r="B167" t="inlineStr">
        <is>
          <t>asianalliance_asianpetrolplant</t>
        </is>
      </c>
      <c r="C167" t="inlineStr">
        <is>
          <t>Asian Petrol Plant</t>
        </is>
      </c>
      <c r="D167" t="inlineStr"/>
      <c r="E167" s="5" t="n">
        <v>175000</v>
      </c>
      <c r="F167" s="5" t="n"/>
      <c r="G167" t="inlineStr">
        <is>
          <t>Wood</t>
        </is>
      </c>
      <c r="H167" s="5" t="n">
        <v>1</v>
      </c>
      <c r="I167" s="5" t="n">
        <v>1</v>
      </c>
      <c r="J167" s="5" t="n">
        <v>1</v>
      </c>
      <c r="W167" s="5" t="n">
        <v>750</v>
      </c>
    </row>
    <row r="168">
      <c r="A168" t="inlineStr">
        <is>
          <t>redalert2mod</t>
        </is>
      </c>
      <c r="B168" t="inlineStr">
        <is>
          <t>asianalliance_asianradar</t>
        </is>
      </c>
      <c r="C168" t="inlineStr">
        <is>
          <t>Asian Radar</t>
        </is>
      </c>
      <c r="D168" t="inlineStr"/>
      <c r="E168" s="5" t="n">
        <v>250000</v>
      </c>
      <c r="F168" s="5" t="n"/>
      <c r="G168" t="inlineStr">
        <is>
          <t>Wood</t>
        </is>
      </c>
      <c r="H168" s="5" t="n">
        <v>1</v>
      </c>
      <c r="I168" s="5" t="n">
        <v>1</v>
      </c>
      <c r="J168" s="5" t="n">
        <v>1</v>
      </c>
      <c r="W168" s="5" t="n">
        <v>2500</v>
      </c>
    </row>
    <row r="169">
      <c r="A169" t="inlineStr">
        <is>
          <t>redalert2mod</t>
        </is>
      </c>
      <c r="B169" t="inlineStr">
        <is>
          <t>asianalliance_asiansentryflamer</t>
        </is>
      </c>
      <c r="C169" t="inlineStr">
        <is>
          <t>Asian Sentry Flamer</t>
        </is>
      </c>
      <c r="D169" t="inlineStr"/>
      <c r="E169" s="5" t="n">
        <v>71000</v>
      </c>
      <c r="F169" s="5" t="n"/>
      <c r="G169" t="inlineStr">
        <is>
          <t>Concrete</t>
        </is>
      </c>
      <c r="H169" s="5" t="n">
        <v>1</v>
      </c>
      <c r="I169" s="5" t="n">
        <v>1</v>
      </c>
      <c r="J169" s="5" t="n">
        <v>1</v>
      </c>
      <c r="W169" s="5" t="n">
        <v>800</v>
      </c>
    </row>
    <row r="170">
      <c r="B170" s="6" t="inlineStr">
        <is>
          <t xml:space="preserve">  ↳ AsianFlamerTurret</t>
        </is>
      </c>
      <c r="C170" s="6" t="inlineStr">
        <is>
          <t>Armament</t>
        </is>
      </c>
      <c r="K170" s="5" t="n">
        <v>4000</v>
      </c>
      <c r="L170" s="5" t="n">
        <v>30</v>
      </c>
      <c r="M170" s="5" t="n">
        <v>6</v>
      </c>
      <c r="N170" s="5" t="n">
        <v>3</v>
      </c>
      <c r="O170" s="5" t="n">
        <v>6666</v>
      </c>
      <c r="P170" s="5" t="n">
        <v>1</v>
      </c>
      <c r="Q170">
        <f>L170+IF(M170&gt;1,N(N170)*(M170-1),0)</f>
        <v/>
      </c>
      <c r="R170">
        <f>IFERROR(K170*MAX(M170,1)/Q170*P170,0)</f>
        <v/>
      </c>
      <c r="AA170" s="6" t="inlineStr">
        <is>
          <t>^LightFlameWeapon</t>
        </is>
      </c>
    </row>
    <row r="171">
      <c r="A171" t="inlineStr">
        <is>
          <t>redalert2mod</t>
        </is>
      </c>
      <c r="B171" t="inlineStr">
        <is>
          <t>asianalliance_asianservicedepot</t>
        </is>
      </c>
      <c r="C171" t="inlineStr">
        <is>
          <t>Asian Service Depot</t>
        </is>
      </c>
      <c r="D171" t="inlineStr"/>
      <c r="E171" s="5" t="n">
        <v>250000</v>
      </c>
      <c r="F171" s="5" t="n"/>
      <c r="G171" t="inlineStr">
        <is>
          <t>Concrete</t>
        </is>
      </c>
      <c r="H171" s="5" t="n">
        <v>1</v>
      </c>
      <c r="I171" s="5" t="n">
        <v>1</v>
      </c>
      <c r="J171" s="5" t="n">
        <v>1</v>
      </c>
      <c r="W171" s="5" t="n">
        <v>1000</v>
      </c>
    </row>
    <row r="172">
      <c r="A172" t="inlineStr">
        <is>
          <t>redalert2mod</t>
        </is>
      </c>
      <c r="B172" t="inlineStr">
        <is>
          <t>asianalliance_asianwarfactory</t>
        </is>
      </c>
      <c r="C172" t="inlineStr">
        <is>
          <t>Asian War Factory</t>
        </is>
      </c>
      <c r="D172" t="inlineStr"/>
      <c r="E172" s="5" t="n">
        <v>400000</v>
      </c>
      <c r="F172" s="5" t="n"/>
      <c r="G172" t="inlineStr">
        <is>
          <t>Concrete</t>
        </is>
      </c>
      <c r="H172" s="5" t="n">
        <v>1</v>
      </c>
      <c r="I172" s="5" t="n">
        <v>1</v>
      </c>
      <c r="J172" s="5" t="n">
        <v>1</v>
      </c>
      <c r="W172" s="5" t="n">
        <v>2000</v>
      </c>
    </row>
    <row r="173">
      <c r="A173" t="inlineStr">
        <is>
          <t>redalert2mod</t>
        </is>
      </c>
      <c r="B173" t="inlineStr">
        <is>
          <t>asianalliance_chaosstorminductor</t>
        </is>
      </c>
      <c r="C173" t="inlineStr">
        <is>
          <t>Chaos Storm Inductor</t>
        </is>
      </c>
      <c r="D173" t="inlineStr"/>
      <c r="E173" s="5" t="n">
        <v>1000000</v>
      </c>
      <c r="F173" s="5" t="n"/>
      <c r="G173" t="inlineStr">
        <is>
          <t>Concrete</t>
        </is>
      </c>
      <c r="H173" s="5" t="n">
        <v>1</v>
      </c>
      <c r="I173" s="5" t="n">
        <v>1</v>
      </c>
      <c r="J173" s="5" t="n">
        <v>1</v>
      </c>
      <c r="W173" s="5" t="n">
        <v>5000</v>
      </c>
    </row>
    <row r="174">
      <c r="A174" t="inlineStr">
        <is>
          <t>redalert2mod</t>
        </is>
      </c>
      <c r="B174" t="inlineStr">
        <is>
          <t>asianalliance_chaostower</t>
        </is>
      </c>
      <c r="C174" t="inlineStr">
        <is>
          <t>Chaos Tower</t>
        </is>
      </c>
      <c r="D174" t="inlineStr"/>
      <c r="E174" s="5" t="n">
        <v>100000</v>
      </c>
      <c r="F174" s="5" t="n"/>
      <c r="G174" t="inlineStr">
        <is>
          <t>Steel</t>
        </is>
      </c>
      <c r="H174" s="5" t="n">
        <v>1</v>
      </c>
      <c r="I174" s="5" t="n">
        <v>1</v>
      </c>
      <c r="J174" s="5" t="n">
        <v>1</v>
      </c>
      <c r="W174" s="5" t="n">
        <v>1000</v>
      </c>
    </row>
    <row r="175">
      <c r="B175" s="6" t="inlineStr">
        <is>
          <t xml:space="preserve">  ↳ AsianChaosTurret</t>
        </is>
      </c>
      <c r="C175" s="6" t="inlineStr">
        <is>
          <t>Armament</t>
        </is>
      </c>
      <c r="K175" s="5" t="n"/>
      <c r="L175" s="5" t="n">
        <v>125</v>
      </c>
      <c r="M175" s="5" t="n">
        <v>1</v>
      </c>
      <c r="N175" s="5" t="n"/>
      <c r="O175" s="5" t="n">
        <v>5000</v>
      </c>
      <c r="P175" s="5" t="n">
        <v>1</v>
      </c>
      <c r="Q175">
        <f>L175+IF(M175&gt;1,N(N175)*(M175-1),0)</f>
        <v/>
      </c>
      <c r="R175">
        <f>IFERROR(K175*MAX(M175,1)/Q175*P175,0)</f>
        <v/>
      </c>
      <c r="AA175" s="6" t="inlineStr"/>
    </row>
    <row r="176">
      <c r="A176" t="inlineStr">
        <is>
          <t>redalert2mod</t>
        </is>
      </c>
      <c r="B176" t="inlineStr">
        <is>
          <t>asianalliance_concretebarrier</t>
        </is>
      </c>
      <c r="C176" t="inlineStr">
        <is>
          <t>Concrete Barrier</t>
        </is>
      </c>
      <c r="D176" t="inlineStr"/>
      <c r="E176" s="5" t="n">
        <v>100000</v>
      </c>
      <c r="F176" s="5" t="n"/>
      <c r="G176" t="inlineStr">
        <is>
          <t>Concrete</t>
        </is>
      </c>
      <c r="H176" s="5" t="n">
        <v>1</v>
      </c>
      <c r="I176" s="5" t="n">
        <v>1</v>
      </c>
      <c r="J176" s="5" t="n">
        <v>1</v>
      </c>
      <c r="W176" s="5" t="n">
        <v>200</v>
      </c>
    </row>
    <row r="177">
      <c r="A177" t="inlineStr">
        <is>
          <t>redalert2mod</t>
        </is>
      </c>
      <c r="B177" t="inlineStr">
        <is>
          <t>asianalliance_hyperionprojector</t>
        </is>
      </c>
      <c r="C177" t="inlineStr">
        <is>
          <t>Hyperion Projector</t>
        </is>
      </c>
      <c r="D177" t="inlineStr"/>
      <c r="E177" s="5" t="n">
        <v>100000</v>
      </c>
      <c r="F177" s="5" t="n"/>
      <c r="G177" t="inlineStr">
        <is>
          <t>Concrete</t>
        </is>
      </c>
      <c r="H177" s="5" t="n">
        <v>1</v>
      </c>
      <c r="I177" s="5" t="n">
        <v>1</v>
      </c>
      <c r="J177" s="5" t="n">
        <v>1</v>
      </c>
      <c r="W177" s="5" t="n">
        <v>1000</v>
      </c>
    </row>
    <row r="178">
      <c r="B178" s="6" t="inlineStr">
        <is>
          <t xml:space="preserve">  ↳ AAHyperionMagnet</t>
        </is>
      </c>
      <c r="C178" s="6" t="inlineStr">
        <is>
          <t>Armament@Normal</t>
        </is>
      </c>
      <c r="K178" s="5" t="n">
        <v>2000</v>
      </c>
      <c r="L178" s="5" t="n">
        <v>200</v>
      </c>
      <c r="M178" s="5" t="n">
        <v>100</v>
      </c>
      <c r="N178" s="5" t="n">
        <v>1</v>
      </c>
      <c r="O178" s="5" t="n">
        <v>9000</v>
      </c>
      <c r="P178" s="5" t="n">
        <v>1</v>
      </c>
      <c r="Q178">
        <f>L178+IF(M178&gt;1,N(N178)*(M178-1),0)</f>
        <v/>
      </c>
      <c r="R178">
        <f>IFERROR(K178*MAX(M178,1)/Q178*P178,0)</f>
        <v/>
      </c>
      <c r="AA178" s="6" t="inlineStr">
        <is>
          <t>^RA2LaserWeapon</t>
        </is>
      </c>
    </row>
    <row r="179">
      <c r="A179" t="inlineStr">
        <is>
          <t>redalert2mod</t>
        </is>
      </c>
      <c r="B179" t="inlineStr">
        <is>
          <t>asianalliance_militaryacademy</t>
        </is>
      </c>
      <c r="C179" t="inlineStr">
        <is>
          <t>Military Academy</t>
        </is>
      </c>
      <c r="D179" t="inlineStr"/>
      <c r="E179" s="5" t="n">
        <v>500000</v>
      </c>
      <c r="F179" s="5" t="n"/>
      <c r="G179" t="inlineStr">
        <is>
          <t>Concrete</t>
        </is>
      </c>
      <c r="H179" s="5" t="n">
        <v>1</v>
      </c>
      <c r="I179" s="5" t="n">
        <v>1</v>
      </c>
      <c r="J179" s="5" t="n">
        <v>1</v>
      </c>
      <c r="W179" s="5" t="n">
        <v>5000</v>
      </c>
    </row>
    <row r="180">
      <c r="A180" t="inlineStr">
        <is>
          <t>redalert2mod</t>
        </is>
      </c>
      <c r="B180" t="inlineStr">
        <is>
          <t>asianalliance_plasmacannon</t>
        </is>
      </c>
      <c r="C180" t="inlineStr">
        <is>
          <t>Plasma Cannon</t>
        </is>
      </c>
      <c r="D180" t="inlineStr"/>
      <c r="E180" s="5" t="n">
        <v>300000</v>
      </c>
      <c r="F180" s="5" t="n"/>
      <c r="G180" t="inlineStr">
        <is>
          <t>Steel</t>
        </is>
      </c>
      <c r="H180" s="5" t="n">
        <v>1</v>
      </c>
      <c r="I180" s="5" t="n">
        <v>1</v>
      </c>
      <c r="J180" s="5" t="n">
        <v>1</v>
      </c>
      <c r="W180" s="5" t="n">
        <v>4000</v>
      </c>
    </row>
    <row r="181">
      <c r="B181" s="6" t="inlineStr">
        <is>
          <t xml:space="preserve">  ↳ AsianTurretPlasma</t>
        </is>
      </c>
      <c r="C181" s="6" t="inlineStr">
        <is>
          <t>Armament</t>
        </is>
      </c>
      <c r="K181" s="5" t="n">
        <v>2000</v>
      </c>
      <c r="L181" s="5" t="n">
        <v>90</v>
      </c>
      <c r="M181" s="5" t="n">
        <v>2</v>
      </c>
      <c r="N181" s="5" t="n">
        <v>6</v>
      </c>
      <c r="O181" s="5" t="n">
        <v>14000</v>
      </c>
      <c r="P181" s="5" t="n">
        <v>1</v>
      </c>
      <c r="Q181">
        <f>L181+IF(M181&gt;1,N(N181)*(M181-1),0)</f>
        <v/>
      </c>
      <c r="R181">
        <f>IFERROR(K181*MAX(M181,1)/Q181*P181,0)</f>
        <v/>
      </c>
      <c r="AA181" s="6" t="inlineStr">
        <is>
          <t>^LightFlameWeapon, ^LightChemicalWeapon, ^MediumFlameWeapon, ^MediumChemicalWeapon, ^MediumCannon, ^ShrapnelWeapon, ^HeavyBomb, ^RA2HeavyCannon</t>
        </is>
      </c>
    </row>
    <row r="182">
      <c r="A182" t="inlineStr">
        <is>
          <t>redalert2mod</t>
        </is>
      </c>
      <c r="B182" t="inlineStr">
        <is>
          <t>asianalliance_pulsar</t>
        </is>
      </c>
      <c r="C182" t="inlineStr">
        <is>
          <t>Pulsar</t>
        </is>
      </c>
      <c r="D182" t="inlineStr"/>
      <c r="E182" s="5" t="n">
        <v>80000</v>
      </c>
      <c r="F182" s="5" t="n"/>
      <c r="G182" t="inlineStr">
        <is>
          <t>Concrete</t>
        </is>
      </c>
      <c r="H182" s="5" t="n">
        <v>1</v>
      </c>
      <c r="I182" s="5" t="n">
        <v>1</v>
      </c>
      <c r="J182" s="5" t="n">
        <v>1</v>
      </c>
      <c r="W182" s="5" t="n">
        <v>900</v>
      </c>
    </row>
    <row r="183">
      <c r="B183" s="6" t="inlineStr">
        <is>
          <t xml:space="preserve">  ↳ AsianPhotonCannon</t>
        </is>
      </c>
      <c r="C183" s="6" t="inlineStr">
        <is>
          <t>Armament</t>
        </is>
      </c>
      <c r="K183" s="5" t="n">
        <v>2000</v>
      </c>
      <c r="L183" s="5" t="n">
        <v>13</v>
      </c>
      <c r="M183" s="5" t="n">
        <v>1</v>
      </c>
      <c r="N183" s="5" t="n"/>
      <c r="O183" s="5" t="n">
        <v>14000</v>
      </c>
      <c r="P183" s="5" t="n">
        <v>1</v>
      </c>
      <c r="Q183">
        <f>L183+IF(M183&gt;1,N(N183)*(M183-1),0)</f>
        <v/>
      </c>
      <c r="R183">
        <f>IFERROR(K183*MAX(M183,1)/Q183*P183,0)</f>
        <v/>
      </c>
      <c r="AA183" s="6" t="inlineStr">
        <is>
          <t>^MediumMissile, ^FlakWeapon, ^TeslaWeapon, ^MagicWeapon</t>
        </is>
      </c>
    </row>
    <row r="184">
      <c r="B184" s="6" t="inlineStr">
        <is>
          <t xml:space="preserve">  ↳ AsianPhotonCannonEMP</t>
        </is>
      </c>
      <c r="C184" s="6" t="inlineStr">
        <is>
          <t>Armament@Upgrade</t>
        </is>
      </c>
      <c r="K184" s="5" t="n">
        <v>2000</v>
      </c>
      <c r="L184" s="5" t="n">
        <v>13</v>
      </c>
      <c r="M184" s="5" t="n">
        <v>1</v>
      </c>
      <c r="N184" s="5" t="n"/>
      <c r="O184" s="5" t="n">
        <v>14000</v>
      </c>
      <c r="P184" s="5" t="n">
        <v>1</v>
      </c>
      <c r="Q184">
        <f>L184+IF(M184&gt;1,N(N184)*(M184-1),0)</f>
        <v/>
      </c>
      <c r="R184">
        <f>IFERROR(K184*MAX(M184,1)/Q184*P184,0)</f>
        <v/>
      </c>
      <c r="AA184" s="6" t="inlineStr">
        <is>
          <t>^MediumMissile, ^FlakWeapon, ^TeslaWeapon, ^MagicWeapon</t>
        </is>
      </c>
    </row>
    <row r="185">
      <c r="A185" t="inlineStr">
        <is>
          <t>redalert2mod</t>
        </is>
      </c>
      <c r="B185" t="inlineStr">
        <is>
          <t>asianalliance_railtower</t>
        </is>
      </c>
      <c r="C185" t="inlineStr">
        <is>
          <t>Rail Tower</t>
        </is>
      </c>
      <c r="D185" t="inlineStr"/>
      <c r="E185" s="5" t="n">
        <v>125000</v>
      </c>
      <c r="F185" s="5" t="n"/>
      <c r="G185" t="inlineStr">
        <is>
          <t>Steel</t>
        </is>
      </c>
      <c r="H185" s="5" t="n">
        <v>1</v>
      </c>
      <c r="I185" s="5" t="n">
        <v>1</v>
      </c>
      <c r="J185" s="5" t="n">
        <v>1</v>
      </c>
      <c r="W185" s="5" t="n">
        <v>2500</v>
      </c>
    </row>
    <row r="186">
      <c r="B186" s="6" t="inlineStr">
        <is>
          <t xml:space="preserve">  ↳ AsianRailgun</t>
        </is>
      </c>
      <c r="C186" s="6" t="inlineStr">
        <is>
          <t>Armament</t>
        </is>
      </c>
      <c r="K186" s="5" t="n">
        <v>30000</v>
      </c>
      <c r="L186" s="5" t="n">
        <v>10</v>
      </c>
      <c r="M186" s="5" t="n">
        <v>1</v>
      </c>
      <c r="N186" s="5" t="n"/>
      <c r="O186" s="5" t="n">
        <v>9600</v>
      </c>
      <c r="P186" s="5" t="n">
        <v>1</v>
      </c>
      <c r="Q186">
        <f>L186+IF(M186&gt;1,N(N186)*(M186-1),0)</f>
        <v/>
      </c>
      <c r="R186">
        <f>IFERROR(K186*MAX(M186,1)/Q186*P186,0)</f>
        <v/>
      </c>
      <c r="AA186" s="6" t="inlineStr">
        <is>
          <t>^RailgunWeapon</t>
        </is>
      </c>
    </row>
    <row r="187">
      <c r="A187" t="inlineStr">
        <is>
          <t>redalert2mod</t>
        </is>
      </c>
      <c r="B187" t="inlineStr">
        <is>
          <t>asianalliance_tankreactor</t>
        </is>
      </c>
      <c r="C187" t="inlineStr">
        <is>
          <t>Tank Reactor</t>
        </is>
      </c>
      <c r="D187" t="inlineStr"/>
      <c r="E187" s="5" t="n">
        <v>350000</v>
      </c>
      <c r="F187" s="5" t="n"/>
      <c r="G187" t="inlineStr">
        <is>
          <t>Concrete</t>
        </is>
      </c>
      <c r="H187" s="5" t="n">
        <v>1</v>
      </c>
      <c r="I187" s="5" t="n">
        <v>1</v>
      </c>
      <c r="J187" s="5" t="n">
        <v>1</v>
      </c>
      <c r="W187" s="5" t="n">
        <v>1500</v>
      </c>
    </row>
    <row r="188">
      <c r="A188" t="inlineStr">
        <is>
          <t>redalert2mod</t>
        </is>
      </c>
      <c r="B188" t="inlineStr">
        <is>
          <t>cgpnch.asian</t>
        </is>
      </c>
      <c r="C188" t="inlineStr">
        <is>
          <t>Punisher</t>
        </is>
      </c>
      <c r="D188" t="inlineStr"/>
      <c r="E188" s="5" t="n">
        <v>140000</v>
      </c>
      <c r="F188" s="5" t="n"/>
      <c r="G188" t="inlineStr">
        <is>
          <t>Concrete</t>
        </is>
      </c>
      <c r="H188" s="5" t="n">
        <v>1</v>
      </c>
      <c r="I188" s="5" t="n">
        <v>1</v>
      </c>
      <c r="J188" s="5" t="n">
        <v>1</v>
      </c>
      <c r="W188" s="5" t="n">
        <v>1200</v>
      </c>
    </row>
    <row r="189">
      <c r="B189" s="6" t="inlineStr">
        <is>
          <t xml:space="preserve">  ↳ AsianPunisherAG</t>
        </is>
      </c>
      <c r="C189" s="6" t="inlineStr">
        <is>
          <t>Armament</t>
        </is>
      </c>
      <c r="K189" s="5" t="n">
        <v>2000</v>
      </c>
      <c r="L189" s="5" t="n">
        <v>12</v>
      </c>
      <c r="M189" s="5" t="n">
        <v>1</v>
      </c>
      <c r="N189" s="5" t="n"/>
      <c r="O189" s="5" t="n">
        <v>12000</v>
      </c>
      <c r="P189" s="5" t="n">
        <v>1</v>
      </c>
      <c r="Q189">
        <f>L189+IF(M189&gt;1,N(N189)*(M189-1),0)</f>
        <v/>
      </c>
      <c r="R189">
        <f>IFERROR(K189*MAX(M189,1)/Q189*P189,0)</f>
        <v/>
      </c>
      <c r="AA189" s="6" t="inlineStr">
        <is>
          <t>^MediumMissile, ^FlakWeapon, ^TeslaWeapon, ^MagicWeapon</t>
        </is>
      </c>
    </row>
    <row r="190">
      <c r="B190" s="6" t="inlineStr">
        <is>
          <t xml:space="preserve">  ↳ AsianPunisherAGEMP</t>
        </is>
      </c>
      <c r="C190" s="6" t="inlineStr">
        <is>
          <t>Armament@Upgrade</t>
        </is>
      </c>
      <c r="K190" s="5" t="n">
        <v>2000</v>
      </c>
      <c r="L190" s="5" t="n">
        <v>12</v>
      </c>
      <c r="M190" s="5" t="n">
        <v>1</v>
      </c>
      <c r="N190" s="5" t="n"/>
      <c r="O190" s="5" t="n">
        <v>12000</v>
      </c>
      <c r="P190" s="5" t="n">
        <v>1</v>
      </c>
      <c r="Q190">
        <f>L190+IF(M190&gt;1,N(N190)*(M190-1),0)</f>
        <v/>
      </c>
      <c r="R190">
        <f>IFERROR(K190*MAX(M190,1)/Q190*P190,0)</f>
        <v/>
      </c>
      <c r="AA190" s="6" t="inlineStr">
        <is>
          <t>^MediumMissile, ^FlakWeapon, ^TeslaWeapon, ^MagicWeapon</t>
        </is>
      </c>
    </row>
    <row r="191">
      <c r="A191" t="inlineStr">
        <is>
          <t>redalert2mod</t>
        </is>
      </c>
      <c r="B191" t="inlineStr">
        <is>
          <t>cgyard.asian</t>
        </is>
      </c>
      <c r="C191" t="inlineStr">
        <is>
          <t>Asian Naval Yard</t>
        </is>
      </c>
      <c r="D191" t="inlineStr"/>
      <c r="E191" s="5" t="n">
        <v>600000</v>
      </c>
      <c r="F191" s="5" t="n"/>
      <c r="G191" t="inlineStr">
        <is>
          <t>Concrete</t>
        </is>
      </c>
      <c r="H191" s="5" t="n">
        <v>1</v>
      </c>
      <c r="I191" s="5" t="n">
        <v>1</v>
      </c>
      <c r="J191" s="5" t="n">
        <v>1</v>
      </c>
      <c r="W191" s="5" t="n">
        <v>3000</v>
      </c>
    </row>
    <row r="192">
      <c r="A192" s="3" t="inlineStr">
        <is>
          <t>UPGRADES</t>
        </is>
      </c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>
      <c r="A193" t="inlineStr">
        <is>
          <t>redalert2mod</t>
        </is>
      </c>
      <c r="B193" t="inlineStr">
        <is>
          <t>asianalliance_doctrine_asianphalanx</t>
        </is>
      </c>
      <c r="C193" t="inlineStr">
        <is>
          <t>Asian Phalanx</t>
        </is>
      </c>
      <c r="D193" t="inlineStr"/>
      <c r="E193" s="5" t="n"/>
      <c r="F193" s="5" t="n"/>
      <c r="H193" s="5" t="n">
        <v>1</v>
      </c>
      <c r="I193" s="5" t="n">
        <v>1</v>
      </c>
      <c r="J193" s="5" t="n">
        <v>1</v>
      </c>
      <c r="W193" s="5" t="n">
        <v>5000</v>
      </c>
    </row>
    <row r="194">
      <c r="A194" t="inlineStr">
        <is>
          <t>redalert2mod</t>
        </is>
      </c>
      <c r="B194" t="inlineStr">
        <is>
          <t>asianalliance_doctrine_heavypulverizerweapons</t>
        </is>
      </c>
      <c r="C194" t="inlineStr">
        <is>
          <t>Heavy Pulverizer Weapons</t>
        </is>
      </c>
      <c r="D194" t="inlineStr"/>
      <c r="E194" s="5" t="n"/>
      <c r="F194" s="5" t="n"/>
      <c r="H194" s="5" t="n">
        <v>1</v>
      </c>
      <c r="I194" s="5" t="n">
        <v>1</v>
      </c>
      <c r="J194" s="5" t="n">
        <v>1</v>
      </c>
      <c r="W194" s="5" t="n">
        <v>5000</v>
      </c>
    </row>
    <row r="195">
      <c r="A195" t="inlineStr">
        <is>
          <t>redalert2mod</t>
        </is>
      </c>
      <c r="B195" t="inlineStr">
        <is>
          <t>asianalliance_doctrine_modernizedinfantryequipment</t>
        </is>
      </c>
      <c r="C195" t="inlineStr">
        <is>
          <t>Modernized Infantry Equipment</t>
        </is>
      </c>
      <c r="D195" t="inlineStr"/>
      <c r="E195" s="5" t="n"/>
      <c r="F195" s="5" t="n"/>
      <c r="H195" s="5" t="n">
        <v>1</v>
      </c>
      <c r="I195" s="5" t="n">
        <v>1</v>
      </c>
      <c r="J195" s="5" t="n">
        <v>1</v>
      </c>
      <c r="W195" s="5" t="n">
        <v>5000</v>
      </c>
    </row>
    <row r="196">
      <c r="A196" t="inlineStr">
        <is>
          <t>redalert2mod</t>
        </is>
      </c>
      <c r="B196" t="inlineStr">
        <is>
          <t>asianalliance_upgrade_asiandiplomacy</t>
        </is>
      </c>
      <c r="C196" t="inlineStr">
        <is>
          <t>Asian Diplomacy</t>
        </is>
      </c>
      <c r="D196" t="inlineStr"/>
      <c r="E196" s="5" t="n"/>
      <c r="F196" s="5" t="n"/>
      <c r="H196" s="5" t="n">
        <v>1</v>
      </c>
      <c r="I196" s="5" t="n">
        <v>1</v>
      </c>
      <c r="J196" s="5" t="n">
        <v>1</v>
      </c>
      <c r="W196" s="5" t="n">
        <v>10000</v>
      </c>
    </row>
    <row r="197">
      <c r="A197" t="inlineStr">
        <is>
          <t>redalert2mod</t>
        </is>
      </c>
      <c r="B197" t="inlineStr">
        <is>
          <t>asianalliance_upgrade_banzaimode</t>
        </is>
      </c>
      <c r="C197" t="inlineStr">
        <is>
          <t>Banzai Mode</t>
        </is>
      </c>
      <c r="D197" t="inlineStr"/>
      <c r="E197" s="5" t="n"/>
      <c r="F197" s="5" t="n"/>
      <c r="H197" s="5" t="n">
        <v>1</v>
      </c>
      <c r="I197" s="5" t="n">
        <v>1</v>
      </c>
      <c r="J197" s="5" t="n">
        <v>1</v>
      </c>
      <c r="W197" s="5" t="n">
        <v>7500</v>
      </c>
    </row>
    <row r="198">
      <c r="A198" t="inlineStr">
        <is>
          <t>redalert2mod</t>
        </is>
      </c>
      <c r="B198" t="inlineStr">
        <is>
          <t>asianalliance_upgrade_celestialpower</t>
        </is>
      </c>
      <c r="C198" t="inlineStr">
        <is>
          <t>Celestial Power</t>
        </is>
      </c>
      <c r="D198" t="inlineStr"/>
      <c r="E198" s="5" t="n"/>
      <c r="F198" s="5" t="n"/>
      <c r="H198" s="5" t="n">
        <v>1</v>
      </c>
      <c r="I198" s="5" t="n">
        <v>1</v>
      </c>
      <c r="J198" s="5" t="n">
        <v>1</v>
      </c>
      <c r="W198" s="5" t="n">
        <v>7500</v>
      </c>
    </row>
    <row r="199">
      <c r="A199" t="inlineStr">
        <is>
          <t>redalert2mod</t>
        </is>
      </c>
      <c r="B199" t="inlineStr">
        <is>
          <t>asianalliance_upgrade_dragonfire</t>
        </is>
      </c>
      <c r="C199" t="inlineStr">
        <is>
          <t>Dragon Fire</t>
        </is>
      </c>
      <c r="D199" t="inlineStr"/>
      <c r="E199" s="5" t="n"/>
      <c r="F199" s="5" t="n"/>
      <c r="H199" s="5" t="n">
        <v>1</v>
      </c>
      <c r="I199" s="5" t="n">
        <v>1</v>
      </c>
      <c r="J199" s="5" t="n">
        <v>1</v>
      </c>
      <c r="W199" s="5" t="n">
        <v>7500</v>
      </c>
    </row>
    <row r="200">
      <c r="A200" t="inlineStr">
        <is>
          <t>redalert2mod</t>
        </is>
      </c>
      <c r="B200" t="inlineStr">
        <is>
          <t>asianalliance_upgrade_unlockchaosbombs</t>
        </is>
      </c>
      <c r="C200" t="inlineStr">
        <is>
          <t>Unlock Chaos Bombs</t>
        </is>
      </c>
      <c r="D200" t="inlineStr"/>
      <c r="E200" s="5" t="n"/>
      <c r="F200" s="5" t="n"/>
      <c r="H200" s="5" t="n">
        <v>1</v>
      </c>
      <c r="I200" s="5" t="n">
        <v>1</v>
      </c>
      <c r="J200" s="5" t="n">
        <v>1</v>
      </c>
      <c r="W200" s="5" t="n">
        <v>2500</v>
      </c>
    </row>
    <row r="201">
      <c r="A201" t="inlineStr">
        <is>
          <t>redalert2mod</t>
        </is>
      </c>
      <c r="B201" t="inlineStr">
        <is>
          <t>asianalliance_upgrade_unlockclusterbombs</t>
        </is>
      </c>
      <c r="C201" t="inlineStr">
        <is>
          <t>Unlock Cluster Bombs</t>
        </is>
      </c>
      <c r="D201" t="inlineStr"/>
      <c r="E201" s="5" t="n"/>
      <c r="F201" s="5" t="n"/>
      <c r="H201" s="5" t="n">
        <v>1</v>
      </c>
      <c r="I201" s="5" t="n">
        <v>1</v>
      </c>
      <c r="J201" s="5" t="n">
        <v>1</v>
      </c>
      <c r="W201" s="5" t="n">
        <v>2500</v>
      </c>
    </row>
    <row r="202">
      <c r="A202" t="inlineStr">
        <is>
          <t>redalert2mod</t>
        </is>
      </c>
      <c r="B202" t="inlineStr">
        <is>
          <t>asianalliance_upgrade_unlockmassparadrop</t>
        </is>
      </c>
      <c r="C202" t="inlineStr">
        <is>
          <t>Unlock Mass Paradrop</t>
        </is>
      </c>
      <c r="D202" t="inlineStr"/>
      <c r="E202" s="5" t="n"/>
      <c r="F202" s="5" t="n"/>
      <c r="H202" s="5" t="n">
        <v>1</v>
      </c>
      <c r="I202" s="5" t="n">
        <v>1</v>
      </c>
      <c r="J202" s="5" t="n">
        <v>1</v>
      </c>
      <c r="W202" s="5" t="n">
        <v>2500</v>
      </c>
    </row>
    <row r="203">
      <c r="A203" t="inlineStr">
        <is>
          <t>redalert2mod</t>
        </is>
      </c>
      <c r="B203" t="inlineStr">
        <is>
          <t>asianalliance_upgrade_wayofthedragon</t>
        </is>
      </c>
      <c r="C203" t="inlineStr">
        <is>
          <t>Way of the Dragon</t>
        </is>
      </c>
      <c r="D203" t="inlineStr"/>
      <c r="E203" s="5" t="n"/>
      <c r="F203" s="5" t="n"/>
      <c r="H203" s="5" t="n">
        <v>1</v>
      </c>
      <c r="I203" s="5" t="n">
        <v>1</v>
      </c>
      <c r="J203" s="5" t="n">
        <v>1</v>
      </c>
      <c r="W203" s="5" t="n">
        <v>10000</v>
      </c>
    </row>
    <row r="204">
      <c r="A204" t="inlineStr">
        <is>
          <t>redalert2mod</t>
        </is>
      </c>
      <c r="B204" t="inlineStr">
        <is>
          <t>cgcnst_infiltrated.asian</t>
        </is>
      </c>
      <c r="C204" t="inlineStr">
        <is>
          <t>Stolen Asian Buildings Plans</t>
        </is>
      </c>
      <c r="D204" t="inlineStr"/>
      <c r="E204" s="5" t="n"/>
      <c r="F204" s="5" t="n"/>
      <c r="H204" s="5" t="n">
        <v>1</v>
      </c>
      <c r="I204" s="5" t="n">
        <v>1</v>
      </c>
      <c r="J204" s="5" t="n">
        <v>1</v>
      </c>
      <c r="W204" s="5" t="n"/>
    </row>
    <row r="205">
      <c r="A205" t="inlineStr">
        <is>
          <t>redalert2mod</t>
        </is>
      </c>
      <c r="B205" t="inlineStr">
        <is>
          <t>up_dragonway_proxy_actor.asian</t>
        </is>
      </c>
      <c r="C205" t="inlineStr">
        <is>
          <t>Way of the Dragon</t>
        </is>
      </c>
      <c r="D205" t="inlineStr"/>
      <c r="E205" s="5" t="n"/>
      <c r="F205" s="5" t="n"/>
      <c r="H205" s="5" t="n">
        <v>1</v>
      </c>
      <c r="I205" s="5" t="n">
        <v>1</v>
      </c>
      <c r="J205" s="5" t="n">
        <v>1</v>
      </c>
      <c r="W205" s="5" t="n"/>
    </row>
    <row r="206">
      <c r="A206" t="inlineStr">
        <is>
          <t>redalert2mod</t>
        </is>
      </c>
      <c r="B206" t="inlineStr">
        <is>
          <t>up_team_diplomacy_proxy_actor.asian</t>
        </is>
      </c>
      <c r="C206" t="inlineStr">
        <is>
          <t>Asian Diplomacy</t>
        </is>
      </c>
      <c r="D206" t="inlineStr"/>
      <c r="E206" s="5" t="n"/>
      <c r="F206" s="5" t="n"/>
      <c r="H206" s="5" t="n">
        <v>1</v>
      </c>
      <c r="I206" s="5" t="n">
        <v>1</v>
      </c>
      <c r="J206" s="5" t="n">
        <v>1</v>
      </c>
      <c r="W206" s="5" t="n"/>
    </row>
    <row r="207">
      <c r="A207" t="inlineStr">
        <is>
          <t>redalert2mod</t>
        </is>
      </c>
      <c r="B207" t="inlineStr">
        <is>
          <t>up_tsunami.asian</t>
        </is>
      </c>
      <c r="C207" t="inlineStr">
        <is>
          <t>Tsunami Carrier Upgrade</t>
        </is>
      </c>
      <c r="D207" t="inlineStr"/>
      <c r="E207" s="5" t="n"/>
      <c r="F207" s="5" t="n"/>
      <c r="H207" s="5" t="n">
        <v>1</v>
      </c>
      <c r="I207" s="5" t="n">
        <v>1</v>
      </c>
      <c r="J207" s="5" t="n">
        <v>1</v>
      </c>
      <c r="W207" s="5" t="n">
        <v>2500</v>
      </c>
    </row>
    <row r="208">
      <c r="A208" s="3" t="inlineStr">
        <is>
          <t>PROMOTIONS</t>
        </is>
      </c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</row>
    <row r="209">
      <c r="A209" t="inlineStr">
        <is>
          <t>redalert2mod</t>
        </is>
      </c>
      <c r="B209" t="inlineStr">
        <is>
          <t>asianalliance_promotion_unlockasdf</t>
        </is>
      </c>
      <c r="C209" t="inlineStr">
        <is>
          <t>Unlock ASDF</t>
        </is>
      </c>
      <c r="D209" t="inlineStr"/>
      <c r="E209" s="5" t="n"/>
      <c r="F209" s="5" t="n"/>
      <c r="H209" s="5" t="n">
        <v>1</v>
      </c>
      <c r="I209" s="5" t="n">
        <v>1</v>
      </c>
      <c r="J209" s="5" t="n">
        <v>1</v>
      </c>
      <c r="W209" s="5" t="n"/>
    </row>
    <row r="210">
      <c r="A210" t="inlineStr">
        <is>
          <t>redalert2mod</t>
        </is>
      </c>
      <c r="B210" t="inlineStr">
        <is>
          <t>asianalliance_promotion_unlockfanatic</t>
        </is>
      </c>
      <c r="C210" t="inlineStr">
        <is>
          <t>Unlock Fanatic</t>
        </is>
      </c>
      <c r="D210" t="inlineStr"/>
      <c r="E210" s="5" t="n"/>
      <c r="F210" s="5" t="n"/>
      <c r="H210" s="5" t="n">
        <v>1</v>
      </c>
      <c r="I210" s="5" t="n">
        <v>1</v>
      </c>
      <c r="J210" s="5" t="n">
        <v>1</v>
      </c>
      <c r="W210" s="5" t="n"/>
    </row>
    <row r="211">
      <c r="A211" t="inlineStr">
        <is>
          <t>redalert2mod</t>
        </is>
      </c>
      <c r="B211" t="inlineStr">
        <is>
          <t>asianalliance_promotion_unlockflametank</t>
        </is>
      </c>
      <c r="C211" t="inlineStr">
        <is>
          <t>Unlock Flame Tank</t>
        </is>
      </c>
      <c r="D211" t="inlineStr"/>
      <c r="E211" s="5" t="n"/>
      <c r="F211" s="5" t="n"/>
      <c r="H211" s="5" t="n">
        <v>1</v>
      </c>
      <c r="I211" s="5" t="n">
        <v>1</v>
      </c>
      <c r="J211" s="5" t="n">
        <v>1</v>
      </c>
      <c r="W211" s="5" t="n"/>
    </row>
    <row r="212">
      <c r="A212" t="inlineStr">
        <is>
          <t>redalert2mod</t>
        </is>
      </c>
      <c r="B212" t="inlineStr">
        <is>
          <t>asianalliance_promotion_unlockheavyrailguntank</t>
        </is>
      </c>
      <c r="C212" t="inlineStr">
        <is>
          <t>Unlock Heavy Railgun Tank</t>
        </is>
      </c>
      <c r="D212" t="inlineStr"/>
      <c r="E212" s="5" t="n"/>
      <c r="F212" s="5" t="n"/>
      <c r="H212" s="5" t="n">
        <v>1</v>
      </c>
      <c r="I212" s="5" t="n">
        <v>1</v>
      </c>
      <c r="J212" s="5" t="n">
        <v>1</v>
      </c>
      <c r="W212" s="5" t="n"/>
    </row>
    <row r="213">
      <c r="A213" t="inlineStr">
        <is>
          <t>redalert2mod</t>
        </is>
      </c>
      <c r="B213" t="inlineStr">
        <is>
          <t>asianalliance_promotion_unlockhowitzer</t>
        </is>
      </c>
      <c r="C213" t="inlineStr">
        <is>
          <t>Unlock Howitzer</t>
        </is>
      </c>
      <c r="D213" t="inlineStr"/>
      <c r="E213" s="5" t="n"/>
      <c r="F213" s="5" t="n"/>
      <c r="H213" s="5" t="n">
        <v>1</v>
      </c>
      <c r="I213" s="5" t="n">
        <v>1</v>
      </c>
      <c r="J213" s="5" t="n">
        <v>1</v>
      </c>
      <c r="W213" s="5" t="n"/>
    </row>
    <row r="214">
      <c r="A214" t="inlineStr">
        <is>
          <t>redalert2mod</t>
        </is>
      </c>
      <c r="B214" t="inlineStr">
        <is>
          <t>asianalliance_promotion_unlockmlrs</t>
        </is>
      </c>
      <c r="C214" t="inlineStr">
        <is>
          <t>Unlock MLRS</t>
        </is>
      </c>
      <c r="D214" t="inlineStr"/>
      <c r="E214" s="5" t="n"/>
      <c r="F214" s="5" t="n"/>
      <c r="H214" s="5" t="n">
        <v>1</v>
      </c>
      <c r="I214" s="5" t="n">
        <v>1</v>
      </c>
      <c r="J214" s="5" t="n">
        <v>1</v>
      </c>
      <c r="W214" s="5" t="n"/>
    </row>
    <row r="215">
      <c r="A215" t="inlineStr">
        <is>
          <t>redalert2mod</t>
        </is>
      </c>
      <c r="B215" t="inlineStr">
        <is>
          <t>asianalliance_promotion_unlockplasmatank</t>
        </is>
      </c>
      <c r="C215" t="inlineStr">
        <is>
          <t>Unlock Plasma Tank</t>
        </is>
      </c>
      <c r="D215" t="inlineStr"/>
      <c r="E215" s="5" t="n"/>
      <c r="F215" s="5" t="n"/>
      <c r="H215" s="5" t="n">
        <v>1</v>
      </c>
      <c r="I215" s="5" t="n">
        <v>1</v>
      </c>
      <c r="J215" s="5" t="n">
        <v>1</v>
      </c>
      <c r="W215" s="5" t="n"/>
    </row>
    <row r="216">
      <c r="A216" t="inlineStr">
        <is>
          <t>redalert2mod</t>
        </is>
      </c>
      <c r="B216" t="inlineStr">
        <is>
          <t>asianalliance_promotion_unlockplasmatrooper</t>
        </is>
      </c>
      <c r="C216" t="inlineStr">
        <is>
          <t>Unlock Plasma Trooper</t>
        </is>
      </c>
      <c r="D216" t="inlineStr"/>
      <c r="E216" s="5" t="n"/>
      <c r="F216" s="5" t="n"/>
      <c r="H216" s="5" t="n">
        <v>1</v>
      </c>
      <c r="I216" s="5" t="n">
        <v>1</v>
      </c>
      <c r="J216" s="5" t="n">
        <v>1</v>
      </c>
      <c r="W216" s="5" t="n"/>
    </row>
    <row r="217">
      <c r="A217" t="inlineStr">
        <is>
          <t>redalert2mod</t>
        </is>
      </c>
      <c r="B217" t="inlineStr">
        <is>
          <t>asianalliance_promotion_unlockpulverizermecha</t>
        </is>
      </c>
      <c r="C217" t="inlineStr">
        <is>
          <t>Unlock Pulverizer Mecha</t>
        </is>
      </c>
      <c r="D217" t="inlineStr"/>
      <c r="E217" s="5" t="n"/>
      <c r="F217" s="5" t="n"/>
      <c r="H217" s="5" t="n">
        <v>1</v>
      </c>
      <c r="I217" s="5" t="n">
        <v>1</v>
      </c>
      <c r="J217" s="5" t="n">
        <v>1</v>
      </c>
      <c r="W217" s="5" t="n"/>
    </row>
    <row r="218">
      <c r="A218" t="inlineStr">
        <is>
          <t>redalert2mod</t>
        </is>
      </c>
      <c r="B218" t="inlineStr">
        <is>
          <t>asianalliance_promotion_unlocksamurai</t>
        </is>
      </c>
      <c r="C218" t="inlineStr">
        <is>
          <t>Unlock Samurai</t>
        </is>
      </c>
      <c r="D218" t="inlineStr"/>
      <c r="E218" s="5" t="n"/>
      <c r="F218" s="5" t="n"/>
      <c r="H218" s="5" t="n">
        <v>1</v>
      </c>
      <c r="I218" s="5" t="n">
        <v>1</v>
      </c>
      <c r="J218" s="5" t="n">
        <v>1</v>
      </c>
      <c r="W218" s="5" t="n"/>
    </row>
    <row r="219">
      <c r="A219" t="inlineStr">
        <is>
          <t>redalert2mod</t>
        </is>
      </c>
      <c r="B219" t="inlineStr">
        <is>
          <t>asianalliance_promotion_unlockveteranarchers</t>
        </is>
      </c>
      <c r="C219" t="inlineStr">
        <is>
          <t>Unlock Veteran Archers</t>
        </is>
      </c>
      <c r="D219" t="inlineStr"/>
      <c r="E219" s="5" t="n"/>
      <c r="F219" s="5" t="n"/>
      <c r="H219" s="5" t="n">
        <v>1</v>
      </c>
      <c r="I219" s="5" t="n">
        <v>1</v>
      </c>
      <c r="J219" s="5" t="n">
        <v>1</v>
      </c>
      <c r="W219" s="5" t="n"/>
    </row>
    <row r="220">
      <c r="A220" t="inlineStr">
        <is>
          <t>redalert2mod</t>
        </is>
      </c>
      <c r="B220" t="inlineStr">
        <is>
          <t>asianalliance_promotion_unlockwarturtle</t>
        </is>
      </c>
      <c r="C220" t="inlineStr">
        <is>
          <t>Unlock War Turtle</t>
        </is>
      </c>
      <c r="D220" t="inlineStr"/>
      <c r="E220" s="5" t="n"/>
      <c r="F220" s="5" t="n"/>
      <c r="H220" s="5" t="n">
        <v>1</v>
      </c>
      <c r="I220" s="5" t="n">
        <v>1</v>
      </c>
      <c r="J220" s="5" t="n">
        <v>1</v>
      </c>
      <c r="W220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221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9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redalert2mod</t>
        </is>
      </c>
      <c r="B3" t="inlineStr">
        <is>
          <t>steelconsortium_clonetrooper</t>
        </is>
      </c>
      <c r="C3" t="inlineStr">
        <is>
          <t>Clone Trooper</t>
        </is>
      </c>
      <c r="D3" t="inlineStr"/>
      <c r="E3" s="5" t="n">
        <v>17000</v>
      </c>
      <c r="F3" s="5" t="n">
        <v>57</v>
      </c>
      <c r="G3" t="inlineStr">
        <is>
          <t>Flak</t>
        </is>
      </c>
      <c r="H3" s="5" t="n">
        <v>1</v>
      </c>
      <c r="I3" s="5" t="n">
        <v>1</v>
      </c>
      <c r="J3" s="5" t="n">
        <v>1</v>
      </c>
      <c r="O3">
        <f>MAX(O4,O5,O8,O9)</f>
        <v/>
      </c>
      <c r="R3">
        <f>R4+R5+R8+R9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200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SteelCloneGun</t>
        </is>
      </c>
      <c r="C4" s="6" t="inlineStr">
        <is>
          <t>Armament@PRIMARY</t>
        </is>
      </c>
      <c r="K4" s="5" t="n">
        <v>2000</v>
      </c>
      <c r="L4" s="5" t="n">
        <v>25</v>
      </c>
      <c r="M4" s="5" t="n">
        <v>1</v>
      </c>
      <c r="N4" s="5" t="n"/>
      <c r="O4" s="5" t="n">
        <v>5000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^SteelHeavyCannon, ^SteelMediumMissile, ^SteelSmallArms</t>
        </is>
      </c>
    </row>
    <row r="5">
      <c r="B5" s="6" t="inlineStr">
        <is>
          <t xml:space="preserve">  ↳ SteelCloneGunE</t>
        </is>
      </c>
      <c r="C5" s="6" t="inlineStr">
        <is>
          <t>Armament@ELITE</t>
        </is>
      </c>
      <c r="K5" s="5" t="n">
        <v>2000</v>
      </c>
      <c r="L5" s="5" t="n">
        <v>25</v>
      </c>
      <c r="M5" s="5" t="n">
        <v>2</v>
      </c>
      <c r="N5" s="5" t="n">
        <v>3</v>
      </c>
      <c r="O5" s="5" t="n">
        <v>6000</v>
      </c>
      <c r="P5" s="5" t="n">
        <v>1</v>
      </c>
      <c r="Q5">
        <f>L5+IF(M5&gt;1,N(N5)*(M5-1),0)</f>
        <v/>
      </c>
      <c r="R5">
        <f>IFERROR(K5*MAX(M5,1)/Q5*P5,0)</f>
        <v/>
      </c>
      <c r="AA5" s="6" t="inlineStr">
        <is>
          <t>^SteelHeavyCannon, ^SteelMediumMissile, ^SteelSmallArms</t>
        </is>
      </c>
    </row>
    <row r="6">
      <c r="B6" s="6" t="inlineStr">
        <is>
          <t xml:space="preserve">  ↳ SteelCloneGun</t>
        </is>
      </c>
      <c r="C6" s="6" t="inlineStr">
        <is>
          <t>Armament@GARRISONED</t>
        </is>
      </c>
      <c r="K6" s="5" t="n">
        <v>2000</v>
      </c>
      <c r="L6" s="5" t="n">
        <v>25</v>
      </c>
      <c r="M6" s="5" t="n">
        <v>1</v>
      </c>
      <c r="N6" s="5" t="n"/>
      <c r="O6" s="5" t="n">
        <v>5000</v>
      </c>
      <c r="P6" s="5" t="n">
        <v>1</v>
      </c>
      <c r="Q6">
        <f>L6+IF(M6&gt;1,N(N6)*(M6-1),0)</f>
        <v/>
      </c>
      <c r="R6">
        <f>IFERROR(K6*MAX(M6,1)/Q6*P6,0)</f>
        <v/>
      </c>
      <c r="AA6" s="6" t="inlineStr">
        <is>
          <t>^SteelHeavyCannon, ^SteelMediumMissile, ^SteelSmallArms</t>
        </is>
      </c>
    </row>
    <row r="7">
      <c r="B7" s="6" t="inlineStr">
        <is>
          <t xml:space="preserve">  ↳ SteelCloneGunE</t>
        </is>
      </c>
      <c r="C7" s="6" t="inlineStr">
        <is>
          <t>Armament@GARRISONEDELITE</t>
        </is>
      </c>
      <c r="K7" s="5" t="n">
        <v>2000</v>
      </c>
      <c r="L7" s="5" t="n">
        <v>25</v>
      </c>
      <c r="M7" s="5" t="n">
        <v>2</v>
      </c>
      <c r="N7" s="5" t="n">
        <v>3</v>
      </c>
      <c r="O7" s="5" t="n">
        <v>6000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^SteelHeavyCannon, ^SteelMediumMissile, ^SteelSmallArms</t>
        </is>
      </c>
    </row>
    <row r="8">
      <c r="B8" s="6" t="inlineStr">
        <is>
          <t xml:space="preserve">  ↳ SteelCloneGunResonance</t>
        </is>
      </c>
      <c r="C8" s="6" t="inlineStr">
        <is>
          <t>Armament@UpgradePRIMARY</t>
        </is>
      </c>
      <c r="K8" s="5" t="n">
        <v>2000</v>
      </c>
      <c r="L8" s="5" t="n">
        <v>25</v>
      </c>
      <c r="M8" s="5" t="n">
        <v>1</v>
      </c>
      <c r="N8" s="5" t="n"/>
      <c r="O8" s="5" t="n">
        <v>5000</v>
      </c>
      <c r="P8" s="5" t="n">
        <v>1</v>
      </c>
      <c r="Q8">
        <f>L8+IF(M8&gt;1,N(N8)*(M8-1),0)</f>
        <v/>
      </c>
      <c r="R8">
        <f>IFERROR(K8*MAX(M8,1)/Q8*P8,0)</f>
        <v/>
      </c>
      <c r="AA8" s="6" t="inlineStr">
        <is>
          <t>^SteelHeavyCannon, ^SteelMediumMissile, ^SteelSmallArms</t>
        </is>
      </c>
    </row>
    <row r="9">
      <c r="B9" s="6" t="inlineStr">
        <is>
          <t xml:space="preserve">  ↳ SteelCloneGunEResonance</t>
        </is>
      </c>
      <c r="C9" s="6" t="inlineStr">
        <is>
          <t>Armament@UpgradeELITE</t>
        </is>
      </c>
      <c r="K9" s="5" t="n">
        <v>2000</v>
      </c>
      <c r="L9" s="5" t="n">
        <v>25</v>
      </c>
      <c r="M9" s="5" t="n">
        <v>2</v>
      </c>
      <c r="N9" s="5" t="n">
        <v>3</v>
      </c>
      <c r="O9" s="5" t="n">
        <v>6000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>
        <is>
          <t>^SteelHeavyCannon, ^SteelMediumMissile, ^SteelSmallArms</t>
        </is>
      </c>
    </row>
    <row r="10">
      <c r="B10" s="6" t="inlineStr">
        <is>
          <t xml:space="preserve">  ↳ SteelCloneGunResonance</t>
        </is>
      </c>
      <c r="C10" s="6" t="inlineStr">
        <is>
          <t>Armament@UpgradeGARRISONED</t>
        </is>
      </c>
      <c r="K10" s="5" t="n">
        <v>2000</v>
      </c>
      <c r="L10" s="5" t="n">
        <v>25</v>
      </c>
      <c r="M10" s="5" t="n">
        <v>1</v>
      </c>
      <c r="N10" s="5" t="n"/>
      <c r="O10" s="5" t="n">
        <v>5000</v>
      </c>
      <c r="P10" s="5" t="n">
        <v>1</v>
      </c>
      <c r="Q10">
        <f>L10+IF(M10&gt;1,N(N10)*(M10-1),0)</f>
        <v/>
      </c>
      <c r="R10">
        <f>IFERROR(K10*MAX(M10,1)/Q10*P10,0)</f>
        <v/>
      </c>
      <c r="AA10" s="6" t="inlineStr">
        <is>
          <t>^SteelHeavyCannon, ^SteelMediumMissile, ^SteelSmallArms</t>
        </is>
      </c>
    </row>
    <row r="11">
      <c r="B11" s="6" t="inlineStr">
        <is>
          <t xml:space="preserve">  ↳ SteelCloneGunEResonance</t>
        </is>
      </c>
      <c r="C11" s="6" t="inlineStr">
        <is>
          <t>Armament@UpgradeGARRISONEDELITE</t>
        </is>
      </c>
      <c r="K11" s="5" t="n">
        <v>2000</v>
      </c>
      <c r="L11" s="5" t="n">
        <v>25</v>
      </c>
      <c r="M11" s="5" t="n">
        <v>2</v>
      </c>
      <c r="N11" s="5" t="n">
        <v>3</v>
      </c>
      <c r="O11" s="5" t="n">
        <v>6000</v>
      </c>
      <c r="P11" s="5" t="n">
        <v>1</v>
      </c>
      <c r="Q11">
        <f>L11+IF(M11&gt;1,N(N11)*(M11-1),0)</f>
        <v/>
      </c>
      <c r="R11">
        <f>IFERROR(K11*MAX(M11,1)/Q11*P11,0)</f>
        <v/>
      </c>
      <c r="AA11" s="6" t="inlineStr">
        <is>
          <t>^SteelHeavyCannon, ^SteelMediumMissile, ^SteelSmallArms</t>
        </is>
      </c>
    </row>
    <row r="12">
      <c r="A12" t="inlineStr">
        <is>
          <t>redalert2mod</t>
        </is>
      </c>
      <c r="B12" t="inlineStr">
        <is>
          <t>steelconsortium_engineer</t>
        </is>
      </c>
      <c r="C12" t="inlineStr">
        <is>
          <t>Engineer</t>
        </is>
      </c>
      <c r="D12" t="inlineStr"/>
      <c r="E12" s="5" t="n">
        <v>5000</v>
      </c>
      <c r="F12" s="5" t="n">
        <v>50</v>
      </c>
      <c r="G12" t="inlineStr">
        <is>
          <t>None</t>
        </is>
      </c>
      <c r="H12" s="5" t="n">
        <v>1</v>
      </c>
      <c r="I12" s="5" t="n">
        <v>1</v>
      </c>
      <c r="J12" s="5" t="n">
        <v>1</v>
      </c>
      <c r="O12">
        <f>MAX(O13,O14)</f>
        <v/>
      </c>
      <c r="R12">
        <f>R13+R14</f>
        <v/>
      </c>
      <c r="S12">
        <f>(E12/100000+F12/100+(O12/1000)*J12/5+R12/200)*200*I12*H12</f>
        <v/>
      </c>
      <c r="T12">
        <f>((E12*F12/25000)+((O12/1000)*J12*R12/2.5))*I12*H12</f>
        <v/>
      </c>
      <c r="U12">
        <f>(E12*F12*(O12/1000)*J12*R12*I12*H12)/12500000</f>
        <v/>
      </c>
      <c r="V12">
        <f>(S12+T12+U12)/3</f>
        <v/>
      </c>
      <c r="W12" s="5" t="n">
        <v>500</v>
      </c>
      <c r="X12">
        <f>IFERROR(V12-W12,"")</f>
        <v/>
      </c>
      <c r="Y12">
        <f>IFERROR(ABS(X12)/MAX(W12,1),"")</f>
        <v/>
      </c>
      <c r="Z12">
        <f>IFERROR((W12-(((E12/100000+F12/100+R12/200)*200*I12*H12)+((E12*F12/25000)*I12*H12))/3)/(((J12/5)*200*I12*H12)+((J12*R12/2.5)*I12*H12)+((E12*F12*J12*R12*I12*H12)/12500000))/3*1000,"")</f>
        <v/>
      </c>
    </row>
    <row r="13">
      <c r="B13" s="6" t="inlineStr">
        <is>
          <t xml:space="preserve">  ↳ DefuseKit</t>
        </is>
      </c>
      <c r="C13" s="6" t="inlineStr">
        <is>
          <t>Armament@defuse</t>
        </is>
      </c>
      <c r="K13" s="5" t="n"/>
      <c r="L13" s="5" t="n">
        <v>20</v>
      </c>
      <c r="M13" s="5" t="n">
        <v>1</v>
      </c>
      <c r="N13" s="5" t="n"/>
      <c r="O13" s="5" t="n">
        <v>1536</v>
      </c>
      <c r="P13" s="5" t="n">
        <v>1</v>
      </c>
      <c r="Q13">
        <f>L13+IF(M13&gt;1,N(N13)*(M13-1),0)</f>
        <v/>
      </c>
      <c r="R13">
        <f>IFERROR(K13*MAX(M13,1)/Q13*P13,0)</f>
        <v/>
      </c>
      <c r="AA13" s="6" t="inlineStr">
        <is>
          <t>^RemovesIvanBombs, ^RemovesTerrorDrone</t>
        </is>
      </c>
    </row>
    <row r="14">
      <c r="B14" s="6" t="inlineStr">
        <is>
          <t xml:space="preserve">  ↳ LeechDisinfect</t>
        </is>
      </c>
      <c r="C14" s="6" t="inlineStr">
        <is>
          <t>Armament@leechdisinfect</t>
        </is>
      </c>
      <c r="K14" s="5" t="n"/>
      <c r="L14" s="5" t="n">
        <v>100</v>
      </c>
      <c r="M14" s="5" t="n">
        <v>1</v>
      </c>
      <c r="N14" s="5" t="n"/>
      <c r="O14" s="5" t="n">
        <v>1536</v>
      </c>
      <c r="P14" s="5" t="n">
        <v>1</v>
      </c>
      <c r="Q14">
        <f>L14+IF(M14&gt;1,N(N14)*(M14-1),0)</f>
        <v/>
      </c>
      <c r="R14">
        <f>IFERROR(K14*MAX(M14,1)/Q14*P14,0)</f>
        <v/>
      </c>
      <c r="AA14" s="6" t="inlineStr"/>
    </row>
    <row r="15">
      <c r="A15" t="inlineStr">
        <is>
          <t>redalert2mod</t>
        </is>
      </c>
      <c r="B15" t="inlineStr">
        <is>
          <t>steelconsortium_hoverboardgrenadier</t>
        </is>
      </c>
      <c r="C15" t="inlineStr">
        <is>
          <t>Hover Board Grenadier</t>
        </is>
      </c>
      <c r="D15" t="inlineStr"/>
      <c r="E15" s="5" t="n">
        <v>22000</v>
      </c>
      <c r="F15" s="5" t="n">
        <v>130</v>
      </c>
      <c r="G15" t="inlineStr">
        <is>
          <t>None</t>
        </is>
      </c>
      <c r="H15" s="5" t="n">
        <v>1</v>
      </c>
      <c r="I15" s="5" t="n">
        <v>0.4</v>
      </c>
      <c r="J15" s="5" t="n">
        <v>1</v>
      </c>
      <c r="O15">
        <f>MAX(O16,O17,O20,O21)</f>
        <v/>
      </c>
      <c r="R15">
        <f>R16+R17+R20+R21</f>
        <v/>
      </c>
      <c r="S15">
        <f>(E15/100000+F15/100+(O15/1000)*J15/5+R15/200)*200*I15*H15</f>
        <v/>
      </c>
      <c r="T15">
        <f>((E15*F15/25000)+((O15/1000)*J15*R15/2.5))*I15*H15</f>
        <v/>
      </c>
      <c r="U15">
        <f>(E15*F15*(O15/1000)*J15*R15*I15*H15)/12500000</f>
        <v/>
      </c>
      <c r="V15">
        <f>(S15+T15+U15)/3</f>
        <v/>
      </c>
      <c r="W15" s="5" t="n">
        <v>650</v>
      </c>
      <c r="X15">
        <f>IFERROR(V15-W15,"")</f>
        <v/>
      </c>
      <c r="Y15">
        <f>IFERROR(ABS(X15)/MAX(W15,1),"")</f>
        <v/>
      </c>
      <c r="Z15">
        <f>IFERROR((W15-(((E15/100000+F15/100+R15/200)*200*I15*H15)+((E15*F15/25000)*I15*H15))/3)/(((J15/5)*200*I15*H15)+((J15*R15/2.5)*I15*H15)+((E15*F15*J15*R15*I15*H15)/12500000))/3*1000,"")</f>
        <v/>
      </c>
    </row>
    <row r="16">
      <c r="B16" s="6" t="inlineStr">
        <is>
          <t xml:space="preserve">  ↳ SteelMakoGun</t>
        </is>
      </c>
      <c r="C16" s="6" t="inlineStr">
        <is>
          <t>Armament@PRIMARY</t>
        </is>
      </c>
      <c r="K16" s="5" t="n">
        <v>2000</v>
      </c>
      <c r="L16" s="5" t="n">
        <v>25</v>
      </c>
      <c r="M16" s="5" t="n">
        <v>1</v>
      </c>
      <c r="N16" s="5" t="n"/>
      <c r="O16" s="5" t="n">
        <v>6050</v>
      </c>
      <c r="P16" s="5" t="n">
        <v>1</v>
      </c>
      <c r="Q16">
        <f>L16+IF(M16&gt;1,N(N16)*(M16-1),0)</f>
        <v/>
      </c>
      <c r="R16">
        <f>IFERROR(K16*MAX(M16,1)/Q16*P16,0)</f>
        <v/>
      </c>
      <c r="AA16" s="6" t="inlineStr">
        <is>
          <t>^MediumFlameWeapon, ^RA2Grenade, ^RA2RailgunWeapon, ^SteelMediumCannon</t>
        </is>
      </c>
    </row>
    <row r="17">
      <c r="B17" s="6" t="inlineStr">
        <is>
          <t xml:space="preserve">  ↳ SteelMakoGunE</t>
        </is>
      </c>
      <c r="C17" s="6" t="inlineStr">
        <is>
          <t>Armament@ELITE</t>
        </is>
      </c>
      <c r="K17" s="5" t="n">
        <v>2000</v>
      </c>
      <c r="L17" s="5" t="n">
        <v>25</v>
      </c>
      <c r="M17" s="5" t="n">
        <v>2</v>
      </c>
      <c r="N17" s="5" t="n">
        <v>3</v>
      </c>
      <c r="O17" s="5" t="n">
        <v>7050</v>
      </c>
      <c r="P17" s="5" t="n">
        <v>1</v>
      </c>
      <c r="Q17">
        <f>L17+IF(M17&gt;1,N(N17)*(M17-1),0)</f>
        <v/>
      </c>
      <c r="R17">
        <f>IFERROR(K17*MAX(M17,1)/Q17*P17,0)</f>
        <v/>
      </c>
      <c r="AA17" s="6" t="inlineStr">
        <is>
          <t>^MediumFlameWeapon, ^RA2Grenade, ^RA2RailgunWeapon, ^SteelMediumCannon</t>
        </is>
      </c>
    </row>
    <row r="18">
      <c r="B18" s="6" t="inlineStr">
        <is>
          <t xml:space="preserve">  ↳ SteelMakoGun</t>
        </is>
      </c>
      <c r="C18" s="6" t="inlineStr">
        <is>
          <t>Armament@GARRISONED</t>
        </is>
      </c>
      <c r="K18" s="5" t="n">
        <v>2000</v>
      </c>
      <c r="L18" s="5" t="n">
        <v>25</v>
      </c>
      <c r="M18" s="5" t="n">
        <v>1</v>
      </c>
      <c r="N18" s="5" t="n"/>
      <c r="O18" s="5" t="n">
        <v>6050</v>
      </c>
      <c r="P18" s="5" t="n">
        <v>1</v>
      </c>
      <c r="Q18">
        <f>L18+IF(M18&gt;1,N(N18)*(M18-1),0)</f>
        <v/>
      </c>
      <c r="R18">
        <f>IFERROR(K18*MAX(M18,1)/Q18*P18,0)</f>
        <v/>
      </c>
      <c r="AA18" s="6" t="inlineStr">
        <is>
          <t>^MediumFlameWeapon, ^RA2Grenade, ^RA2RailgunWeapon, ^SteelMediumCannon</t>
        </is>
      </c>
    </row>
    <row r="19">
      <c r="B19" s="6" t="inlineStr">
        <is>
          <t xml:space="preserve">  ↳ SteelMakoGunE</t>
        </is>
      </c>
      <c r="C19" s="6" t="inlineStr">
        <is>
          <t>Armament@GARRISONEDELITE</t>
        </is>
      </c>
      <c r="K19" s="5" t="n">
        <v>2000</v>
      </c>
      <c r="L19" s="5" t="n">
        <v>25</v>
      </c>
      <c r="M19" s="5" t="n">
        <v>2</v>
      </c>
      <c r="N19" s="5" t="n">
        <v>3</v>
      </c>
      <c r="O19" s="5" t="n">
        <v>7050</v>
      </c>
      <c r="P19" s="5" t="n">
        <v>1</v>
      </c>
      <c r="Q19">
        <f>L19+IF(M19&gt;1,N(N19)*(M19-1),0)</f>
        <v/>
      </c>
      <c r="R19">
        <f>IFERROR(K19*MAX(M19,1)/Q19*P19,0)</f>
        <v/>
      </c>
      <c r="AA19" s="6" t="inlineStr">
        <is>
          <t>^MediumFlameWeapon, ^RA2Grenade, ^RA2RailgunWeapon, ^SteelMediumCannon</t>
        </is>
      </c>
    </row>
    <row r="20">
      <c r="B20" s="6" t="inlineStr">
        <is>
          <t xml:space="preserve">  ↳ SteelMakoGunEMP</t>
        </is>
      </c>
      <c r="C20" s="6" t="inlineStr">
        <is>
          <t>Armament@UpgradePRIMARY</t>
        </is>
      </c>
      <c r="K20" s="5" t="n">
        <v>2000</v>
      </c>
      <c r="L20" s="5" t="n">
        <v>25</v>
      </c>
      <c r="M20" s="5" t="n">
        <v>1</v>
      </c>
      <c r="N20" s="5" t="n"/>
      <c r="O20" s="5" t="n">
        <v>6050</v>
      </c>
      <c r="P20" s="5" t="n">
        <v>1</v>
      </c>
      <c r="Q20">
        <f>L20+IF(M20&gt;1,N(N20)*(M20-1),0)</f>
        <v/>
      </c>
      <c r="R20">
        <f>IFERROR(K20*MAX(M20,1)/Q20*P20,0)</f>
        <v/>
      </c>
      <c r="AA20" s="6" t="inlineStr">
        <is>
          <t>^LightChemicalWeapon, ^TeslaWeapon, ^MediumFlameWeapon, ^RA2Grenade, ^RA2RailgunWeapon, ^SteelMediumCannon</t>
        </is>
      </c>
    </row>
    <row r="21">
      <c r="B21" s="6" t="inlineStr">
        <is>
          <t xml:space="preserve">  ↳ SteelMakoGunEMPE</t>
        </is>
      </c>
      <c r="C21" s="6" t="inlineStr">
        <is>
          <t>Armament@UpgradeELITE</t>
        </is>
      </c>
      <c r="K21" s="5" t="n">
        <v>2000</v>
      </c>
      <c r="L21" s="5" t="n">
        <v>25</v>
      </c>
      <c r="M21" s="5" t="n">
        <v>2</v>
      </c>
      <c r="N21" s="5" t="n">
        <v>3</v>
      </c>
      <c r="O21" s="5" t="n">
        <v>7050</v>
      </c>
      <c r="P21" s="5" t="n">
        <v>1</v>
      </c>
      <c r="Q21">
        <f>L21+IF(M21&gt;1,N(N21)*(M21-1),0)</f>
        <v/>
      </c>
      <c r="R21">
        <f>IFERROR(K21*MAX(M21,1)/Q21*P21,0)</f>
        <v/>
      </c>
      <c r="AA21" s="6" t="inlineStr">
        <is>
          <t>^LightChemicalWeapon, ^TeslaWeapon, ^MediumFlameWeapon, ^RA2Grenade, ^RA2RailgunWeapon, ^SteelMediumCannon</t>
        </is>
      </c>
    </row>
    <row r="22">
      <c r="B22" s="6" t="inlineStr">
        <is>
          <t xml:space="preserve">  ↳ SteelMakoGunEMP</t>
        </is>
      </c>
      <c r="C22" s="6" t="inlineStr">
        <is>
          <t>Armament@UpgradeGARRISONED</t>
        </is>
      </c>
      <c r="K22" s="5" t="n">
        <v>2000</v>
      </c>
      <c r="L22" s="5" t="n">
        <v>25</v>
      </c>
      <c r="M22" s="5" t="n">
        <v>1</v>
      </c>
      <c r="N22" s="5" t="n"/>
      <c r="O22" s="5" t="n">
        <v>6050</v>
      </c>
      <c r="P22" s="5" t="n">
        <v>1</v>
      </c>
      <c r="Q22">
        <f>L22+IF(M22&gt;1,N(N22)*(M22-1),0)</f>
        <v/>
      </c>
      <c r="R22">
        <f>IFERROR(K22*MAX(M22,1)/Q22*P22,0)</f>
        <v/>
      </c>
      <c r="AA22" s="6" t="inlineStr">
        <is>
          <t>^LightChemicalWeapon, ^TeslaWeapon, ^MediumFlameWeapon, ^RA2Grenade, ^RA2RailgunWeapon, ^SteelMediumCannon</t>
        </is>
      </c>
    </row>
    <row r="23">
      <c r="B23" s="6" t="inlineStr">
        <is>
          <t xml:space="preserve">  ↳ SteelMakoGunEMPE</t>
        </is>
      </c>
      <c r="C23" s="6" t="inlineStr">
        <is>
          <t>Armament@UpgradeGARRISONEDELITE</t>
        </is>
      </c>
      <c r="K23" s="5" t="n">
        <v>2000</v>
      </c>
      <c r="L23" s="5" t="n">
        <v>25</v>
      </c>
      <c r="M23" s="5" t="n">
        <v>2</v>
      </c>
      <c r="N23" s="5" t="n">
        <v>3</v>
      </c>
      <c r="O23" s="5" t="n">
        <v>7050</v>
      </c>
      <c r="P23" s="5" t="n">
        <v>1</v>
      </c>
      <c r="Q23">
        <f>L23+IF(M23&gt;1,N(N23)*(M23-1),0)</f>
        <v/>
      </c>
      <c r="R23">
        <f>IFERROR(K23*MAX(M23,1)/Q23*P23,0)</f>
        <v/>
      </c>
      <c r="AA23" s="6" t="inlineStr">
        <is>
          <t>^LightChemicalWeapon, ^TeslaWeapon, ^MediumFlameWeapon, ^RA2Grenade, ^RA2RailgunWeapon, ^SteelMediumCannon</t>
        </is>
      </c>
    </row>
    <row r="24">
      <c r="A24" t="inlineStr">
        <is>
          <t>redalert2mod</t>
        </is>
      </c>
      <c r="B24" t="inlineStr">
        <is>
          <t>steelconsortium_quantummissiletrooper</t>
        </is>
      </c>
      <c r="C24" t="inlineStr">
        <is>
          <t>Quantum Missile Trooper</t>
        </is>
      </c>
      <c r="D24" t="inlineStr"/>
      <c r="E24" s="5" t="n">
        <v>64000</v>
      </c>
      <c r="F24" s="5" t="n">
        <v>48</v>
      </c>
      <c r="G24" t="inlineStr">
        <is>
          <t>Plate</t>
        </is>
      </c>
      <c r="H24" s="5" t="n">
        <v>0.75</v>
      </c>
      <c r="I24" s="5" t="n">
        <v>0.8</v>
      </c>
      <c r="J24" s="5" t="n">
        <v>1.25</v>
      </c>
      <c r="O24">
        <f>MAX(O25,O26,O27,O28,O29,O30,O31,O32,O33)</f>
        <v/>
      </c>
      <c r="R24">
        <f>R25+R26+R27+R28+R29+R30+R31+R32+R33</f>
        <v/>
      </c>
      <c r="S24">
        <f>(E24/100000+F24/100+(O24/1000)*J24/5+R24/200)*200*I24*H24</f>
        <v/>
      </c>
      <c r="T24">
        <f>((E24*F24/25000)+((O24/1000)*J24*R24/2.5))*I24*H24</f>
        <v/>
      </c>
      <c r="U24">
        <f>(E24*F24*(O24/1000)*J24*R24*I24*H24)/12500000</f>
        <v/>
      </c>
      <c r="V24">
        <f>(S24+T24+U24)/3</f>
        <v/>
      </c>
      <c r="W24" s="5" t="n">
        <v>1150</v>
      </c>
      <c r="X24">
        <f>IFERROR(V24-W24,"")</f>
        <v/>
      </c>
      <c r="Y24">
        <f>IFERROR(ABS(X24)/MAX(W24,1),"")</f>
        <v/>
      </c>
      <c r="Z24">
        <f>IFERROR((W24-(((E24/100000+F24/100+R24/200)*200*I24*H24)+((E24*F24/25000)*I24*H24))/3)/(((J24/5)*200*I24*H24)+((J24*R24/2.5)*I24*H24)+((E24*F24*J24*R24*I24*H24)/12500000))/3*1000,"")</f>
        <v/>
      </c>
    </row>
    <row r="25">
      <c r="B25" s="6" t="inlineStr">
        <is>
          <t xml:space="preserve">  ↳ SteelInfRailgun</t>
        </is>
      </c>
      <c r="C25" s="6" t="inlineStr">
        <is>
          <t>Armament@PRIMARY</t>
        </is>
      </c>
      <c r="K25" s="5" t="n">
        <v>4000</v>
      </c>
      <c r="L25" s="5" t="n">
        <v>48</v>
      </c>
      <c r="M25" s="5" t="n">
        <v>2</v>
      </c>
      <c r="N25" s="5" t="n">
        <v>0</v>
      </c>
      <c r="O25" s="5" t="n">
        <v>8000</v>
      </c>
      <c r="P25" s="5" t="n">
        <v>1</v>
      </c>
      <c r="Q25">
        <f>L25+IF(M25&gt;1,N(N25)*(M25-1),0)</f>
        <v/>
      </c>
      <c r="R25">
        <f>IFERROR(K25*MAX(M25,1)/Q25*P25,0)</f>
        <v/>
      </c>
      <c r="AA25" s="6" t="inlineStr">
        <is>
          <t>^RA2RailgunWeapon, ^RA2FlakWeapon, ^SteelChaingun, ^SteelLightMissile</t>
        </is>
      </c>
    </row>
    <row r="26">
      <c r="B26" s="6" t="inlineStr">
        <is>
          <t xml:space="preserve">  ↳ SteelInfRailgunE</t>
        </is>
      </c>
      <c r="C26" s="6" t="inlineStr">
        <is>
          <t>Armament@PRIMARYELITE</t>
        </is>
      </c>
      <c r="K26" s="5" t="n">
        <v>4000</v>
      </c>
      <c r="L26" s="5" t="n">
        <v>48</v>
      </c>
      <c r="M26" s="5" t="n">
        <v>4</v>
      </c>
      <c r="N26" s="5" t="n">
        <v>0</v>
      </c>
      <c r="O26" s="5" t="n">
        <v>9000</v>
      </c>
      <c r="P26" s="5" t="n">
        <v>1</v>
      </c>
      <c r="Q26">
        <f>L26+IF(M26&gt;1,N(N26)*(M26-1),0)</f>
        <v/>
      </c>
      <c r="R26">
        <f>IFERROR(K26*MAX(M26,1)/Q26*P26,0)</f>
        <v/>
      </c>
      <c r="AA26" s="6" t="inlineStr">
        <is>
          <t>^RA2RailgunWeapon, ^RA2FlakWeapon, ^SteelChaingun, ^SteelLightMissile</t>
        </is>
      </c>
    </row>
    <row r="27">
      <c r="B27" s="6" t="inlineStr">
        <is>
          <t xml:space="preserve">  ↳ SteelInfRailgunEMP</t>
        </is>
      </c>
      <c r="C27" s="6" t="inlineStr">
        <is>
          <t>Armament@UpgradePRIMARY</t>
        </is>
      </c>
      <c r="K27" s="5" t="n">
        <v>2000</v>
      </c>
      <c r="L27" s="5" t="n">
        <v>50</v>
      </c>
      <c r="M27" s="5" t="n">
        <v>2</v>
      </c>
      <c r="N27" s="5" t="n">
        <v>0</v>
      </c>
      <c r="O27" s="5" t="n">
        <v>8000</v>
      </c>
      <c r="P27" s="5" t="n">
        <v>1</v>
      </c>
      <c r="Q27">
        <f>L27+IF(M27&gt;1,N(N27)*(M27-1),0)</f>
        <v/>
      </c>
      <c r="R27">
        <f>IFERROR(K27*MAX(M27,1)/Q27*P27,0)</f>
        <v/>
      </c>
      <c r="AA27" s="6" t="inlineStr">
        <is>
          <t>^Grenade, ^MediumFlameWeapon, ^MediumChemicalWeapon, ^ShrapnelWeapon, ^MediumCannon, ^TeslaWeapon, ^RA2RailgunWeapon, ^RA2FlakWeapon, ^SteelChaingun, ^SteelLightMissile</t>
        </is>
      </c>
    </row>
    <row r="28">
      <c r="B28" s="6" t="inlineStr">
        <is>
          <t xml:space="preserve">  ↳ SteelInfRailgunEMPE</t>
        </is>
      </c>
      <c r="C28" s="6" t="inlineStr">
        <is>
          <t>Armament@UpgradePRIMARYELITE</t>
        </is>
      </c>
      <c r="K28" s="5" t="n">
        <v>2000</v>
      </c>
      <c r="L28" s="5" t="n">
        <v>50</v>
      </c>
      <c r="M28" s="5" t="n">
        <v>4</v>
      </c>
      <c r="N28" s="5" t="n">
        <v>0</v>
      </c>
      <c r="O28" s="5" t="n">
        <v>9000</v>
      </c>
      <c r="P28" s="5" t="n">
        <v>1</v>
      </c>
      <c r="Q28">
        <f>L28+IF(M28&gt;1,N(N28)*(M28-1),0)</f>
        <v/>
      </c>
      <c r="R28">
        <f>IFERROR(K28*MAX(M28,1)/Q28*P28,0)</f>
        <v/>
      </c>
      <c r="AA28" s="6" t="inlineStr">
        <is>
          <t>^Grenade, ^MediumFlameWeapon, ^MediumChemicalWeapon, ^ShrapnelWeapon, ^MediumCannon, ^TeslaWeapon, ^RA2RailgunWeapon, ^RA2FlakWeapon, ^SteelChaingun, ^SteelLightMissile</t>
        </is>
      </c>
    </row>
    <row r="29">
      <c r="B29" s="6" t="inlineStr">
        <is>
          <t xml:space="preserve">  ↳ aadeploytargeting.8c0</t>
        </is>
      </c>
      <c r="C29" s="6" t="inlineStr">
        <is>
          <t>Armament@BOTAA</t>
        </is>
      </c>
      <c r="K29" s="5" t="n"/>
      <c r="L29" s="5" t="n">
        <v>50</v>
      </c>
      <c r="M29" s="5" t="n">
        <v>1</v>
      </c>
      <c r="N29" s="5" t="n"/>
      <c r="O29" s="5" t="n">
        <v>8000</v>
      </c>
      <c r="P29" s="5" t="n">
        <v>1</v>
      </c>
      <c r="Q29">
        <f>L29+IF(M29&gt;1,N(N29)*(M29-1),0)</f>
        <v/>
      </c>
      <c r="R29">
        <f>IFERROR(K29*MAX(M29,1)/Q29*P29,0)</f>
        <v/>
      </c>
      <c r="AA29" s="6" t="inlineStr">
        <is>
          <t>^aadeploytargeting</t>
        </is>
      </c>
    </row>
    <row r="30">
      <c r="B30" s="6" t="inlineStr">
        <is>
          <t xml:space="preserve">  ↳ SteelInfRailgun</t>
        </is>
      </c>
      <c r="C30" s="6" t="inlineStr">
        <is>
          <t>Armament@DEPLOYED</t>
        </is>
      </c>
      <c r="K30" s="5" t="n">
        <v>4000</v>
      </c>
      <c r="L30" s="5" t="n">
        <v>48</v>
      </c>
      <c r="M30" s="5" t="n">
        <v>2</v>
      </c>
      <c r="N30" s="5" t="n">
        <v>0</v>
      </c>
      <c r="O30" s="5" t="n">
        <v>8000</v>
      </c>
      <c r="P30" s="5" t="n">
        <v>1</v>
      </c>
      <c r="Q30">
        <f>L30+IF(M30&gt;1,N(N30)*(M30-1),0)</f>
        <v/>
      </c>
      <c r="R30">
        <f>IFERROR(K30*MAX(M30,1)/Q30*P30,0)</f>
        <v/>
      </c>
      <c r="AA30" s="6" t="inlineStr">
        <is>
          <t>^RA2RailgunWeapon, ^RA2FlakWeapon, ^SteelChaingun, ^SteelLightMissile</t>
        </is>
      </c>
    </row>
    <row r="31">
      <c r="B31" s="6" t="inlineStr">
        <is>
          <t xml:space="preserve">  ↳ SteelInfRailgunE</t>
        </is>
      </c>
      <c r="C31" s="6" t="inlineStr">
        <is>
          <t>Armament@DEPLOYEDELITE</t>
        </is>
      </c>
      <c r="K31" s="5" t="n">
        <v>4000</v>
      </c>
      <c r="L31" s="5" t="n">
        <v>48</v>
      </c>
      <c r="M31" s="5" t="n">
        <v>4</v>
      </c>
      <c r="N31" s="5" t="n">
        <v>0</v>
      </c>
      <c r="O31" s="5" t="n">
        <v>9000</v>
      </c>
      <c r="P31" s="5" t="n">
        <v>1</v>
      </c>
      <c r="Q31">
        <f>L31+IF(M31&gt;1,N(N31)*(M31-1),0)</f>
        <v/>
      </c>
      <c r="R31">
        <f>IFERROR(K31*MAX(M31,1)/Q31*P31,0)</f>
        <v/>
      </c>
      <c r="AA31" s="6" t="inlineStr">
        <is>
          <t>^RA2RailgunWeapon, ^RA2FlakWeapon, ^SteelChaingun, ^SteelLightMissile</t>
        </is>
      </c>
    </row>
    <row r="32">
      <c r="B32" s="6" t="inlineStr">
        <is>
          <t xml:space="preserve">  ↳ SteelInfRailgunEMP</t>
        </is>
      </c>
      <c r="C32" s="6" t="inlineStr">
        <is>
          <t>Armament@UpgradeDEPLOYED</t>
        </is>
      </c>
      <c r="K32" s="5" t="n">
        <v>2000</v>
      </c>
      <c r="L32" s="5" t="n">
        <v>50</v>
      </c>
      <c r="M32" s="5" t="n">
        <v>2</v>
      </c>
      <c r="N32" s="5" t="n">
        <v>0</v>
      </c>
      <c r="O32" s="5" t="n">
        <v>8000</v>
      </c>
      <c r="P32" s="5" t="n">
        <v>1</v>
      </c>
      <c r="Q32">
        <f>L32+IF(M32&gt;1,N(N32)*(M32-1),0)</f>
        <v/>
      </c>
      <c r="R32">
        <f>IFERROR(K32*MAX(M32,1)/Q32*P32,0)</f>
        <v/>
      </c>
      <c r="AA32" s="6" t="inlineStr">
        <is>
          <t>^Grenade, ^MediumFlameWeapon, ^MediumChemicalWeapon, ^ShrapnelWeapon, ^MediumCannon, ^TeslaWeapon, ^RA2RailgunWeapon, ^RA2FlakWeapon, ^SteelChaingun, ^SteelLightMissile</t>
        </is>
      </c>
    </row>
    <row r="33">
      <c r="B33" s="6" t="inlineStr">
        <is>
          <t xml:space="preserve">  ↳ SteelInfRailgunEMPE</t>
        </is>
      </c>
      <c r="C33" s="6" t="inlineStr">
        <is>
          <t>Armament@UpgradeDEPLOYEDELITE</t>
        </is>
      </c>
      <c r="K33" s="5" t="n">
        <v>2000</v>
      </c>
      <c r="L33" s="5" t="n">
        <v>50</v>
      </c>
      <c r="M33" s="5" t="n">
        <v>4</v>
      </c>
      <c r="N33" s="5" t="n">
        <v>0</v>
      </c>
      <c r="O33" s="5" t="n">
        <v>9000</v>
      </c>
      <c r="P33" s="5" t="n">
        <v>1</v>
      </c>
      <c r="Q33">
        <f>L33+IF(M33&gt;1,N(N33)*(M33-1),0)</f>
        <v/>
      </c>
      <c r="R33">
        <f>IFERROR(K33*MAX(M33,1)/Q33*P33,0)</f>
        <v/>
      </c>
      <c r="AA33" s="6" t="inlineStr">
        <is>
          <t>^Grenade, ^MediumFlameWeapon, ^MediumChemicalWeapon, ^ShrapnelWeapon, ^MediumCannon, ^TeslaWeapon, ^RA2RailgunWeapon, ^RA2FlakWeapon, ^SteelChaingun, ^SteelLightMissile</t>
        </is>
      </c>
    </row>
    <row r="34">
      <c r="B34" s="6" t="inlineStr">
        <is>
          <t xml:space="preserve">  ↳ SteelInfRailgun</t>
        </is>
      </c>
      <c r="C34" s="6" t="inlineStr">
        <is>
          <t>Armament@GARRISONED</t>
        </is>
      </c>
      <c r="K34" s="5" t="n">
        <v>4000</v>
      </c>
      <c r="L34" s="5" t="n">
        <v>48</v>
      </c>
      <c r="M34" s="5" t="n">
        <v>2</v>
      </c>
      <c r="N34" s="5" t="n">
        <v>0</v>
      </c>
      <c r="O34" s="5" t="n">
        <v>8000</v>
      </c>
      <c r="P34" s="5" t="n">
        <v>1</v>
      </c>
      <c r="Q34">
        <f>L34+IF(M34&gt;1,N(N34)*(M34-1),0)</f>
        <v/>
      </c>
      <c r="R34">
        <f>IFERROR(K34*MAX(M34,1)/Q34*P34,0)</f>
        <v/>
      </c>
      <c r="AA34" s="6" t="inlineStr">
        <is>
          <t>^RA2RailgunWeapon, ^RA2FlakWeapon, ^SteelChaingun, ^SteelLightMissile</t>
        </is>
      </c>
    </row>
    <row r="35">
      <c r="B35" s="6" t="inlineStr">
        <is>
          <t xml:space="preserve">  ↳ SteelInfRailgunE</t>
        </is>
      </c>
      <c r="C35" s="6" t="inlineStr">
        <is>
          <t>Armament@GARRISONEDELITE</t>
        </is>
      </c>
      <c r="K35" s="5" t="n">
        <v>4000</v>
      </c>
      <c r="L35" s="5" t="n">
        <v>48</v>
      </c>
      <c r="M35" s="5" t="n">
        <v>4</v>
      </c>
      <c r="N35" s="5" t="n">
        <v>0</v>
      </c>
      <c r="O35" s="5" t="n">
        <v>9000</v>
      </c>
      <c r="P35" s="5" t="n">
        <v>1</v>
      </c>
      <c r="Q35">
        <f>L35+IF(M35&gt;1,N(N35)*(M35-1),0)</f>
        <v/>
      </c>
      <c r="R35">
        <f>IFERROR(K35*MAX(M35,1)/Q35*P35,0)</f>
        <v/>
      </c>
      <c r="AA35" s="6" t="inlineStr">
        <is>
          <t>^RA2RailgunWeapon, ^RA2FlakWeapon, ^SteelChaingun, ^SteelLightMissile</t>
        </is>
      </c>
    </row>
    <row r="36">
      <c r="B36" s="6" t="inlineStr">
        <is>
          <t xml:space="preserve">  ↳ SteelInfRailgunEMP</t>
        </is>
      </c>
      <c r="C36" s="6" t="inlineStr">
        <is>
          <t>Armament@UpgradeGARRISONED</t>
        </is>
      </c>
      <c r="K36" s="5" t="n">
        <v>2000</v>
      </c>
      <c r="L36" s="5" t="n">
        <v>50</v>
      </c>
      <c r="M36" s="5" t="n">
        <v>2</v>
      </c>
      <c r="N36" s="5" t="n">
        <v>0</v>
      </c>
      <c r="O36" s="5" t="n">
        <v>8000</v>
      </c>
      <c r="P36" s="5" t="n">
        <v>1</v>
      </c>
      <c r="Q36">
        <f>L36+IF(M36&gt;1,N(N36)*(M36-1),0)</f>
        <v/>
      </c>
      <c r="R36">
        <f>IFERROR(K36*MAX(M36,1)/Q36*P36,0)</f>
        <v/>
      </c>
      <c r="AA36" s="6" t="inlineStr">
        <is>
          <t>^Grenade, ^MediumFlameWeapon, ^MediumChemicalWeapon, ^ShrapnelWeapon, ^MediumCannon, ^TeslaWeapon, ^RA2RailgunWeapon, ^RA2FlakWeapon, ^SteelChaingun, ^SteelLightMissile</t>
        </is>
      </c>
    </row>
    <row r="37">
      <c r="B37" s="6" t="inlineStr">
        <is>
          <t xml:space="preserve">  ↳ SteelInfRailgunEMPE</t>
        </is>
      </c>
      <c r="C37" s="6" t="inlineStr">
        <is>
          <t>Armament@UpgradeGARRISONEDELITE</t>
        </is>
      </c>
      <c r="K37" s="5" t="n">
        <v>2000</v>
      </c>
      <c r="L37" s="5" t="n">
        <v>50</v>
      </c>
      <c r="M37" s="5" t="n">
        <v>4</v>
      </c>
      <c r="N37" s="5" t="n">
        <v>0</v>
      </c>
      <c r="O37" s="5" t="n">
        <v>9000</v>
      </c>
      <c r="P37" s="5" t="n">
        <v>1</v>
      </c>
      <c r="Q37">
        <f>L37+IF(M37&gt;1,N(N37)*(M37-1),0)</f>
        <v/>
      </c>
      <c r="R37">
        <f>IFERROR(K37*MAX(M37,1)/Q37*P37,0)</f>
        <v/>
      </c>
      <c r="AA37" s="6" t="inlineStr">
        <is>
          <t>^Grenade, ^MediumFlameWeapon, ^MediumChemicalWeapon, ^ShrapnelWeapon, ^MediumCannon, ^TeslaWeapon, ^RA2RailgunWeapon, ^RA2FlakWeapon, ^SteelChaingun, ^SteelLightMissile</t>
        </is>
      </c>
    </row>
    <row r="38">
      <c r="A38" t="inlineStr">
        <is>
          <t>redalert2mod</t>
        </is>
      </c>
      <c r="B38" t="inlineStr">
        <is>
          <t>steelconsortium_steelrunner</t>
        </is>
      </c>
      <c r="C38" t="inlineStr">
        <is>
          <t>Steel Runner</t>
        </is>
      </c>
      <c r="D38" t="inlineStr"/>
      <c r="E38" s="5" t="n">
        <v>60000</v>
      </c>
      <c r="F38" s="5" t="n">
        <v>90</v>
      </c>
      <c r="G38" t="inlineStr">
        <is>
          <t>Heroic</t>
        </is>
      </c>
      <c r="H38" s="5" t="n">
        <v>0.75</v>
      </c>
      <c r="I38" s="5" t="n">
        <v>1</v>
      </c>
      <c r="J38" s="5" t="n">
        <v>1.25</v>
      </c>
      <c r="O38">
        <f>MAX(O39,O40,O43,O44)</f>
        <v/>
      </c>
      <c r="R38">
        <f>R39+R40+R43+R44</f>
        <v/>
      </c>
      <c r="S38">
        <f>(E38/100000+F38/100+(O38/1000)*J38/5+R38/200)*200*I38*H38</f>
        <v/>
      </c>
      <c r="T38">
        <f>((E38*F38/25000)+((O38/1000)*J38*R38/2.5))*I38*H38</f>
        <v/>
      </c>
      <c r="U38">
        <f>(E38*F38*(O38/1000)*J38*R38*I38*H38)/12500000</f>
        <v/>
      </c>
      <c r="V38">
        <f>(S38+T38+U38)/3</f>
        <v/>
      </c>
      <c r="W38" s="5" t="n">
        <v>3000</v>
      </c>
      <c r="X38">
        <f>IFERROR(V38-W38,"")</f>
        <v/>
      </c>
      <c r="Y38">
        <f>IFERROR(ABS(X38)/MAX(W38,1),"")</f>
        <v/>
      </c>
      <c r="Z38">
        <f>IFERROR((W38-(((E38/100000+F38/100+R38/200)*200*I38*H38)+((E38*F38/25000)*I38*H38))/3)/(((J38/5)*200*I38*H38)+((J38*R38/2.5)*I38*H38)+((E38*F38*J38*R38*I38*H38)/12500000))/3*1000,"")</f>
        <v/>
      </c>
    </row>
    <row r="39">
      <c r="B39" s="6" t="inlineStr">
        <is>
          <t xml:space="preserve">  ↳ SteelRunnerPistols</t>
        </is>
      </c>
      <c r="C39" s="6" t="inlineStr">
        <is>
          <t>Armament@PRIMARY</t>
        </is>
      </c>
      <c r="K39" s="5" t="n">
        <v>4000</v>
      </c>
      <c r="L39" s="5" t="n">
        <v>8</v>
      </c>
      <c r="M39" s="5" t="n">
        <v>2</v>
      </c>
      <c r="N39" s="5" t="n">
        <v>4</v>
      </c>
      <c r="O39" s="5" t="n">
        <v>6200</v>
      </c>
      <c r="P39" s="5" t="n">
        <v>1</v>
      </c>
      <c r="Q39">
        <f>L39+IF(M39&gt;1,N(N39)*(M39-1),0)</f>
        <v/>
      </c>
      <c r="R39">
        <f>IFERROR(K39*MAX(M39,1)/Q39*P39,0)</f>
        <v/>
      </c>
      <c r="AA39" s="6" t="inlineStr">
        <is>
          <t>^TeslaWeapon, ^LaserWeapon, ^RailgunWeapon</t>
        </is>
      </c>
    </row>
    <row r="40">
      <c r="B40" s="6" t="inlineStr">
        <is>
          <t xml:space="preserve">  ↳ SteelRunnerPistolsE</t>
        </is>
      </c>
      <c r="C40" s="6" t="inlineStr">
        <is>
          <t>Armament@ELITE</t>
        </is>
      </c>
      <c r="K40" s="5" t="n">
        <v>4000</v>
      </c>
      <c r="L40" s="5" t="n">
        <v>8</v>
      </c>
      <c r="M40" s="5" t="n">
        <v>4</v>
      </c>
      <c r="N40" s="5" t="n">
        <v>4</v>
      </c>
      <c r="O40" s="5" t="n">
        <v>7200</v>
      </c>
      <c r="P40" s="5" t="n">
        <v>1</v>
      </c>
      <c r="Q40">
        <f>L40+IF(M40&gt;1,N(N40)*(M40-1),0)</f>
        <v/>
      </c>
      <c r="R40">
        <f>IFERROR(K40*MAX(M40,1)/Q40*P40,0)</f>
        <v/>
      </c>
      <c r="AA40" s="6" t="inlineStr">
        <is>
          <t>^TeslaWeapon, ^LaserWeapon, ^RailgunWeapon</t>
        </is>
      </c>
    </row>
    <row r="41">
      <c r="B41" s="6" t="inlineStr">
        <is>
          <t xml:space="preserve">  ↳ SteelRunnerPistols</t>
        </is>
      </c>
      <c r="C41" s="6" t="inlineStr">
        <is>
          <t>Armament@GARRISONED</t>
        </is>
      </c>
      <c r="K41" s="5" t="n">
        <v>4000</v>
      </c>
      <c r="L41" s="5" t="n">
        <v>8</v>
      </c>
      <c r="M41" s="5" t="n">
        <v>2</v>
      </c>
      <c r="N41" s="5" t="n">
        <v>4</v>
      </c>
      <c r="O41" s="5" t="n">
        <v>6200</v>
      </c>
      <c r="P41" s="5" t="n">
        <v>1</v>
      </c>
      <c r="Q41">
        <f>L41+IF(M41&gt;1,N(N41)*(M41-1),0)</f>
        <v/>
      </c>
      <c r="R41">
        <f>IFERROR(K41*MAX(M41,1)/Q41*P41,0)</f>
        <v/>
      </c>
      <c r="AA41" s="6" t="inlineStr">
        <is>
          <t>^TeslaWeapon, ^LaserWeapon, ^RailgunWeapon</t>
        </is>
      </c>
    </row>
    <row r="42">
      <c r="B42" s="6" t="inlineStr">
        <is>
          <t xml:space="preserve">  ↳ SteelRunnerPistolsE</t>
        </is>
      </c>
      <c r="C42" s="6" t="inlineStr">
        <is>
          <t>Armament@GARRISONEDELITE</t>
        </is>
      </c>
      <c r="K42" s="5" t="n">
        <v>4000</v>
      </c>
      <c r="L42" s="5" t="n">
        <v>8</v>
      </c>
      <c r="M42" s="5" t="n">
        <v>4</v>
      </c>
      <c r="N42" s="5" t="n">
        <v>4</v>
      </c>
      <c r="O42" s="5" t="n">
        <v>7200</v>
      </c>
      <c r="P42" s="5" t="n">
        <v>1</v>
      </c>
      <c r="Q42">
        <f>L42+IF(M42&gt;1,N(N42)*(M42-1),0)</f>
        <v/>
      </c>
      <c r="R42">
        <f>IFERROR(K42*MAX(M42,1)/Q42*P42,0)</f>
        <v/>
      </c>
      <c r="AA42" s="6" t="inlineStr">
        <is>
          <t>^TeslaWeapon, ^LaserWeapon, ^RailgunWeapon</t>
        </is>
      </c>
    </row>
    <row r="43">
      <c r="B43" s="6" t="inlineStr">
        <is>
          <t xml:space="preserve">  ↳ SteelRunnerPistolsResonance</t>
        </is>
      </c>
      <c r="C43" s="6" t="inlineStr">
        <is>
          <t>Armament@UpgradePRIMARY</t>
        </is>
      </c>
      <c r="K43" s="5" t="n">
        <v>4000</v>
      </c>
      <c r="L43" s="5" t="n">
        <v>8</v>
      </c>
      <c r="M43" s="5" t="n">
        <v>2</v>
      </c>
      <c r="N43" s="5" t="n">
        <v>4</v>
      </c>
      <c r="O43" s="5" t="n">
        <v>6200</v>
      </c>
      <c r="P43" s="5" t="n">
        <v>1</v>
      </c>
      <c r="Q43">
        <f>L43+IF(M43&gt;1,N(N43)*(M43-1),0)</f>
        <v/>
      </c>
      <c r="R43">
        <f>IFERROR(K43*MAX(M43,1)/Q43*P43,0)</f>
        <v/>
      </c>
      <c r="AA43" s="6" t="inlineStr">
        <is>
          <t>^TeslaWeapon, ^LaserWeapon, ^RailgunWeapon</t>
        </is>
      </c>
    </row>
    <row r="44">
      <c r="B44" s="6" t="inlineStr">
        <is>
          <t xml:space="preserve">  ↳ SteelRunnerPistolsEResonance</t>
        </is>
      </c>
      <c r="C44" s="6" t="inlineStr">
        <is>
          <t>Armament@UpgradeELITE</t>
        </is>
      </c>
      <c r="K44" s="5" t="n">
        <v>4000</v>
      </c>
      <c r="L44" s="5" t="n">
        <v>8</v>
      </c>
      <c r="M44" s="5" t="n">
        <v>4</v>
      </c>
      <c r="N44" s="5" t="n">
        <v>4</v>
      </c>
      <c r="O44" s="5" t="n">
        <v>7200</v>
      </c>
      <c r="P44" s="5" t="n">
        <v>1</v>
      </c>
      <c r="Q44">
        <f>L44+IF(M44&gt;1,N(N44)*(M44-1),0)</f>
        <v/>
      </c>
      <c r="R44">
        <f>IFERROR(K44*MAX(M44,1)/Q44*P44,0)</f>
        <v/>
      </c>
      <c r="AA44" s="6" t="inlineStr">
        <is>
          <t>^TeslaWeapon, ^LaserWeapon, ^RailgunWeapon</t>
        </is>
      </c>
    </row>
    <row r="45">
      <c r="B45" s="6" t="inlineStr">
        <is>
          <t xml:space="preserve">  ↳ SteelRunnerPistolsResonance</t>
        </is>
      </c>
      <c r="C45" s="6" t="inlineStr">
        <is>
          <t>Armament@UpgradeGARRISONED</t>
        </is>
      </c>
      <c r="K45" s="5" t="n">
        <v>4000</v>
      </c>
      <c r="L45" s="5" t="n">
        <v>8</v>
      </c>
      <c r="M45" s="5" t="n">
        <v>2</v>
      </c>
      <c r="N45" s="5" t="n">
        <v>4</v>
      </c>
      <c r="O45" s="5" t="n">
        <v>6200</v>
      </c>
      <c r="P45" s="5" t="n">
        <v>1</v>
      </c>
      <c r="Q45">
        <f>L45+IF(M45&gt;1,N(N45)*(M45-1),0)</f>
        <v/>
      </c>
      <c r="R45">
        <f>IFERROR(K45*MAX(M45,1)/Q45*P45,0)</f>
        <v/>
      </c>
      <c r="AA45" s="6" t="inlineStr">
        <is>
          <t>^TeslaWeapon, ^LaserWeapon, ^RailgunWeapon</t>
        </is>
      </c>
    </row>
    <row r="46">
      <c r="B46" s="6" t="inlineStr">
        <is>
          <t xml:space="preserve">  ↳ SteelRunnerPistolsEResonance</t>
        </is>
      </c>
      <c r="C46" s="6" t="inlineStr">
        <is>
          <t>Armament@UpgradeGARRISONEDELITE</t>
        </is>
      </c>
      <c r="K46" s="5" t="n">
        <v>4000</v>
      </c>
      <c r="L46" s="5" t="n">
        <v>8</v>
      </c>
      <c r="M46" s="5" t="n">
        <v>4</v>
      </c>
      <c r="N46" s="5" t="n">
        <v>4</v>
      </c>
      <c r="O46" s="5" t="n">
        <v>7200</v>
      </c>
      <c r="P46" s="5" t="n">
        <v>1</v>
      </c>
      <c r="Q46">
        <f>L46+IF(M46&gt;1,N(N46)*(M46-1),0)</f>
        <v/>
      </c>
      <c r="R46">
        <f>IFERROR(K46*MAX(M46,1)/Q46*P46,0)</f>
        <v/>
      </c>
      <c r="AA46" s="6" t="inlineStr">
        <is>
          <t>^TeslaWeapon, ^LaserWeapon, ^RailgunWeapon</t>
        </is>
      </c>
    </row>
    <row r="47">
      <c r="A47" s="3" t="inlineStr">
        <is>
          <t>VEHICLES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>
      <c r="A48" t="inlineStr">
        <is>
          <t>redalert2mod</t>
        </is>
      </c>
      <c r="B48" t="inlineStr">
        <is>
          <t>cobra.steel</t>
        </is>
      </c>
      <c r="C48" t="inlineStr">
        <is>
          <t>Federation Cobra</t>
        </is>
      </c>
      <c r="D48" t="inlineStr"/>
      <c r="E48" s="5" t="n">
        <v>325000</v>
      </c>
      <c r="F48" s="5" t="n">
        <v>55</v>
      </c>
      <c r="G48" t="inlineStr">
        <is>
          <t>Superheavy</t>
        </is>
      </c>
      <c r="H48" s="5" t="n">
        <v>0.75</v>
      </c>
      <c r="I48" s="5" t="n">
        <v>1</v>
      </c>
      <c r="J48" s="5" t="n">
        <v>1</v>
      </c>
      <c r="O48">
        <f>MAX(O49,O50)</f>
        <v/>
      </c>
      <c r="R48">
        <f>R49+R50</f>
        <v/>
      </c>
      <c r="S48">
        <f>(E48/100000+F48/100+(O48/1000)*J48/5+R48/200)*200*I48*H48</f>
        <v/>
      </c>
      <c r="T48">
        <f>((E48*F48/25000)+((O48/1000)*J48*R48/2.5))*I48*H48</f>
        <v/>
      </c>
      <c r="U48">
        <f>(E48*F48*(O48/1000)*J48*R48*I48*H48)/12500000</f>
        <v/>
      </c>
      <c r="V48">
        <f>(S48+T48+U48)/3</f>
        <v/>
      </c>
      <c r="W48" s="5" t="n">
        <v>3600</v>
      </c>
      <c r="X48">
        <f>IFERROR(V48-W48,"")</f>
        <v/>
      </c>
      <c r="Y48">
        <f>IFERROR(ABS(X48)/MAX(W48,1),"")</f>
        <v/>
      </c>
      <c r="Z48">
        <f>IFERROR((W48-(((E48/100000+F48/100+R48/200)*200*I48*H48)+((E48*F48/25000)*I48*H48))/3)/(((J48/5)*200*I48*H48)+((J48*R48/2.5)*I48*H48)+((E48*F48*J48*R48*I48*H48)/12500000))/3*1000,"")</f>
        <v/>
      </c>
    </row>
    <row r="49">
      <c r="B49" s="6" t="inlineStr">
        <is>
          <t xml:space="preserve">  ↳ SteelQuantumTurretRailEMP</t>
        </is>
      </c>
      <c r="C49" s="6" t="inlineStr">
        <is>
          <t>Armament@AG1</t>
        </is>
      </c>
      <c r="K49" s="5" t="n">
        <v>2000</v>
      </c>
      <c r="L49" s="5" t="n">
        <v>38</v>
      </c>
      <c r="M49" s="5" t="n">
        <v>1</v>
      </c>
      <c r="N49" s="5" t="n"/>
      <c r="O49" s="5" t="n">
        <v>8888</v>
      </c>
      <c r="P49" s="5" t="n">
        <v>1</v>
      </c>
      <c r="Q49">
        <f>L49+IF(M49&gt;1,N(N49)*(M49-1),0)</f>
        <v/>
      </c>
      <c r="R49">
        <f>IFERROR(K49*MAX(M49,1)/Q49*P49,0)</f>
        <v/>
      </c>
      <c r="AA49" s="6" t="inlineStr">
        <is>
          <t>^TeslaWeapon, ^HeavyChemicalWeapon, ^HeavyFlameWeapon, ^LaserWeapon, ^RailgunWeapon, ^SteelHeavyCannon</t>
        </is>
      </c>
    </row>
    <row r="50">
      <c r="B50" s="6" t="inlineStr">
        <is>
          <t xml:space="preserve">  ↳ SteelQuantumTurretRailEMP</t>
        </is>
      </c>
      <c r="C50" s="6" t="inlineStr">
        <is>
          <t>Armament@AG2</t>
        </is>
      </c>
      <c r="K50" s="5" t="n">
        <v>2000</v>
      </c>
      <c r="L50" s="5" t="n">
        <v>38</v>
      </c>
      <c r="M50" s="5" t="n">
        <v>1</v>
      </c>
      <c r="N50" s="5" t="n"/>
      <c r="O50" s="5" t="n">
        <v>8888</v>
      </c>
      <c r="P50" s="5" t="n">
        <v>1</v>
      </c>
      <c r="Q50">
        <f>L50+IF(M50&gt;1,N(N50)*(M50-1),0)</f>
        <v/>
      </c>
      <c r="R50">
        <f>IFERROR(K50*MAX(M50,1)/Q50*P50,0)</f>
        <v/>
      </c>
      <c r="AA50" s="6" t="inlineStr">
        <is>
          <t>^TeslaWeapon, ^HeavyChemicalWeapon, ^HeavyFlameWeapon, ^LaserWeapon, ^RailgunWeapon, ^SteelHeavyCannon</t>
        </is>
      </c>
    </row>
    <row r="51">
      <c r="A51" t="inlineStr">
        <is>
          <t>redalert2mod</t>
        </is>
      </c>
      <c r="B51" t="inlineStr">
        <is>
          <t>cougar.steel</t>
        </is>
      </c>
      <c r="C51" t="inlineStr">
        <is>
          <t>Federation Cougar</t>
        </is>
      </c>
      <c r="D51" t="inlineStr"/>
      <c r="E51" s="5" t="n">
        <v>25000</v>
      </c>
      <c r="F51" s="5" t="n">
        <v>150</v>
      </c>
      <c r="G51" t="inlineStr">
        <is>
          <t>Light</t>
        </is>
      </c>
      <c r="H51" s="5" t="n">
        <v>1</v>
      </c>
      <c r="I51" s="5" t="n">
        <v>1</v>
      </c>
      <c r="J51" s="5" t="n">
        <v>1</v>
      </c>
      <c r="O51">
        <f>MAX(O52)</f>
        <v/>
      </c>
      <c r="R51">
        <f>R52</f>
        <v/>
      </c>
      <c r="S51">
        <f>(E51/100000+F51/100+(O51/1000)*J51/5+R51/200)*200*I51*H51</f>
        <v/>
      </c>
      <c r="T51">
        <f>((E51*F51/25000)+((O51/1000)*J51*R51/2.5))*I51*H51</f>
        <v/>
      </c>
      <c r="U51">
        <f>(E51*F51*(O51/1000)*J51*R51*I51*H51)/12500000</f>
        <v/>
      </c>
      <c r="V51">
        <f>(S51+T51+U51)/3</f>
        <v/>
      </c>
      <c r="W51" s="5" t="n">
        <v>1200</v>
      </c>
      <c r="X51">
        <f>IFERROR(V51-W51,"")</f>
        <v/>
      </c>
      <c r="Y51">
        <f>IFERROR(ABS(X51)/MAX(W51,1),"")</f>
        <v/>
      </c>
      <c r="Z51">
        <f>IFERROR((W51-(((E51/100000+F51/100+R51/200)*200*I51*H51)+((E51*F51/25000)*I51*H51))/3)/(((J51/5)*200*I51*H51)+((J51*R51/2.5)*I51*H51)+((E51*F51*J51*R51*I51*H51)/12500000))/3*1000,"")</f>
        <v/>
      </c>
    </row>
    <row r="52">
      <c r="B52" s="6" t="inlineStr">
        <is>
          <t xml:space="preserve">  ↳ SteelVulcan</t>
        </is>
      </c>
      <c r="C52" s="6" t="inlineStr">
        <is>
          <t>Armament</t>
        </is>
      </c>
      <c r="K52" s="5" t="n">
        <v>2000</v>
      </c>
      <c r="L52" s="5" t="n">
        <v>10</v>
      </c>
      <c r="M52" s="5" t="n">
        <v>1</v>
      </c>
      <c r="N52" s="5" t="n"/>
      <c r="O52" s="5" t="n">
        <v>6666</v>
      </c>
      <c r="P52" s="5" t="n">
        <v>1</v>
      </c>
      <c r="Q52">
        <f>L52+IF(M52&gt;1,N(N52)*(M52-1),0)</f>
        <v/>
      </c>
      <c r="R52">
        <f>IFERROR(K52*MAX(M52,1)/Q52*P52,0)</f>
        <v/>
      </c>
      <c r="AA52" s="6" t="inlineStr">
        <is>
          <t>^SteelHeavyCannon, ^SteelSmallArms, ^SteelChaingun</t>
        </is>
      </c>
    </row>
    <row r="53">
      <c r="A53" t="inlineStr">
        <is>
          <t>redalert2mod</t>
        </is>
      </c>
      <c r="B53" t="inlineStr">
        <is>
          <t>hummer.steel</t>
        </is>
      </c>
      <c r="C53" t="inlineStr">
        <is>
          <t>Federation Hummer</t>
        </is>
      </c>
      <c r="D53" t="inlineStr"/>
      <c r="E53" s="5" t="n">
        <v>45000</v>
      </c>
      <c r="F53" s="5" t="n">
        <v>110</v>
      </c>
      <c r="G53" t="inlineStr">
        <is>
          <t>Medium</t>
        </is>
      </c>
      <c r="H53" s="5" t="n">
        <v>1</v>
      </c>
      <c r="I53" s="5" t="n">
        <v>1</v>
      </c>
      <c r="J53" s="5" t="n">
        <v>1</v>
      </c>
      <c r="O53">
        <f>MAX(O54)</f>
        <v/>
      </c>
      <c r="R53">
        <f>R54</f>
        <v/>
      </c>
      <c r="S53">
        <f>(E53/100000+F53/100+(O53/1000)*J53/5+R53/200)*200*I53*H53</f>
        <v/>
      </c>
      <c r="T53">
        <f>((E53*F53/25000)+((O53/1000)*J53*R53/2.5))*I53*H53</f>
        <v/>
      </c>
      <c r="U53">
        <f>(E53*F53*(O53/1000)*J53*R53*I53*H53)/12500000</f>
        <v/>
      </c>
      <c r="V53">
        <f>(S53+T53+U53)/3</f>
        <v/>
      </c>
      <c r="W53" s="5" t="n">
        <v>2000</v>
      </c>
      <c r="X53">
        <f>IFERROR(V53-W53,"")</f>
        <v/>
      </c>
      <c r="Y53">
        <f>IFERROR(ABS(X53)/MAX(W53,1),"")</f>
        <v/>
      </c>
      <c r="Z53">
        <f>IFERROR((W53-(((E53/100000+F53/100+R53/200)*200*I53*H53)+((E53*F53/25000)*I53*H53))/3)/(((J53/5)*200*I53*H53)+((J53*R53/2.5)*I53*H53)+((E53*F53*J53*R53*I53*H53)/12500000))/3*1000,"")</f>
        <v/>
      </c>
    </row>
    <row r="54">
      <c r="B54" s="6" t="inlineStr">
        <is>
          <t xml:space="preserve">  ↳ SteelHoverMissile</t>
        </is>
      </c>
      <c r="C54" s="6" t="inlineStr">
        <is>
          <t>Armament@AG</t>
        </is>
      </c>
      <c r="K54" s="5" t="n">
        <v>4000</v>
      </c>
      <c r="L54" s="5" t="n">
        <v>25</v>
      </c>
      <c r="M54" s="5" t="n">
        <v>4</v>
      </c>
      <c r="N54" s="5" t="n">
        <v>4</v>
      </c>
      <c r="O54" s="5" t="n">
        <v>6666</v>
      </c>
      <c r="P54" s="5" t="n">
        <v>1</v>
      </c>
      <c r="Q54">
        <f>L54+IF(M54&gt;1,N(N54)*(M54-1),0)</f>
        <v/>
      </c>
      <c r="R54">
        <f>IFERROR(K54*MAX(M54,1)/Q54*P54,0)</f>
        <v/>
      </c>
      <c r="AA54" s="6" t="inlineStr">
        <is>
          <t>^ArrowWeapon, ^SteelLightMissile</t>
        </is>
      </c>
    </row>
    <row r="55">
      <c r="A55" t="inlineStr">
        <is>
          <t>redalert2mod</t>
        </is>
      </c>
      <c r="B55" t="inlineStr">
        <is>
          <t>oldqtnk.steel</t>
        </is>
      </c>
      <c r="C55" t="inlineStr">
        <is>
          <t>Beta Quantum Tank</t>
        </is>
      </c>
      <c r="D55" t="inlineStr"/>
      <c r="E55" s="5" t="n">
        <v>112500</v>
      </c>
      <c r="F55" s="5" t="n">
        <v>80</v>
      </c>
      <c r="G55" t="inlineStr">
        <is>
          <t>Heavy</t>
        </is>
      </c>
      <c r="H55" s="5" t="n">
        <v>1</v>
      </c>
      <c r="I55" s="5" t="n">
        <v>1</v>
      </c>
      <c r="J55" s="5" t="n">
        <v>1</v>
      </c>
      <c r="O55">
        <f>MAX(O56)</f>
        <v/>
      </c>
      <c r="R55">
        <f>R56</f>
        <v/>
      </c>
      <c r="S55">
        <f>(E55/100000+F55/100+(O55/1000)*J55/5+R55/200)*200*I55*H55</f>
        <v/>
      </c>
      <c r="T55">
        <f>((E55*F55/25000)+((O55/1000)*J55*R55/2.5))*I55*H55</f>
        <v/>
      </c>
      <c r="U55">
        <f>(E55*F55*(O55/1000)*J55*R55*I55*H55)/12500000</f>
        <v/>
      </c>
      <c r="V55">
        <f>(S55+T55+U55)/3</f>
        <v/>
      </c>
      <c r="W55" s="5" t="n">
        <v>2400</v>
      </c>
      <c r="X55">
        <f>IFERROR(V55-W55,"")</f>
        <v/>
      </c>
      <c r="Y55">
        <f>IFERROR(ABS(X55)/MAX(W55,1),"")</f>
        <v/>
      </c>
      <c r="Z55">
        <f>IFERROR((W55-(((E55/100000+F55/100+R55/200)*200*I55*H55)+((E55*F55/25000)*I55*H55))/3)/(((J55/5)*200*I55*H55)+((J55*R55/2.5)*I55*H55)+((E55*F55*J55*R55*I55*H55)/12500000))/3*1000,"")</f>
        <v/>
      </c>
    </row>
    <row r="56">
      <c r="B56" s="6" t="inlineStr">
        <is>
          <t xml:space="preserve">  ↳ SteelQuantumCannon_elite</t>
        </is>
      </c>
      <c r="C56" s="6" t="inlineStr">
        <is>
          <t>Armament</t>
        </is>
      </c>
      <c r="K56" s="5" t="n">
        <v>12000</v>
      </c>
      <c r="L56" s="5" t="n">
        <v>65</v>
      </c>
      <c r="M56" s="5" t="n">
        <v>1</v>
      </c>
      <c r="N56" s="5" t="n"/>
      <c r="O56" s="5" t="n">
        <v>7000</v>
      </c>
      <c r="P56" s="5" t="n">
        <v>1</v>
      </c>
      <c r="Q56">
        <f>L56+IF(M56&gt;1,N(N56)*(M56-1),0)</f>
        <v/>
      </c>
      <c r="R56">
        <f>IFERROR(K56*MAX(M56,1)/Q56*P56,0)</f>
        <v/>
      </c>
      <c r="AA56" s="6" t="inlineStr">
        <is>
          <t>^TeslaWeapon, ^LaserWeapon, ^RailgunWeapon</t>
        </is>
      </c>
    </row>
    <row r="57">
      <c r="A57" t="inlineStr">
        <is>
          <t>redalert2mod</t>
        </is>
      </c>
      <c r="B57" t="inlineStr">
        <is>
          <t>steelconsortium_barracuda</t>
        </is>
      </c>
      <c r="C57" t="inlineStr">
        <is>
          <t>Barracuda</t>
        </is>
      </c>
      <c r="D57" t="inlineStr"/>
      <c r="E57" s="5" t="n">
        <v>40000</v>
      </c>
      <c r="F57" s="5" t="n">
        <v>80</v>
      </c>
      <c r="G57" t="inlineStr">
        <is>
          <t>Medium</t>
        </is>
      </c>
      <c r="H57" s="5" t="n">
        <v>1</v>
      </c>
      <c r="I57" s="5" t="n">
        <v>1</v>
      </c>
      <c r="J57" s="5" t="n">
        <v>1</v>
      </c>
      <c r="O57">
        <f>MAX(O58,O59,O60,O61,O62,O63,O64,O65)</f>
        <v/>
      </c>
      <c r="R57">
        <f>R58+R59+R60+R61+R62+R63+R64+R65</f>
        <v/>
      </c>
      <c r="S57">
        <f>(E57/100000+F57/100+(O57/1000)*J57/5+R57/200)*200*I57*H57</f>
        <v/>
      </c>
      <c r="T57">
        <f>((E57*F57/25000)+((O57/1000)*J57*R57/2.5))*I57*H57</f>
        <v/>
      </c>
      <c r="U57">
        <f>(E57*F57*(O57/1000)*J57*R57*I57*H57)/12500000</f>
        <v/>
      </c>
      <c r="V57">
        <f>(S57+T57+U57)/3</f>
        <v/>
      </c>
      <c r="W57" s="5" t="n">
        <v>1100</v>
      </c>
      <c r="X57">
        <f>IFERROR(V57-W57,"")</f>
        <v/>
      </c>
      <c r="Y57">
        <f>IFERROR(ABS(X57)/MAX(W57,1),"")</f>
        <v/>
      </c>
      <c r="Z57">
        <f>IFERROR((W57-(((E57/100000+F57/100+R57/200)*200*I57*H57)+((E57*F57/25000)*I57*H57))/3)/(((J57/5)*200*I57*H57)+((J57*R57/2.5)*I57*H57)+((E57*F57*J57*R57*I57*H57)/12500000))/3*1000,"")</f>
        <v/>
      </c>
    </row>
    <row r="58">
      <c r="B58" s="6" t="inlineStr">
        <is>
          <t xml:space="preserve">  ↳ SteelMantaHunterCannons</t>
        </is>
      </c>
      <c r="C58" s="6" t="inlineStr">
        <is>
          <t>Armament@AG1</t>
        </is>
      </c>
      <c r="K58" s="5" t="n">
        <v>2000</v>
      </c>
      <c r="L58" s="5" t="n">
        <v>8</v>
      </c>
      <c r="M58" s="5" t="n">
        <v>1</v>
      </c>
      <c r="N58" s="5" t="n"/>
      <c r="O58" s="5" t="n">
        <v>8000</v>
      </c>
      <c r="P58" s="5" t="n">
        <v>1</v>
      </c>
      <c r="Q58">
        <f>L58+IF(M58&gt;1,N(N58)*(M58-1),0)</f>
        <v/>
      </c>
      <c r="R58">
        <f>IFERROR(K58*MAX(M58,1)/Q58*P58,0)</f>
        <v/>
      </c>
      <c r="AA58" s="6" t="inlineStr">
        <is>
          <t>^RA2FlakWeapon, ^SteelChaingun</t>
        </is>
      </c>
    </row>
    <row r="59">
      <c r="B59" s="6" t="inlineStr">
        <is>
          <t xml:space="preserve">  ↳ SteelMantaHunterCannons</t>
        </is>
      </c>
      <c r="C59" s="6" t="inlineStr">
        <is>
          <t>Armament@AG2</t>
        </is>
      </c>
      <c r="K59" s="5" t="n">
        <v>2000</v>
      </c>
      <c r="L59" s="5" t="n">
        <v>8</v>
      </c>
      <c r="M59" s="5" t="n">
        <v>1</v>
      </c>
      <c r="N59" s="5" t="n"/>
      <c r="O59" s="5" t="n">
        <v>8000</v>
      </c>
      <c r="P59" s="5" t="n">
        <v>1</v>
      </c>
      <c r="Q59">
        <f>L59+IF(M59&gt;1,N(N59)*(M59-1),0)</f>
        <v/>
      </c>
      <c r="R59">
        <f>IFERROR(K59*MAX(M59,1)/Q59*P59,0)</f>
        <v/>
      </c>
      <c r="AA59" s="6" t="inlineStr">
        <is>
          <t>^RA2FlakWeapon, ^SteelChaingun</t>
        </is>
      </c>
    </row>
    <row r="60">
      <c r="B60" s="6" t="inlineStr">
        <is>
          <t xml:space="preserve">  ↳ SteelMantaHunterCannonsAA</t>
        </is>
      </c>
      <c r="C60" s="6" t="inlineStr">
        <is>
          <t>Armament@AA1</t>
        </is>
      </c>
      <c r="K60" s="5" t="n">
        <v>2000</v>
      </c>
      <c r="L60" s="5" t="n">
        <v>12</v>
      </c>
      <c r="M60" s="5" t="n">
        <v>1</v>
      </c>
      <c r="N60" s="5" t="n"/>
      <c r="O60" s="5" t="n">
        <v>12000</v>
      </c>
      <c r="P60" s="5" t="n">
        <v>1</v>
      </c>
      <c r="Q60">
        <f>L60+IF(M60&gt;1,N(N60)*(M60-1),0)</f>
        <v/>
      </c>
      <c r="R60">
        <f>IFERROR(K60*MAX(M60,1)/Q60*P60,0)</f>
        <v/>
      </c>
      <c r="AA60" s="6" t="inlineStr">
        <is>
          <t>^SteelMediumMissile, ^RA2FlakWeapon, ^SteelChaingun</t>
        </is>
      </c>
    </row>
    <row r="61">
      <c r="B61" s="6" t="inlineStr">
        <is>
          <t xml:space="preserve">  ↳ SteelMantaHunterCannonsAA</t>
        </is>
      </c>
      <c r="C61" s="6" t="inlineStr">
        <is>
          <t>Armament@AA2</t>
        </is>
      </c>
      <c r="K61" s="5" t="n">
        <v>2000</v>
      </c>
      <c r="L61" s="5" t="n">
        <v>12</v>
      </c>
      <c r="M61" s="5" t="n">
        <v>1</v>
      </c>
      <c r="N61" s="5" t="n"/>
      <c r="O61" s="5" t="n">
        <v>12000</v>
      </c>
      <c r="P61" s="5" t="n">
        <v>1</v>
      </c>
      <c r="Q61">
        <f>L61+IF(M61&gt;1,N(N61)*(M61-1),0)</f>
        <v/>
      </c>
      <c r="R61">
        <f>IFERROR(K61*MAX(M61,1)/Q61*P61,0)</f>
        <v/>
      </c>
      <c r="AA61" s="6" t="inlineStr">
        <is>
          <t>^SteelMediumMissile, ^RA2FlakWeapon, ^SteelChaingun</t>
        </is>
      </c>
    </row>
    <row r="62">
      <c r="B62" s="6" t="inlineStr">
        <is>
          <t xml:space="preserve">  ↳ SteelMantaHunterCannonsResonance</t>
        </is>
      </c>
      <c r="C62" s="6" t="inlineStr">
        <is>
          <t>Armament@UpgradeAG1</t>
        </is>
      </c>
      <c r="K62" s="5" t="n">
        <v>2000</v>
      </c>
      <c r="L62" s="5" t="n">
        <v>8</v>
      </c>
      <c r="M62" s="5" t="n">
        <v>1</v>
      </c>
      <c r="N62" s="5" t="n"/>
      <c r="O62" s="5" t="n">
        <v>8000</v>
      </c>
      <c r="P62" s="5" t="n">
        <v>1</v>
      </c>
      <c r="Q62">
        <f>L62+IF(M62&gt;1,N(N62)*(M62-1),0)</f>
        <v/>
      </c>
      <c r="R62">
        <f>IFERROR(K62*MAX(M62,1)/Q62*P62,0)</f>
        <v/>
      </c>
      <c r="AA62" s="6" t="inlineStr">
        <is>
          <t>^RA2FlakWeapon, ^SteelChaingun</t>
        </is>
      </c>
    </row>
    <row r="63">
      <c r="B63" s="6" t="inlineStr">
        <is>
          <t xml:space="preserve">  ↳ SteelMantaHunterCannonsResonance</t>
        </is>
      </c>
      <c r="C63" s="6" t="inlineStr">
        <is>
          <t>Armament@UpgradeAG2</t>
        </is>
      </c>
      <c r="K63" s="5" t="n">
        <v>2000</v>
      </c>
      <c r="L63" s="5" t="n">
        <v>8</v>
      </c>
      <c r="M63" s="5" t="n">
        <v>1</v>
      </c>
      <c r="N63" s="5" t="n"/>
      <c r="O63" s="5" t="n">
        <v>8000</v>
      </c>
      <c r="P63" s="5" t="n">
        <v>1</v>
      </c>
      <c r="Q63">
        <f>L63+IF(M63&gt;1,N(N63)*(M63-1),0)</f>
        <v/>
      </c>
      <c r="R63">
        <f>IFERROR(K63*MAX(M63,1)/Q63*P63,0)</f>
        <v/>
      </c>
      <c r="AA63" s="6" t="inlineStr">
        <is>
          <t>^RA2FlakWeapon, ^SteelChaingun</t>
        </is>
      </c>
    </row>
    <row r="64">
      <c r="B64" s="6" t="inlineStr">
        <is>
          <t xml:space="preserve">  ↳ SteelMantaHunterCannonsAAResonance</t>
        </is>
      </c>
      <c r="C64" s="6" t="inlineStr">
        <is>
          <t>Armament@UpgradeAA1</t>
        </is>
      </c>
      <c r="K64" s="5" t="n">
        <v>2000</v>
      </c>
      <c r="L64" s="5" t="n">
        <v>12</v>
      </c>
      <c r="M64" s="5" t="n">
        <v>1</v>
      </c>
      <c r="N64" s="5" t="n"/>
      <c r="O64" s="5" t="n">
        <v>12000</v>
      </c>
      <c r="P64" s="5" t="n">
        <v>1</v>
      </c>
      <c r="Q64">
        <f>L64+IF(M64&gt;1,N(N64)*(M64-1),0)</f>
        <v/>
      </c>
      <c r="R64">
        <f>IFERROR(K64*MAX(M64,1)/Q64*P64,0)</f>
        <v/>
      </c>
      <c r="AA64" s="6" t="inlineStr">
        <is>
          <t>^SteelMediumMissile, ^RA2FlakWeapon, ^SteelChaingun</t>
        </is>
      </c>
    </row>
    <row r="65">
      <c r="B65" s="6" t="inlineStr">
        <is>
          <t xml:space="preserve">  ↳ SteelMantaHunterCannonsAAResonance</t>
        </is>
      </c>
      <c r="C65" s="6" t="inlineStr">
        <is>
          <t>Armament@UpgradeAA2</t>
        </is>
      </c>
      <c r="K65" s="5" t="n">
        <v>2000</v>
      </c>
      <c r="L65" s="5" t="n">
        <v>12</v>
      </c>
      <c r="M65" s="5" t="n">
        <v>1</v>
      </c>
      <c r="N65" s="5" t="n"/>
      <c r="O65" s="5" t="n">
        <v>12000</v>
      </c>
      <c r="P65" s="5" t="n">
        <v>1</v>
      </c>
      <c r="Q65">
        <f>L65+IF(M65&gt;1,N(N65)*(M65-1),0)</f>
        <v/>
      </c>
      <c r="R65">
        <f>IFERROR(K65*MAX(M65,1)/Q65*P65,0)</f>
        <v/>
      </c>
      <c r="AA65" s="6" t="inlineStr">
        <is>
          <t>^SteelMediumMissile, ^RA2FlakWeapon, ^SteelChaingun</t>
        </is>
      </c>
    </row>
    <row r="66">
      <c r="A66" t="inlineStr">
        <is>
          <t>redalert2mod</t>
        </is>
      </c>
      <c r="B66" t="inlineStr">
        <is>
          <t>steelconsortium_consortiumminer</t>
        </is>
      </c>
      <c r="C66" t="inlineStr">
        <is>
          <t>Consortium Miner</t>
        </is>
      </c>
      <c r="D66" t="inlineStr"/>
      <c r="E66" s="5" t="n">
        <v>100000</v>
      </c>
      <c r="F66" s="5" t="n">
        <v>100</v>
      </c>
      <c r="G66" t="inlineStr">
        <is>
          <t>Medium</t>
        </is>
      </c>
      <c r="H66" s="5" t="n">
        <v>1</v>
      </c>
      <c r="I66" s="5" t="n">
        <v>1</v>
      </c>
      <c r="J66" s="5" t="n">
        <v>1</v>
      </c>
      <c r="W66" s="5" t="n">
        <v>1000</v>
      </c>
    </row>
    <row r="67">
      <c r="A67" t="inlineStr">
        <is>
          <t>redalert2mod</t>
        </is>
      </c>
      <c r="B67" t="inlineStr">
        <is>
          <t>steelconsortium_consortiummobileconstructionvehicle</t>
        </is>
      </c>
      <c r="C67" t="inlineStr">
        <is>
          <t>Consortium Mobile Construction Vehicle</t>
        </is>
      </c>
      <c r="D67" t="inlineStr"/>
      <c r="E67" s="5" t="n">
        <v>150000</v>
      </c>
      <c r="F67" s="5" t="n">
        <v>60</v>
      </c>
      <c r="G67" t="inlineStr">
        <is>
          <t>Light</t>
        </is>
      </c>
      <c r="H67" s="5" t="n">
        <v>1</v>
      </c>
      <c r="I67" s="5" t="n">
        <v>1</v>
      </c>
      <c r="J67" s="5" t="n">
        <v>1</v>
      </c>
      <c r="W67" s="5" t="n">
        <v>5000</v>
      </c>
    </row>
    <row r="68">
      <c r="A68" t="inlineStr">
        <is>
          <t>redalert2mod</t>
        </is>
      </c>
      <c r="B68" t="inlineStr">
        <is>
          <t>steelconsortium_dagger</t>
        </is>
      </c>
      <c r="C68" t="inlineStr">
        <is>
          <t>Dagger</t>
        </is>
      </c>
      <c r="D68" t="inlineStr"/>
      <c r="E68" s="5" t="n">
        <v>25000</v>
      </c>
      <c r="F68" s="5" t="n">
        <v>100</v>
      </c>
      <c r="G68" t="inlineStr">
        <is>
          <t>Light</t>
        </is>
      </c>
      <c r="H68" s="5" t="n">
        <v>0.75</v>
      </c>
      <c r="I68" s="5" t="n">
        <v>1</v>
      </c>
      <c r="J68" s="5" t="n">
        <v>1</v>
      </c>
      <c r="O68">
        <f>MAX(O69,O70)</f>
        <v/>
      </c>
      <c r="R68">
        <f>R69+R70</f>
        <v/>
      </c>
      <c r="S68">
        <f>(E68/100000+F68/100+(O68/1000)*J68/5+R68/200)*200*I68*H68</f>
        <v/>
      </c>
      <c r="T68">
        <f>((E68*F68/25000)+((O68/1000)*J68*R68/2.5))*I68*H68</f>
        <v/>
      </c>
      <c r="U68">
        <f>(E68*F68*(O68/1000)*J68*R68*I68*H68)/12500000</f>
        <v/>
      </c>
      <c r="V68">
        <f>(S68+T68+U68)/3</f>
        <v/>
      </c>
      <c r="W68" s="5" t="n">
        <v>1300</v>
      </c>
      <c r="X68">
        <f>IFERROR(V68-W68,"")</f>
        <v/>
      </c>
      <c r="Y68">
        <f>IFERROR(ABS(X68)/MAX(W68,1),"")</f>
        <v/>
      </c>
      <c r="Z68">
        <f>IFERROR((W68-(((E68/100000+F68/100+R68/200)*200*I68*H68)+((E68*F68/25000)*I68*H68))/3)/(((J68/5)*200*I68*H68)+((J68*R68/2.5)*I68*H68)+((E68*F68*J68*R68*I68*H68)/12500000))/3*1000,"")</f>
        <v/>
      </c>
    </row>
    <row r="69">
      <c r="B69" s="6" t="inlineStr">
        <is>
          <t xml:space="preserve">  ↳ SteelDaggerCannon</t>
        </is>
      </c>
      <c r="C69" s="6" t="inlineStr">
        <is>
          <t>Armament@PRIMARY</t>
        </is>
      </c>
      <c r="K69" s="5" t="n">
        <v>2000</v>
      </c>
      <c r="L69" s="5" t="n">
        <v>50</v>
      </c>
      <c r="M69" s="5" t="n">
        <v>4</v>
      </c>
      <c r="N69" s="5" t="n">
        <v>0</v>
      </c>
      <c r="O69" s="5" t="n">
        <v>20000</v>
      </c>
      <c r="P69" s="5" t="n">
        <v>1</v>
      </c>
      <c r="Q69">
        <f>L69+IF(M69&gt;1,N(N69)*(M69-1),0)</f>
        <v/>
      </c>
      <c r="R69">
        <f>IFERROR(K69*MAX(M69,1)/Q69*P69,0)</f>
        <v/>
      </c>
      <c r="AA69" s="6" t="inlineStr">
        <is>
          <t>^MediumFlameWeapon, ^ShrapnelWeapon, ^RA2Grenade, ^SteelHeavyCannon</t>
        </is>
      </c>
    </row>
    <row r="70">
      <c r="B70" s="6" t="inlineStr">
        <is>
          <t xml:space="preserve">  ↳ SteelDaggerCannonE</t>
        </is>
      </c>
      <c r="C70" s="6" t="inlineStr">
        <is>
          <t>Armament@ELITE</t>
        </is>
      </c>
      <c r="K70" s="5" t="n">
        <v>2000</v>
      </c>
      <c r="L70" s="5" t="n">
        <v>50</v>
      </c>
      <c r="M70" s="5" t="n">
        <v>8</v>
      </c>
      <c r="N70" s="5" t="n">
        <v>0</v>
      </c>
      <c r="O70" s="5" t="n">
        <v>25000</v>
      </c>
      <c r="P70" s="5" t="n">
        <v>1</v>
      </c>
      <c r="Q70">
        <f>L70+IF(M70&gt;1,N(N70)*(M70-1),0)</f>
        <v/>
      </c>
      <c r="R70">
        <f>IFERROR(K70*MAX(M70,1)/Q70*P70,0)</f>
        <v/>
      </c>
      <c r="AA70" s="6" t="inlineStr">
        <is>
          <t>^MediumFlameWeapon, ^ShrapnelWeapon, ^RA2Grenade, ^SteelHeavyCannon</t>
        </is>
      </c>
    </row>
    <row r="71">
      <c r="A71" t="inlineStr">
        <is>
          <t>redalert2mod</t>
        </is>
      </c>
      <c r="B71" t="inlineStr">
        <is>
          <t>steelconsortium_defenderbot</t>
        </is>
      </c>
      <c r="C71" t="inlineStr">
        <is>
          <t>Defender Bot</t>
        </is>
      </c>
      <c r="D71" t="inlineStr"/>
      <c r="E71" s="5" t="n">
        <v>210000</v>
      </c>
      <c r="F71" s="5" t="n">
        <v>70</v>
      </c>
      <c r="G71" t="inlineStr">
        <is>
          <t>Medium</t>
        </is>
      </c>
      <c r="H71" s="5" t="n">
        <v>0.75</v>
      </c>
      <c r="I71" s="5" t="n">
        <v>1</v>
      </c>
      <c r="J71" s="5" t="n">
        <v>1.25</v>
      </c>
      <c r="O71">
        <f>MAX(O72,O73,O74,O75)</f>
        <v/>
      </c>
      <c r="R71">
        <f>R72+R73+R74+R75</f>
        <v/>
      </c>
      <c r="S71">
        <f>(E71/100000+F71/100+(O71/1000)*J71/5+R71/200)*200*I71*H71</f>
        <v/>
      </c>
      <c r="T71">
        <f>((E71*F71/25000)+((O71/1000)*J71*R71/2.5))*I71*H71</f>
        <v/>
      </c>
      <c r="U71">
        <f>(E71*F71*(O71/1000)*J71*R71*I71*H71)/12500000</f>
        <v/>
      </c>
      <c r="V71">
        <f>(S71+T71+U71)/3</f>
        <v/>
      </c>
      <c r="W71" s="5" t="n">
        <v>3200</v>
      </c>
      <c r="X71">
        <f>IFERROR(V71-W71,"")</f>
        <v/>
      </c>
      <c r="Y71">
        <f>IFERROR(ABS(X71)/MAX(W71,1),"")</f>
        <v/>
      </c>
      <c r="Z71">
        <f>IFERROR((W71-(((E71/100000+F71/100+R71/200)*200*I71*H71)+((E71*F71/25000)*I71*H71))/3)/(((J71/5)*200*I71*H71)+((J71*R71/2.5)*I71*H71)+((E71*F71*J71*R71*I71*H71)/12500000))/3*1000,"")</f>
        <v/>
      </c>
    </row>
    <row r="72">
      <c r="B72" s="6" t="inlineStr">
        <is>
          <t xml:space="preserve">  ↳ SteelInfRailgun</t>
        </is>
      </c>
      <c r="C72" s="6" t="inlineStr">
        <is>
          <t>Armament@PRIMARY</t>
        </is>
      </c>
      <c r="K72" s="5" t="n">
        <v>4000</v>
      </c>
      <c r="L72" s="5" t="n">
        <v>48</v>
      </c>
      <c r="M72" s="5" t="n">
        <v>2</v>
      </c>
      <c r="N72" s="5" t="n">
        <v>0</v>
      </c>
      <c r="O72" s="5" t="n">
        <v>8000</v>
      </c>
      <c r="P72" s="5" t="n">
        <v>1</v>
      </c>
      <c r="Q72">
        <f>L72+IF(M72&gt;1,N(N72)*(M72-1),0)</f>
        <v/>
      </c>
      <c r="R72">
        <f>IFERROR(K72*MAX(M72,1)/Q72*P72,0)</f>
        <v/>
      </c>
      <c r="AA72" s="6" t="inlineStr">
        <is>
          <t>^RA2RailgunWeapon, ^RA2FlakWeapon, ^SteelChaingun, ^SteelLightMissile</t>
        </is>
      </c>
    </row>
    <row r="73">
      <c r="B73" s="6" t="inlineStr">
        <is>
          <t xml:space="preserve">  ↳ SteelInfRailgunE</t>
        </is>
      </c>
      <c r="C73" s="6" t="inlineStr">
        <is>
          <t>Armament@PRIMARYELITE</t>
        </is>
      </c>
      <c r="K73" s="5" t="n">
        <v>4000</v>
      </c>
      <c r="L73" s="5" t="n">
        <v>48</v>
      </c>
      <c r="M73" s="5" t="n">
        <v>4</v>
      </c>
      <c r="N73" s="5" t="n">
        <v>0</v>
      </c>
      <c r="O73" s="5" t="n">
        <v>9000</v>
      </c>
      <c r="P73" s="5" t="n">
        <v>1</v>
      </c>
      <c r="Q73">
        <f>L73+IF(M73&gt;1,N(N73)*(M73-1),0)</f>
        <v/>
      </c>
      <c r="R73">
        <f>IFERROR(K73*MAX(M73,1)/Q73*P73,0)</f>
        <v/>
      </c>
      <c r="AA73" s="6" t="inlineStr">
        <is>
          <t>^RA2RailgunWeapon, ^RA2FlakWeapon, ^SteelChaingun, ^SteelLightMissile</t>
        </is>
      </c>
    </row>
    <row r="74">
      <c r="B74" s="6" t="inlineStr">
        <is>
          <t xml:space="preserve">  ↳ SteelInfRailgunEMP</t>
        </is>
      </c>
      <c r="C74" s="6" t="inlineStr">
        <is>
          <t>Armament@UpgradePRIMARY</t>
        </is>
      </c>
      <c r="K74" s="5" t="n">
        <v>2000</v>
      </c>
      <c r="L74" s="5" t="n">
        <v>50</v>
      </c>
      <c r="M74" s="5" t="n">
        <v>2</v>
      </c>
      <c r="N74" s="5" t="n">
        <v>0</v>
      </c>
      <c r="O74" s="5" t="n">
        <v>8000</v>
      </c>
      <c r="P74" s="5" t="n">
        <v>1</v>
      </c>
      <c r="Q74">
        <f>L74+IF(M74&gt;1,N(N74)*(M74-1),0)</f>
        <v/>
      </c>
      <c r="R74">
        <f>IFERROR(K74*MAX(M74,1)/Q74*P74,0)</f>
        <v/>
      </c>
      <c r="AA74" s="6" t="inlineStr">
        <is>
          <t>^Grenade, ^MediumFlameWeapon, ^MediumChemicalWeapon, ^ShrapnelWeapon, ^MediumCannon, ^TeslaWeapon, ^RA2RailgunWeapon, ^RA2FlakWeapon, ^SteelChaingun, ^SteelLightMissile</t>
        </is>
      </c>
    </row>
    <row r="75">
      <c r="B75" s="6" t="inlineStr">
        <is>
          <t xml:space="preserve">  ↳ SteelInfRailgunEMPE</t>
        </is>
      </c>
      <c r="C75" s="6" t="inlineStr">
        <is>
          <t>Armament@UpgradePRIMARYELITE</t>
        </is>
      </c>
      <c r="K75" s="5" t="n">
        <v>2000</v>
      </c>
      <c r="L75" s="5" t="n">
        <v>50</v>
      </c>
      <c r="M75" s="5" t="n">
        <v>4</v>
      </c>
      <c r="N75" s="5" t="n">
        <v>0</v>
      </c>
      <c r="O75" s="5" t="n">
        <v>9000</v>
      </c>
      <c r="P75" s="5" t="n">
        <v>1</v>
      </c>
      <c r="Q75">
        <f>L75+IF(M75&gt;1,N(N75)*(M75-1),0)</f>
        <v/>
      </c>
      <c r="R75">
        <f>IFERROR(K75*MAX(M75,1)/Q75*P75,0)</f>
        <v/>
      </c>
      <c r="AA75" s="6" t="inlineStr">
        <is>
          <t>^Grenade, ^MediumFlameWeapon, ^MediumChemicalWeapon, ^ShrapnelWeapon, ^MediumCannon, ^TeslaWeapon, ^RA2RailgunWeapon, ^RA2FlakWeapon, ^SteelChaingun, ^SteelLightMissile</t>
        </is>
      </c>
    </row>
    <row r="76">
      <c r="A76" t="inlineStr">
        <is>
          <t>redalert2mod</t>
        </is>
      </c>
      <c r="B76" t="inlineStr">
        <is>
          <t>steelconsortium_hammerheadartillerytank</t>
        </is>
      </c>
      <c r="C76" t="inlineStr">
        <is>
          <t>Hammerhead Artillery Tank</t>
        </is>
      </c>
      <c r="D76" t="inlineStr"/>
      <c r="E76" s="5" t="n">
        <v>52500</v>
      </c>
      <c r="F76" s="5" t="n">
        <v>100</v>
      </c>
      <c r="G76" t="inlineStr">
        <is>
          <t>Medium</t>
        </is>
      </c>
      <c r="H76" s="5" t="n">
        <v>1</v>
      </c>
      <c r="I76" s="5" t="n">
        <v>1</v>
      </c>
      <c r="J76" s="5" t="n">
        <v>1</v>
      </c>
      <c r="O76">
        <f>MAX(O77,O78,O79)</f>
        <v/>
      </c>
      <c r="R76">
        <f>R77+R78+R79</f>
        <v/>
      </c>
      <c r="S76">
        <f>(E76/100000+F76/100+(O76/1000)*J76/5+R76/200)*200*I76*H76</f>
        <v/>
      </c>
      <c r="T76">
        <f>((E76*F76/25000)+((O76/1000)*J76*R76/2.5))*I76*H76</f>
        <v/>
      </c>
      <c r="U76">
        <f>(E76*F76*(O76/1000)*J76*R76*I76*H76)/12500000</f>
        <v/>
      </c>
      <c r="V76">
        <f>(S76+T76+U76)/3</f>
        <v/>
      </c>
      <c r="W76" s="5" t="n">
        <v>1000</v>
      </c>
      <c r="X76">
        <f>IFERROR(V76-W76,"")</f>
        <v/>
      </c>
      <c r="Y76">
        <f>IFERROR(ABS(X76)/MAX(W76,1),"")</f>
        <v/>
      </c>
      <c r="Z76">
        <f>IFERROR((W76-(((E76/100000+F76/100+R76/200)*200*I76*H76)+((E76*F76/25000)*I76*H76))/3)/(((J76/5)*200*I76*H76)+((J76*R76/2.5)*I76*H76)+((E76*F76*J76*R76*I76*H76)/12500000))/3*1000,"")</f>
        <v/>
      </c>
    </row>
    <row r="77">
      <c r="B77" s="6" t="inlineStr">
        <is>
          <t xml:space="preserve">  ↳ HammerheadTankCannon</t>
        </is>
      </c>
      <c r="C77" s="6" t="inlineStr">
        <is>
          <t>Armament@Undeployed</t>
        </is>
      </c>
      <c r="K77" s="5" t="n">
        <v>24000</v>
      </c>
      <c r="L77" s="5" t="n">
        <v>55</v>
      </c>
      <c r="M77" s="5" t="n">
        <v>1</v>
      </c>
      <c r="N77" s="5" t="n"/>
      <c r="O77" s="5" t="n">
        <v>5150</v>
      </c>
      <c r="P77" s="5" t="n">
        <v>1</v>
      </c>
      <c r="Q77">
        <f>L77+IF(M77&gt;1,N(N77)*(M77-1),0)</f>
        <v/>
      </c>
      <c r="R77">
        <f>IFERROR(K77*MAX(M77,1)/Q77*P77,0)</f>
        <v/>
      </c>
      <c r="AA77" s="6" t="inlineStr">
        <is>
          <t>^RA2MediumCannon</t>
        </is>
      </c>
    </row>
    <row r="78">
      <c r="B78" s="6" t="inlineStr">
        <is>
          <t xml:space="preserve">  ↳ HammerheadArtillery</t>
        </is>
      </c>
      <c r="C78" s="6" t="inlineStr">
        <is>
          <t>Armament@Deployed</t>
        </is>
      </c>
      <c r="K78" s="5" t="n">
        <v>11111</v>
      </c>
      <c r="L78" s="5" t="n">
        <v>111</v>
      </c>
      <c r="M78" s="5" t="n">
        <v>1</v>
      </c>
      <c r="N78" s="5" t="n"/>
      <c r="O78" s="5" t="n">
        <v>11111</v>
      </c>
      <c r="P78" s="5" t="n">
        <v>1</v>
      </c>
      <c r="Q78">
        <f>L78+IF(M78&gt;1,N(N78)*(M78-1),0)</f>
        <v/>
      </c>
      <c r="R78">
        <f>IFERROR(K78*MAX(M78,1)/Q78*P78,0)</f>
        <v/>
      </c>
      <c r="AA78" s="6" t="inlineStr">
        <is>
          <t>^RA2Grenade, ^HeavyBomb, ^SteelMediumCannon</t>
        </is>
      </c>
    </row>
    <row r="79">
      <c r="B79" s="6" t="inlineStr">
        <is>
          <t xml:space="preserve">  ↳ deploytargeting.10c0</t>
        </is>
      </c>
      <c r="C79" s="6" t="inlineStr">
        <is>
          <t>Armament@BOT</t>
        </is>
      </c>
      <c r="K79" s="5" t="n"/>
      <c r="L79" s="5" t="n">
        <v>50</v>
      </c>
      <c r="M79" s="5" t="n">
        <v>1</v>
      </c>
      <c r="N79" s="5" t="n"/>
      <c r="O79" s="5" t="n">
        <v>10000</v>
      </c>
      <c r="P79" s="5" t="n">
        <v>1</v>
      </c>
      <c r="Q79">
        <f>L79+IF(M79&gt;1,N(N79)*(M79-1),0)</f>
        <v/>
      </c>
      <c r="R79">
        <f>IFERROR(K79*MAX(M79,1)/Q79*P79,0)</f>
        <v/>
      </c>
      <c r="AA79" s="6" t="inlineStr">
        <is>
          <t>^deploytargeting</t>
        </is>
      </c>
    </row>
    <row r="80">
      <c r="A80" t="inlineStr">
        <is>
          <t>redalert2mod</t>
        </is>
      </c>
      <c r="B80" t="inlineStr">
        <is>
          <t>steelconsortium_katytank</t>
        </is>
      </c>
      <c r="C80" t="inlineStr">
        <is>
          <t>Katy Tank</t>
        </is>
      </c>
      <c r="D80" t="inlineStr"/>
      <c r="E80" s="5" t="n">
        <v>275000</v>
      </c>
      <c r="F80" s="5" t="n">
        <v>45</v>
      </c>
      <c r="G80" t="inlineStr">
        <is>
          <t>Superheavy</t>
        </is>
      </c>
      <c r="H80" s="5" t="n">
        <v>1</v>
      </c>
      <c r="I80" s="5" t="n">
        <v>1</v>
      </c>
      <c r="J80" s="5" t="n">
        <v>1</v>
      </c>
      <c r="O80">
        <f>MAX(O81,O82,O83,O84)</f>
        <v/>
      </c>
      <c r="R80">
        <f>R81+R82+R83+R84</f>
        <v/>
      </c>
      <c r="S80">
        <f>(E80/100000+F80/100+(O80/1000)*J80/5+R80/200)*200*I80*H80</f>
        <v/>
      </c>
      <c r="T80">
        <f>((E80*F80/25000)+((O80/1000)*J80*R80/2.5))*I80*H80</f>
        <v/>
      </c>
      <c r="U80">
        <f>(E80*F80*(O80/1000)*J80*R80*I80*H80)/12500000</f>
        <v/>
      </c>
      <c r="V80">
        <f>(S80+T80+U80)/3</f>
        <v/>
      </c>
      <c r="W80" s="5" t="n">
        <v>3800</v>
      </c>
      <c r="X80">
        <f>IFERROR(V80-W80,"")</f>
        <v/>
      </c>
      <c r="Y80">
        <f>IFERROR(ABS(X80)/MAX(W80,1),"")</f>
        <v/>
      </c>
      <c r="Z80">
        <f>IFERROR((W80-(((E80/100000+F80/100+R80/200)*200*I80*H80)+((E80*F80/25000)*I80*H80))/3)/(((J80/5)*200*I80*H80)+((J80*R80/2.5)*I80*H80)+((E80*F80*J80*R80*I80*H80)/12500000))/3*1000,"")</f>
        <v/>
      </c>
    </row>
    <row r="81">
      <c r="B81" s="6" t="inlineStr">
        <is>
          <t xml:space="preserve">  ↳ SteelKatyCannons</t>
        </is>
      </c>
      <c r="C81" s="6" t="inlineStr">
        <is>
          <t>Armament</t>
        </is>
      </c>
      <c r="K81" s="5" t="n">
        <v>10000</v>
      </c>
      <c r="L81" s="5" t="n">
        <v>50</v>
      </c>
      <c r="M81" s="5" t="n">
        <v>2</v>
      </c>
      <c r="N81" s="5" t="n">
        <v>10</v>
      </c>
      <c r="O81" s="5" t="n">
        <v>7250</v>
      </c>
      <c r="P81" s="5" t="n">
        <v>1</v>
      </c>
      <c r="Q81">
        <f>L81+IF(M81&gt;1,N(N81)*(M81-1),0)</f>
        <v/>
      </c>
      <c r="R81">
        <f>IFERROR(K81*MAX(M81,1)/Q81*P81,0)</f>
        <v/>
      </c>
      <c r="AA81" s="6" t="inlineStr">
        <is>
          <t>^LightFlameWeapon, ^MediumChemicalWeapon, ^SteelHeavyCannon</t>
        </is>
      </c>
    </row>
    <row r="82">
      <c r="B82" s="6" t="inlineStr">
        <is>
          <t xml:space="preserve">  ↳ SteelKatyCannonsE</t>
        </is>
      </c>
      <c r="C82" s="6" t="inlineStr">
        <is>
          <t>Armament@ELITE</t>
        </is>
      </c>
      <c r="K82" s="5" t="n">
        <v>10000</v>
      </c>
      <c r="L82" s="5" t="n">
        <v>50</v>
      </c>
      <c r="M82" s="5" t="n">
        <v>4</v>
      </c>
      <c r="N82" s="5" t="n">
        <v>5</v>
      </c>
      <c r="O82" s="5" t="n">
        <v>8250</v>
      </c>
      <c r="P82" s="5" t="n">
        <v>1</v>
      </c>
      <c r="Q82">
        <f>L82+IF(M82&gt;1,N(N82)*(M82-1),0)</f>
        <v/>
      </c>
      <c r="R82">
        <f>IFERROR(K82*MAX(M82,1)/Q82*P82,0)</f>
        <v/>
      </c>
      <c r="AA82" s="6" t="inlineStr">
        <is>
          <t>^LightFlameWeapon, ^MediumChemicalWeapon, ^SteelHeavyCannon</t>
        </is>
      </c>
    </row>
    <row r="83">
      <c r="B83" s="6" t="inlineStr">
        <is>
          <t xml:space="preserve">  ↳ SteelKatyCannonsEMP</t>
        </is>
      </c>
      <c r="C83" s="6" t="inlineStr">
        <is>
          <t>Armament@Upgrade</t>
        </is>
      </c>
      <c r="K83" s="5" t="n">
        <v>10000</v>
      </c>
      <c r="L83" s="5" t="n">
        <v>50</v>
      </c>
      <c r="M83" s="5" t="n">
        <v>2</v>
      </c>
      <c r="N83" s="5" t="n">
        <v>10</v>
      </c>
      <c r="O83" s="5" t="n">
        <v>7250</v>
      </c>
      <c r="P83" s="5" t="n">
        <v>1</v>
      </c>
      <c r="Q83">
        <f>L83+IF(M83&gt;1,N(N83)*(M83-1),0)</f>
        <v/>
      </c>
      <c r="R83">
        <f>IFERROR(K83*MAX(M83,1)/Q83*P83,0)</f>
        <v/>
      </c>
      <c r="AA83" s="6" t="inlineStr">
        <is>
          <t>^TankDestroyerCannon, ^TeslaWeapon, ^LightFlameWeapon, ^MediumChemicalWeapon, ^SteelHeavyCannon</t>
        </is>
      </c>
    </row>
    <row r="84">
      <c r="B84" s="6" t="inlineStr">
        <is>
          <t xml:space="preserve">  ↳ SteelKatyCannonsEMPE</t>
        </is>
      </c>
      <c r="C84" s="6" t="inlineStr">
        <is>
          <t>Armament@UpgradeELITE</t>
        </is>
      </c>
      <c r="K84" s="5" t="n">
        <v>10000</v>
      </c>
      <c r="L84" s="5" t="n">
        <v>50</v>
      </c>
      <c r="M84" s="5" t="n">
        <v>4</v>
      </c>
      <c r="N84" s="5" t="n">
        <v>5</v>
      </c>
      <c r="O84" s="5" t="n">
        <v>8250</v>
      </c>
      <c r="P84" s="5" t="n">
        <v>1</v>
      </c>
      <c r="Q84">
        <f>L84+IF(M84&gt;1,N(N84)*(M84-1),0)</f>
        <v/>
      </c>
      <c r="R84">
        <f>IFERROR(K84*MAX(M84,1)/Q84*P84,0)</f>
        <v/>
      </c>
      <c r="AA84" s="6" t="inlineStr">
        <is>
          <t>^TankDestroyerCannon, ^TeslaWeapon, ^LightFlameWeapon, ^MediumChemicalWeapon, ^SteelHeavyCannon</t>
        </is>
      </c>
    </row>
    <row r="85">
      <c r="A85" t="inlineStr">
        <is>
          <t>redalert2mod</t>
        </is>
      </c>
      <c r="B85" t="inlineStr">
        <is>
          <t>steelconsortium_mako</t>
        </is>
      </c>
      <c r="C85" t="inlineStr">
        <is>
          <t>Mako</t>
        </is>
      </c>
      <c r="D85" t="inlineStr"/>
      <c r="E85" s="5" t="n">
        <v>95000</v>
      </c>
      <c r="F85" s="5" t="n">
        <v>85</v>
      </c>
      <c r="G85" t="inlineStr">
        <is>
          <t>Medium</t>
        </is>
      </c>
      <c r="H85" s="5" t="n">
        <v>1</v>
      </c>
      <c r="I85" s="5" t="n">
        <v>1</v>
      </c>
      <c r="J85" s="5" t="n">
        <v>0.75</v>
      </c>
      <c r="O85">
        <f>MAX(O86,O87,O88,O89)</f>
        <v/>
      </c>
      <c r="R85">
        <f>R86+R87+R88+R89</f>
        <v/>
      </c>
      <c r="S85">
        <f>(E85/100000+F85/100+(O85/1000)*J85/5+R85/200)*200*I85*H85</f>
        <v/>
      </c>
      <c r="T85">
        <f>((E85*F85/25000)+((O85/1000)*J85*R85/2.5))*I85*H85</f>
        <v/>
      </c>
      <c r="U85">
        <f>(E85*F85*(O85/1000)*J85*R85*I85*H85)/12500000</f>
        <v/>
      </c>
      <c r="V85">
        <f>(S85+T85+U85)/3</f>
        <v/>
      </c>
      <c r="W85" s="5" t="n">
        <v>900</v>
      </c>
      <c r="X85">
        <f>IFERROR(V85-W85,"")</f>
        <v/>
      </c>
      <c r="Y85">
        <f>IFERROR(ABS(X85)/MAX(W85,1),"")</f>
        <v/>
      </c>
      <c r="Z85">
        <f>IFERROR((W85-(((E85/100000+F85/100+R85/200)*200*I85*H85)+((E85*F85/25000)*I85*H85))/3)/(((J85/5)*200*I85*H85)+((J85*R85/2.5)*I85*H85)+((E85*F85*J85*R85*I85*H85)/12500000))/3*1000,"")</f>
        <v/>
      </c>
    </row>
    <row r="86">
      <c r="B86" s="6" t="inlineStr">
        <is>
          <t xml:space="preserve">  ↳ SteelMakoGun</t>
        </is>
      </c>
      <c r="C86" s="6" t="inlineStr">
        <is>
          <t>Armament@PRIMARY</t>
        </is>
      </c>
      <c r="K86" s="5" t="n">
        <v>2000</v>
      </c>
      <c r="L86" s="5" t="n">
        <v>25</v>
      </c>
      <c r="M86" s="5" t="n">
        <v>1</v>
      </c>
      <c r="N86" s="5" t="n"/>
      <c r="O86" s="5" t="n">
        <v>6050</v>
      </c>
      <c r="P86" s="5" t="n">
        <v>1</v>
      </c>
      <c r="Q86">
        <f>L86+IF(M86&gt;1,N(N86)*(M86-1),0)</f>
        <v/>
      </c>
      <c r="R86">
        <f>IFERROR(K86*MAX(M86,1)/Q86*P86,0)</f>
        <v/>
      </c>
      <c r="AA86" s="6" t="inlineStr">
        <is>
          <t>^MediumFlameWeapon, ^RA2Grenade, ^RA2RailgunWeapon, ^SteelMediumCannon</t>
        </is>
      </c>
    </row>
    <row r="87">
      <c r="B87" s="6" t="inlineStr">
        <is>
          <t xml:space="preserve">  ↳ SteelMakoGunE</t>
        </is>
      </c>
      <c r="C87" s="6" t="inlineStr">
        <is>
          <t>Armament@ELITE</t>
        </is>
      </c>
      <c r="K87" s="5" t="n">
        <v>2000</v>
      </c>
      <c r="L87" s="5" t="n">
        <v>25</v>
      </c>
      <c r="M87" s="5" t="n">
        <v>2</v>
      </c>
      <c r="N87" s="5" t="n">
        <v>3</v>
      </c>
      <c r="O87" s="5" t="n">
        <v>7050</v>
      </c>
      <c r="P87" s="5" t="n">
        <v>1</v>
      </c>
      <c r="Q87">
        <f>L87+IF(M87&gt;1,N(N87)*(M87-1),0)</f>
        <v/>
      </c>
      <c r="R87">
        <f>IFERROR(K87*MAX(M87,1)/Q87*P87,0)</f>
        <v/>
      </c>
      <c r="AA87" s="6" t="inlineStr">
        <is>
          <t>^MediumFlameWeapon, ^RA2Grenade, ^RA2RailgunWeapon, ^SteelMediumCannon</t>
        </is>
      </c>
    </row>
    <row r="88">
      <c r="B88" s="6" t="inlineStr">
        <is>
          <t xml:space="preserve">  ↳ SteelMakoGunEMP</t>
        </is>
      </c>
      <c r="C88" s="6" t="inlineStr">
        <is>
          <t>Armament@UpgradePRIMARY</t>
        </is>
      </c>
      <c r="K88" s="5" t="n">
        <v>2000</v>
      </c>
      <c r="L88" s="5" t="n">
        <v>25</v>
      </c>
      <c r="M88" s="5" t="n">
        <v>1</v>
      </c>
      <c r="N88" s="5" t="n"/>
      <c r="O88" s="5" t="n">
        <v>6050</v>
      </c>
      <c r="P88" s="5" t="n">
        <v>1</v>
      </c>
      <c r="Q88">
        <f>L88+IF(M88&gt;1,N(N88)*(M88-1),0)</f>
        <v/>
      </c>
      <c r="R88">
        <f>IFERROR(K88*MAX(M88,1)/Q88*P88,0)</f>
        <v/>
      </c>
      <c r="AA88" s="6" t="inlineStr">
        <is>
          <t>^LightChemicalWeapon, ^TeslaWeapon, ^MediumFlameWeapon, ^RA2Grenade, ^RA2RailgunWeapon, ^SteelMediumCannon</t>
        </is>
      </c>
    </row>
    <row r="89">
      <c r="B89" s="6" t="inlineStr">
        <is>
          <t xml:space="preserve">  ↳ SteelMakoGunEMPE</t>
        </is>
      </c>
      <c r="C89" s="6" t="inlineStr">
        <is>
          <t>Armament@UpgradeELITE</t>
        </is>
      </c>
      <c r="K89" s="5" t="n">
        <v>2000</v>
      </c>
      <c r="L89" s="5" t="n">
        <v>25</v>
      </c>
      <c r="M89" s="5" t="n">
        <v>2</v>
      </c>
      <c r="N89" s="5" t="n">
        <v>3</v>
      </c>
      <c r="O89" s="5" t="n">
        <v>7050</v>
      </c>
      <c r="P89" s="5" t="n">
        <v>1</v>
      </c>
      <c r="Q89">
        <f>L89+IF(M89&gt;1,N(N89)*(M89-1),0)</f>
        <v/>
      </c>
      <c r="R89">
        <f>IFERROR(K89*MAX(M89,1)/Q89*P89,0)</f>
        <v/>
      </c>
      <c r="AA89" s="6" t="inlineStr">
        <is>
          <t>^LightChemicalWeapon, ^TeslaWeapon, ^MediumFlameWeapon, ^RA2Grenade, ^RA2RailgunWeapon, ^SteelMediumCannon</t>
        </is>
      </c>
    </row>
    <row r="90">
      <c r="A90" t="inlineStr">
        <is>
          <t>redalert2mod</t>
        </is>
      </c>
      <c r="B90" t="inlineStr">
        <is>
          <t>steelconsortium_manta</t>
        </is>
      </c>
      <c r="C90" t="inlineStr">
        <is>
          <t>Manta</t>
        </is>
      </c>
      <c r="D90" t="inlineStr"/>
      <c r="E90" s="5" t="n">
        <v>55000</v>
      </c>
      <c r="F90" s="5" t="n">
        <v>115</v>
      </c>
      <c r="G90" t="inlineStr">
        <is>
          <t>Medium</t>
        </is>
      </c>
      <c r="H90" s="5" t="n">
        <v>1</v>
      </c>
      <c r="I90" s="5" t="n">
        <v>1</v>
      </c>
      <c r="J90" s="5" t="n">
        <v>1</v>
      </c>
      <c r="O90">
        <f>MAX(O91,O92,O93,O94,O95,O96,O97,O98)</f>
        <v/>
      </c>
      <c r="R90">
        <f>R91+R92+R93+R94+R95+R96+R97+R98</f>
        <v/>
      </c>
      <c r="S90">
        <f>(E90/100000+F90/100+(O90/1000)*J90/5+R90/200)*200*I90*H90</f>
        <v/>
      </c>
      <c r="T90">
        <f>((E90*F90/25000)+((O90/1000)*J90*R90/2.5))*I90*H90</f>
        <v/>
      </c>
      <c r="U90">
        <f>(E90*F90*(O90/1000)*J90*R90*I90*H90)/12500000</f>
        <v/>
      </c>
      <c r="V90">
        <f>(S90+T90+U90)/3</f>
        <v/>
      </c>
      <c r="W90" s="5" t="n">
        <v>850</v>
      </c>
      <c r="X90">
        <f>IFERROR(V90-W90,"")</f>
        <v/>
      </c>
      <c r="Y90">
        <f>IFERROR(ABS(X90)/MAX(W90,1),"")</f>
        <v/>
      </c>
      <c r="Z90">
        <f>IFERROR((W90-(((E90/100000+F90/100+R90/200)*200*I90*H90)+((E90*F90/25000)*I90*H90))/3)/(((J90/5)*200*I90*H90)+((J90*R90/2.5)*I90*H90)+((E90*F90*J90*R90*I90*H90)/12500000))/3*1000,"")</f>
        <v/>
      </c>
    </row>
    <row r="91">
      <c r="B91" s="6" t="inlineStr">
        <is>
          <t xml:space="preserve">  ↳ SteelMantaAG</t>
        </is>
      </c>
      <c r="C91" s="6" t="inlineStr">
        <is>
          <t>Armament@AG1</t>
        </is>
      </c>
      <c r="K91" s="5" t="n">
        <v>2000</v>
      </c>
      <c r="L91" s="5" t="n">
        <v>20</v>
      </c>
      <c r="M91" s="5" t="n">
        <v>1</v>
      </c>
      <c r="N91" s="5" t="n"/>
      <c r="O91" s="5" t="n">
        <v>6666</v>
      </c>
      <c r="P91" s="5" t="n">
        <v>1</v>
      </c>
      <c r="Q91">
        <f>L91+IF(M91&gt;1,N(N91)*(M91-1),0)</f>
        <v/>
      </c>
      <c r="R91">
        <f>IFERROR(K91*MAX(M91,1)/Q91*P91,0)</f>
        <v/>
      </c>
      <c r="AA91" s="6" t="inlineStr">
        <is>
          <t>^SteelLightMissile, ^SteelSmallArms, ^RA2FlakWeapon, ^SteelChaingun</t>
        </is>
      </c>
    </row>
    <row r="92">
      <c r="B92" s="6" t="inlineStr">
        <is>
          <t xml:space="preserve">  ↳ SteelMantaAG</t>
        </is>
      </c>
      <c r="C92" s="6" t="inlineStr">
        <is>
          <t>Armament@AG2</t>
        </is>
      </c>
      <c r="K92" s="5" t="n">
        <v>2000</v>
      </c>
      <c r="L92" s="5" t="n">
        <v>20</v>
      </c>
      <c r="M92" s="5" t="n">
        <v>1</v>
      </c>
      <c r="N92" s="5" t="n"/>
      <c r="O92" s="5" t="n">
        <v>6666</v>
      </c>
      <c r="P92" s="5" t="n">
        <v>1</v>
      </c>
      <c r="Q92">
        <f>L92+IF(M92&gt;1,N(N92)*(M92-1),0)</f>
        <v/>
      </c>
      <c r="R92">
        <f>IFERROR(K92*MAX(M92,1)/Q92*P92,0)</f>
        <v/>
      </c>
      <c r="AA92" s="6" t="inlineStr">
        <is>
          <t>^SteelLightMissile, ^SteelSmallArms, ^RA2FlakWeapon, ^SteelChaingun</t>
        </is>
      </c>
    </row>
    <row r="93">
      <c r="B93" s="6" t="inlineStr">
        <is>
          <t xml:space="preserve">  ↳ SteelMantaAA</t>
        </is>
      </c>
      <c r="C93" s="6" t="inlineStr">
        <is>
          <t>Armament@AA1</t>
        </is>
      </c>
      <c r="K93" s="5" t="n">
        <v>2000</v>
      </c>
      <c r="L93" s="5" t="n">
        <v>20</v>
      </c>
      <c r="M93" s="5" t="n">
        <v>1</v>
      </c>
      <c r="N93" s="5" t="n"/>
      <c r="O93" s="5" t="n">
        <v>9999</v>
      </c>
      <c r="P93" s="5" t="n">
        <v>1</v>
      </c>
      <c r="Q93">
        <f>L93+IF(M93&gt;1,N(N93)*(M93-1),0)</f>
        <v/>
      </c>
      <c r="R93">
        <f>IFERROR(K93*MAX(M93,1)/Q93*P93,0)</f>
        <v/>
      </c>
      <c r="AA93" s="6" t="inlineStr">
        <is>
          <t>^SteelLightMissile, ^SteelSmallArms, ^RA2FlakWeapon, ^SteelChaingun</t>
        </is>
      </c>
    </row>
    <row r="94">
      <c r="B94" s="6" t="inlineStr">
        <is>
          <t xml:space="preserve">  ↳ SteelMantaAA</t>
        </is>
      </c>
      <c r="C94" s="6" t="inlineStr">
        <is>
          <t>Armament@AA2</t>
        </is>
      </c>
      <c r="K94" s="5" t="n">
        <v>2000</v>
      </c>
      <c r="L94" s="5" t="n">
        <v>20</v>
      </c>
      <c r="M94" s="5" t="n">
        <v>1</v>
      </c>
      <c r="N94" s="5" t="n"/>
      <c r="O94" s="5" t="n">
        <v>9999</v>
      </c>
      <c r="P94" s="5" t="n">
        <v>1</v>
      </c>
      <c r="Q94">
        <f>L94+IF(M94&gt;1,N(N94)*(M94-1),0)</f>
        <v/>
      </c>
      <c r="R94">
        <f>IFERROR(K94*MAX(M94,1)/Q94*P94,0)</f>
        <v/>
      </c>
      <c r="AA94" s="6" t="inlineStr">
        <is>
          <t>^SteelLightMissile, ^SteelSmallArms, ^RA2FlakWeapon, ^SteelChaingun</t>
        </is>
      </c>
    </row>
    <row r="95">
      <c r="B95" s="6" t="inlineStr">
        <is>
          <t xml:space="preserve">  ↳ SteelMantaAGResonance</t>
        </is>
      </c>
      <c r="C95" s="6" t="inlineStr">
        <is>
          <t>Armament@UpgradeAG1</t>
        </is>
      </c>
      <c r="K95" s="5" t="n">
        <v>2000</v>
      </c>
      <c r="L95" s="5" t="n">
        <v>20</v>
      </c>
      <c r="M95" s="5" t="n">
        <v>1</v>
      </c>
      <c r="N95" s="5" t="n"/>
      <c r="O95" s="5" t="n">
        <v>6666</v>
      </c>
      <c r="P95" s="5" t="n">
        <v>1</v>
      </c>
      <c r="Q95">
        <f>L95+IF(M95&gt;1,N(N95)*(M95-1),0)</f>
        <v/>
      </c>
      <c r="R95">
        <f>IFERROR(K95*MAX(M95,1)/Q95*P95,0)</f>
        <v/>
      </c>
      <c r="AA95" s="6" t="inlineStr">
        <is>
          <t>^SteelLightMissile, ^SteelSmallArms, ^RA2FlakWeapon, ^SteelChaingun</t>
        </is>
      </c>
    </row>
    <row r="96">
      <c r="B96" s="6" t="inlineStr">
        <is>
          <t xml:space="preserve">  ↳ SteelMantaAGResonance</t>
        </is>
      </c>
      <c r="C96" s="6" t="inlineStr">
        <is>
          <t>Armament@UpgradeAG2</t>
        </is>
      </c>
      <c r="K96" s="5" t="n">
        <v>2000</v>
      </c>
      <c r="L96" s="5" t="n">
        <v>20</v>
      </c>
      <c r="M96" s="5" t="n">
        <v>1</v>
      </c>
      <c r="N96" s="5" t="n"/>
      <c r="O96" s="5" t="n">
        <v>6666</v>
      </c>
      <c r="P96" s="5" t="n">
        <v>1</v>
      </c>
      <c r="Q96">
        <f>L96+IF(M96&gt;1,N(N96)*(M96-1),0)</f>
        <v/>
      </c>
      <c r="R96">
        <f>IFERROR(K96*MAX(M96,1)/Q96*P96,0)</f>
        <v/>
      </c>
      <c r="AA96" s="6" t="inlineStr">
        <is>
          <t>^SteelLightMissile, ^SteelSmallArms, ^RA2FlakWeapon, ^SteelChaingun</t>
        </is>
      </c>
    </row>
    <row r="97">
      <c r="B97" s="6" t="inlineStr">
        <is>
          <t xml:space="preserve">  ↳ SteelMantaAAResonance</t>
        </is>
      </c>
      <c r="C97" s="6" t="inlineStr">
        <is>
          <t>Armament@UpgradeAA1</t>
        </is>
      </c>
      <c r="K97" s="5" t="n">
        <v>2000</v>
      </c>
      <c r="L97" s="5" t="n">
        <v>20</v>
      </c>
      <c r="M97" s="5" t="n">
        <v>1</v>
      </c>
      <c r="N97" s="5" t="n"/>
      <c r="O97" s="5" t="n">
        <v>9999</v>
      </c>
      <c r="P97" s="5" t="n">
        <v>1</v>
      </c>
      <c r="Q97">
        <f>L97+IF(M97&gt;1,N(N97)*(M97-1),0)</f>
        <v/>
      </c>
      <c r="R97">
        <f>IFERROR(K97*MAX(M97,1)/Q97*P97,0)</f>
        <v/>
      </c>
      <c r="AA97" s="6" t="inlineStr">
        <is>
          <t>^SteelLightMissile, ^SteelSmallArms, ^RA2FlakWeapon, ^SteelChaingun</t>
        </is>
      </c>
    </row>
    <row r="98">
      <c r="B98" s="6" t="inlineStr">
        <is>
          <t xml:space="preserve">  ↳ SteelMantaAAResonance</t>
        </is>
      </c>
      <c r="C98" s="6" t="inlineStr">
        <is>
          <t>Armament@UpgradeAA2</t>
        </is>
      </c>
      <c r="K98" s="5" t="n">
        <v>2000</v>
      </c>
      <c r="L98" s="5" t="n">
        <v>20</v>
      </c>
      <c r="M98" s="5" t="n">
        <v>1</v>
      </c>
      <c r="N98" s="5" t="n"/>
      <c r="O98" s="5" t="n">
        <v>9999</v>
      </c>
      <c r="P98" s="5" t="n">
        <v>1</v>
      </c>
      <c r="Q98">
        <f>L98+IF(M98&gt;1,N(N98)*(M98-1),0)</f>
        <v/>
      </c>
      <c r="R98">
        <f>IFERROR(K98*MAX(M98,1)/Q98*P98,0)</f>
        <v/>
      </c>
      <c r="AA98" s="6" t="inlineStr">
        <is>
          <t>^SteelLightMissile, ^SteelSmallArms, ^RA2FlakWeapon, ^SteelChaingun</t>
        </is>
      </c>
    </row>
    <row r="99">
      <c r="A99" t="inlineStr">
        <is>
          <t>redalert2mod</t>
        </is>
      </c>
      <c r="B99" t="inlineStr">
        <is>
          <t>steelconsortium_megalodon</t>
        </is>
      </c>
      <c r="C99" t="inlineStr">
        <is>
          <t>Megalodon</t>
        </is>
      </c>
      <c r="D99" t="inlineStr"/>
      <c r="E99" s="5" t="n">
        <v>450000</v>
      </c>
      <c r="F99" s="5" t="n">
        <v>65</v>
      </c>
      <c r="G99" t="inlineStr">
        <is>
          <t>Superheavy</t>
        </is>
      </c>
      <c r="H99" s="5" t="n">
        <v>0.75</v>
      </c>
      <c r="I99" s="5" t="n">
        <v>1</v>
      </c>
      <c r="J99" s="5" t="n">
        <v>1</v>
      </c>
      <c r="O99">
        <f>MAX(O100,O101,O102)</f>
        <v/>
      </c>
      <c r="R99">
        <f>R100+R101+R102</f>
        <v/>
      </c>
      <c r="S99">
        <f>(E99/100000+F99/100+(O99/1000)*J99/5+R99/200)*200*I99*H99</f>
        <v/>
      </c>
      <c r="T99">
        <f>((E99*F99/25000)+((O99/1000)*J99*R99/2.5))*I99*H99</f>
        <v/>
      </c>
      <c r="U99">
        <f>(E99*F99*(O99/1000)*J99*R99*I99*H99)/12500000</f>
        <v/>
      </c>
      <c r="V99">
        <f>(S99+T99+U99)/3</f>
        <v/>
      </c>
      <c r="W99" s="5" t="n">
        <v>4600</v>
      </c>
      <c r="X99">
        <f>IFERROR(V99-W99,"")</f>
        <v/>
      </c>
      <c r="Y99">
        <f>IFERROR(ABS(X99)/MAX(W99,1),"")</f>
        <v/>
      </c>
      <c r="Z99">
        <f>IFERROR((W99-(((E99/100000+F99/100+R99/200)*200*I99*H99)+((E99*F99/25000)*I99*H99))/3)/(((J99/5)*200*I99*H99)+((J99*R99/2.5)*I99*H99)+((E99*F99*J99*R99*I99*H99)/12500000))/3*1000,"")</f>
        <v/>
      </c>
    </row>
    <row r="100">
      <c r="B100" s="6" t="inlineStr">
        <is>
          <t xml:space="preserve">  ↳ SteelMegaSword</t>
        </is>
      </c>
      <c r="C100" s="6" t="inlineStr">
        <is>
          <t>Armament@PRIMARY</t>
        </is>
      </c>
      <c r="K100" s="5" t="n">
        <v>20000</v>
      </c>
      <c r="L100" s="5" t="n">
        <v>24</v>
      </c>
      <c r="M100" s="5" t="n">
        <v>1</v>
      </c>
      <c r="N100" s="5" t="n"/>
      <c r="O100" s="5" t="n">
        <v>1600</v>
      </c>
      <c r="P100" s="5" t="n">
        <v>1</v>
      </c>
      <c r="Q100">
        <f>L100+IF(M100&gt;1,N(N100)*(M100-1),0)</f>
        <v/>
      </c>
      <c r="R100">
        <f>IFERROR(K100*MAX(M100,1)/Q100*P100,0)</f>
        <v/>
      </c>
      <c r="AA100" s="6" t="inlineStr">
        <is>
          <t>^LightChemicalWeapon, ^LaserWeapon, ^SwordWeapon</t>
        </is>
      </c>
    </row>
    <row r="101">
      <c r="B101" s="6" t="inlineStr">
        <is>
          <t xml:space="preserve">  ↳ SteelMegaSwordEMP</t>
        </is>
      </c>
      <c r="C101" s="6" t="inlineStr">
        <is>
          <t>Armament@ELITE</t>
        </is>
      </c>
      <c r="K101" s="5" t="n">
        <v>30000</v>
      </c>
      <c r="L101" s="5" t="n">
        <v>16</v>
      </c>
      <c r="M101" s="5" t="n">
        <v>1</v>
      </c>
      <c r="N101" s="5" t="n"/>
      <c r="O101" s="5" t="n">
        <v>2400</v>
      </c>
      <c r="P101" s="5" t="n">
        <v>1</v>
      </c>
      <c r="Q101">
        <f>L101+IF(M101&gt;1,N(N101)*(M101-1),0)</f>
        <v/>
      </c>
      <c r="R101">
        <f>IFERROR(K101*MAX(M101,1)/Q101*P101,0)</f>
        <v/>
      </c>
      <c r="AA101" s="6" t="inlineStr">
        <is>
          <t>^HeavyChemicalWeapon, ^LaserWeapon, ^TeslaWeapon</t>
        </is>
      </c>
    </row>
    <row r="102">
      <c r="B102" s="6" t="inlineStr">
        <is>
          <t xml:space="preserve">  ↳ SteelMegaSwordE</t>
        </is>
      </c>
      <c r="C102" s="6" t="inlineStr">
        <is>
          <t>Armament@elite</t>
        </is>
      </c>
      <c r="K102" s="5" t="n">
        <v>30000</v>
      </c>
      <c r="L102" s="5" t="n">
        <v>16</v>
      </c>
      <c r="M102" s="5" t="n">
        <v>1</v>
      </c>
      <c r="N102" s="5" t="n"/>
      <c r="O102" s="5" t="n">
        <v>2400</v>
      </c>
      <c r="P102" s="5" t="n">
        <v>1</v>
      </c>
      <c r="Q102">
        <f>L102+IF(M102&gt;1,N(N102)*(M102-1),0)</f>
        <v/>
      </c>
      <c r="R102">
        <f>IFERROR(K102*MAX(M102,1)/Q102*P102,0)</f>
        <v/>
      </c>
      <c r="AA102" s="6" t="inlineStr">
        <is>
          <t>^RailgunWeapon, ^HeavyChemicalWeapon, ^LaserWeapon, ^TeslaWeapon</t>
        </is>
      </c>
    </row>
    <row r="103">
      <c r="A103" t="inlineStr">
        <is>
          <t>redalert2mod</t>
        </is>
      </c>
      <c r="B103" t="inlineStr">
        <is>
          <t>steelconsortium_poseidontank</t>
        </is>
      </c>
      <c r="C103" t="inlineStr">
        <is>
          <t>Poseidon Tank</t>
        </is>
      </c>
      <c r="D103" t="inlineStr"/>
      <c r="E103" s="5" t="n">
        <v>125000</v>
      </c>
      <c r="F103" s="5" t="n">
        <v>50</v>
      </c>
      <c r="G103" t="inlineStr">
        <is>
          <t>Heavy</t>
        </is>
      </c>
      <c r="H103" s="5" t="n">
        <v>0.75</v>
      </c>
      <c r="I103" s="5" t="n">
        <v>1.25</v>
      </c>
      <c r="J103" s="5" t="n">
        <v>1</v>
      </c>
      <c r="O103">
        <f>MAX(O104)</f>
        <v/>
      </c>
      <c r="R103">
        <f>R104</f>
        <v/>
      </c>
      <c r="S103">
        <f>(E103/100000+F103/100+(O103/1000)*J103/5+R103/200)*200*I103*H103</f>
        <v/>
      </c>
      <c r="T103">
        <f>((E103*F103/25000)+((O103/1000)*J103*R103/2.5))*I103*H103</f>
        <v/>
      </c>
      <c r="U103">
        <f>(E103*F103*(O103/1000)*J103*R103*I103*H103)/12500000</f>
        <v/>
      </c>
      <c r="V103">
        <f>(S103+T103+U103)/3</f>
        <v/>
      </c>
      <c r="W103" s="5" t="n">
        <v>4000</v>
      </c>
      <c r="X103">
        <f>IFERROR(V103-W103,"")</f>
        <v/>
      </c>
      <c r="Y103">
        <f>IFERROR(ABS(X103)/MAX(W103,1),"")</f>
        <v/>
      </c>
      <c r="Z103">
        <f>IFERROR((W103-(((E103/100000+F103/100+R103/200)*200*I103*H103)+((E103*F103/25000)*I103*H103))/3)/(((J103/5)*200*I103*H103)+((J103*R103/2.5)*I103*H103)+((E103*F103*J103*R103*I103*H103)/12500000))/3*1000,"")</f>
        <v/>
      </c>
    </row>
    <row r="104">
      <c r="B104" s="6" t="inlineStr">
        <is>
          <t xml:space="preserve">  ↳ SteelFortressWeapons</t>
        </is>
      </c>
      <c r="C104" s="6" t="inlineStr">
        <is>
          <t>Armament@1</t>
        </is>
      </c>
      <c r="K104" s="5" t="n">
        <v>14000</v>
      </c>
      <c r="L104" s="5" t="n">
        <v>41</v>
      </c>
      <c r="M104" s="5" t="n">
        <v>2</v>
      </c>
      <c r="N104" s="5" t="n">
        <v>0</v>
      </c>
      <c r="O104" s="5" t="n">
        <v>6333</v>
      </c>
      <c r="P104" s="5" t="n">
        <v>1</v>
      </c>
      <c r="Q104">
        <f>L104+IF(M104&gt;1,N(N104)*(M104-1),0)</f>
        <v/>
      </c>
      <c r="R104">
        <f>IFERROR(K104*MAX(M104,1)/Q104*P104,0)</f>
        <v/>
      </c>
      <c r="AA104" s="6" t="inlineStr">
        <is>
          <t>^SteelMediumCannon</t>
        </is>
      </c>
    </row>
    <row r="105">
      <c r="A105" t="inlineStr">
        <is>
          <t>redalert2mod</t>
        </is>
      </c>
      <c r="B105" t="inlineStr">
        <is>
          <t>steelconsortium_quantumtank</t>
        </is>
      </c>
      <c r="C105" t="inlineStr">
        <is>
          <t>Quantum Tank</t>
        </is>
      </c>
      <c r="D105" t="inlineStr"/>
      <c r="E105" s="5" t="n">
        <v>100000</v>
      </c>
      <c r="F105" s="5" t="n">
        <v>100</v>
      </c>
      <c r="G105" t="inlineStr">
        <is>
          <t>Heavy</t>
        </is>
      </c>
      <c r="H105" s="5" t="n">
        <v>1</v>
      </c>
      <c r="I105" s="5" t="n">
        <v>1</v>
      </c>
      <c r="J105" s="5" t="n">
        <v>1</v>
      </c>
      <c r="O105">
        <f>MAX(O106,O107,O108)</f>
        <v/>
      </c>
      <c r="R105">
        <f>R106+R107+R108</f>
        <v/>
      </c>
      <c r="S105">
        <f>(E105/100000+F105/100+(O105/1000)*J105/5+R105/200)*200*I105*H105</f>
        <v/>
      </c>
      <c r="T105">
        <f>((E105*F105/25000)+((O105/1000)*J105*R105/2.5))*I105*H105</f>
        <v/>
      </c>
      <c r="U105">
        <f>(E105*F105*(O105/1000)*J105*R105*I105*H105)/12500000</f>
        <v/>
      </c>
      <c r="V105">
        <f>(S105+T105+U105)/3</f>
        <v/>
      </c>
      <c r="W105" s="5" t="n">
        <v>1600</v>
      </c>
      <c r="X105">
        <f>IFERROR(V105-W105,"")</f>
        <v/>
      </c>
      <c r="Y105">
        <f>IFERROR(ABS(X105)/MAX(W105,1),"")</f>
        <v/>
      </c>
      <c r="Z105">
        <f>IFERROR((W105-(((E105/100000+F105/100+R105/200)*200*I105*H105)+((E105*F105/25000)*I105*H105))/3)/(((J105/5)*200*I105*H105)+((J105*R105/2.5)*I105*H105)+((E105*F105*J105*R105*I105*H105)/12500000))/3*1000,"")</f>
        <v/>
      </c>
    </row>
    <row r="106">
      <c r="B106" s="6" t="inlineStr">
        <is>
          <t xml:space="preserve">  ↳ SteelQuantumCannon</t>
        </is>
      </c>
      <c r="C106" s="6" t="inlineStr">
        <is>
          <t>Armament</t>
        </is>
      </c>
      <c r="K106" s="5" t="n">
        <v>12000</v>
      </c>
      <c r="L106" s="5" t="n">
        <v>65</v>
      </c>
      <c r="M106" s="5" t="n">
        <v>1</v>
      </c>
      <c r="N106" s="5" t="n"/>
      <c r="O106" s="5" t="n">
        <v>6000</v>
      </c>
      <c r="P106" s="5" t="n">
        <v>1</v>
      </c>
      <c r="Q106">
        <f>L106+IF(M106&gt;1,N(N106)*(M106-1),0)</f>
        <v/>
      </c>
      <c r="R106">
        <f>IFERROR(K106*MAX(M106,1)/Q106*P106,0)</f>
        <v/>
      </c>
      <c r="AA106" s="6" t="inlineStr">
        <is>
          <t>^LaserWeapon, ^RailgunWeapon</t>
        </is>
      </c>
    </row>
    <row r="107">
      <c r="B107" s="6" t="inlineStr">
        <is>
          <t xml:space="preserve">  ↳ SteelQuantumCannonEMP</t>
        </is>
      </c>
      <c r="C107" s="6" t="inlineStr">
        <is>
          <t>Armament@Upgrade</t>
        </is>
      </c>
      <c r="K107" s="5" t="n">
        <v>8000</v>
      </c>
      <c r="L107" s="5" t="n">
        <v>65</v>
      </c>
      <c r="M107" s="5" t="n">
        <v>1</v>
      </c>
      <c r="N107" s="5" t="n"/>
      <c r="O107" s="5" t="n">
        <v>6000</v>
      </c>
      <c r="P107" s="5" t="n">
        <v>1</v>
      </c>
      <c r="Q107">
        <f>L107+IF(M107&gt;1,N(N107)*(M107-1),0)</f>
        <v/>
      </c>
      <c r="R107">
        <f>IFERROR(K107*MAX(M107,1)/Q107*P107,0)</f>
        <v/>
      </c>
      <c r="AA107" s="6" t="inlineStr">
        <is>
          <t>^TeslaWeapon, ^LaserWeapon, ^RailgunWeapon</t>
        </is>
      </c>
    </row>
    <row r="108">
      <c r="B108" s="6" t="inlineStr">
        <is>
          <t xml:space="preserve">  ↳ SteelQuantumCannon_elite</t>
        </is>
      </c>
      <c r="C108" s="6" t="inlineStr">
        <is>
          <t>Armament@elite</t>
        </is>
      </c>
      <c r="K108" s="5" t="n">
        <v>12000</v>
      </c>
      <c r="L108" s="5" t="n">
        <v>65</v>
      </c>
      <c r="M108" s="5" t="n">
        <v>1</v>
      </c>
      <c r="N108" s="5" t="n"/>
      <c r="O108" s="5" t="n">
        <v>7000</v>
      </c>
      <c r="P108" s="5" t="n">
        <v>1</v>
      </c>
      <c r="Q108">
        <f>L108+IF(M108&gt;1,N(N108)*(M108-1),0)</f>
        <v/>
      </c>
      <c r="R108">
        <f>IFERROR(K108*MAX(M108,1)/Q108*P108,0)</f>
        <v/>
      </c>
      <c r="AA108" s="6" t="inlineStr">
        <is>
          <t>^TeslaWeapon, ^LaserWeapon, ^RailgunWeapon</t>
        </is>
      </c>
    </row>
    <row r="109">
      <c r="A109" t="inlineStr">
        <is>
          <t>redalert2mod</t>
        </is>
      </c>
      <c r="B109" t="inlineStr">
        <is>
          <t>steelconsortium_stalker</t>
        </is>
      </c>
      <c r="C109" t="inlineStr">
        <is>
          <t>Stalker</t>
        </is>
      </c>
      <c r="D109" t="inlineStr"/>
      <c r="E109" s="5" t="n">
        <v>140000</v>
      </c>
      <c r="F109" s="5" t="n">
        <v>80</v>
      </c>
      <c r="G109" t="inlineStr">
        <is>
          <t>Heroic</t>
        </is>
      </c>
      <c r="H109" s="5" t="n">
        <v>1</v>
      </c>
      <c r="I109" s="5" t="n">
        <v>1</v>
      </c>
      <c r="J109" s="5" t="n">
        <v>1</v>
      </c>
      <c r="O109">
        <f>MAX(O110,O111,O112)</f>
        <v/>
      </c>
      <c r="R109">
        <f>R110+R111+R112</f>
        <v/>
      </c>
      <c r="S109">
        <f>(E109/100000+F109/100+(O109/1000)*J109/5+R109/200)*200*I109*H109</f>
        <v/>
      </c>
      <c r="T109">
        <f>((E109*F109/25000)+((O109/1000)*J109*R109/2.5))*I109*H109</f>
        <v/>
      </c>
      <c r="U109">
        <f>(E109*F109*(O109/1000)*J109*R109*I109*H109)/12500000</f>
        <v/>
      </c>
      <c r="V109">
        <f>(S109+T109+U109)/3</f>
        <v/>
      </c>
      <c r="W109" s="5" t="n">
        <v>4000</v>
      </c>
      <c r="X109">
        <f>IFERROR(V109-W109,"")</f>
        <v/>
      </c>
      <c r="Y109">
        <f>IFERROR(ABS(X109)/MAX(W109,1),"")</f>
        <v/>
      </c>
      <c r="Z109">
        <f>IFERROR((W109-(((E109/100000+F109/100+R109/200)*200*I109*H109)+((E109*F109/25000)*I109*H109))/3)/(((J109/5)*200*I109*H109)+((J109*R109/2.5)*I109*H109)+((E109*F109*J109*R109*I109*H109)/12500000))/3*1000,"")</f>
        <v/>
      </c>
    </row>
    <row r="110">
      <c r="B110" s="6" t="inlineStr">
        <is>
          <t xml:space="preserve">  ↳ SteelStalkerRailgun</t>
        </is>
      </c>
      <c r="C110" s="6" t="inlineStr">
        <is>
          <t>Armament</t>
        </is>
      </c>
      <c r="K110" s="5" t="n">
        <v>60000</v>
      </c>
      <c r="L110" s="5" t="n">
        <v>103</v>
      </c>
      <c r="M110" s="5" t="n">
        <v>1</v>
      </c>
      <c r="N110" s="5" t="n"/>
      <c r="O110" s="5" t="n">
        <v>9000</v>
      </c>
      <c r="P110" s="5" t="n">
        <v>1</v>
      </c>
      <c r="Q110">
        <f>L110+IF(M110&gt;1,N(N110)*(M110-1),0)</f>
        <v/>
      </c>
      <c r="R110">
        <f>IFERROR(K110*MAX(M110,1)/Q110*P110,0)</f>
        <v/>
      </c>
      <c r="AA110" s="6" t="inlineStr">
        <is>
          <t>^LaserWeapon, ^RailgunWeapon</t>
        </is>
      </c>
    </row>
    <row r="111">
      <c r="B111" s="6" t="inlineStr">
        <is>
          <t xml:space="preserve">  ↳ SteelStalkerRailgunEMP</t>
        </is>
      </c>
      <c r="C111" s="6" t="inlineStr">
        <is>
          <t>Armament@Upgrade</t>
        </is>
      </c>
      <c r="K111" s="5" t="n">
        <v>40000</v>
      </c>
      <c r="L111" s="5" t="n">
        <v>103</v>
      </c>
      <c r="M111" s="5" t="n">
        <v>1</v>
      </c>
      <c r="N111" s="5" t="n"/>
      <c r="O111" s="5" t="n">
        <v>9000</v>
      </c>
      <c r="P111" s="5" t="n">
        <v>1</v>
      </c>
      <c r="Q111">
        <f>L111+IF(M111&gt;1,N(N111)*(M111-1),0)</f>
        <v/>
      </c>
      <c r="R111">
        <f>IFERROR(K111*MAX(M111,1)/Q111*P111,0)</f>
        <v/>
      </c>
      <c r="AA111" s="6" t="inlineStr">
        <is>
          <t>^TeslaWeapon, ^LaserWeapon, ^RailgunWeapon</t>
        </is>
      </c>
    </row>
    <row r="112">
      <c r="B112" s="6" t="inlineStr">
        <is>
          <t xml:space="preserve">  ↳ SteelStalkerRailgunE</t>
        </is>
      </c>
      <c r="C112" s="6" t="inlineStr">
        <is>
          <t>Armament@elite</t>
        </is>
      </c>
      <c r="K112" s="5" t="n">
        <v>60000</v>
      </c>
      <c r="L112" s="5" t="n">
        <v>103</v>
      </c>
      <c r="M112" s="5" t="n">
        <v>1</v>
      </c>
      <c r="N112" s="5" t="n"/>
      <c r="O112" s="5" t="n">
        <v>10000</v>
      </c>
      <c r="P112" s="5" t="n">
        <v>1</v>
      </c>
      <c r="Q112">
        <f>L112+IF(M112&gt;1,N(N112)*(M112-1),0)</f>
        <v/>
      </c>
      <c r="R112">
        <f>IFERROR(K112*MAX(M112,1)/Q112*P112,0)</f>
        <v/>
      </c>
      <c r="AA112" s="6" t="inlineStr">
        <is>
          <t>^TeslaWeapon, ^LaserWeapon, ^RailgunWeapon</t>
        </is>
      </c>
    </row>
    <row r="113">
      <c r="A113" t="inlineStr">
        <is>
          <t>redalert2mod</t>
        </is>
      </c>
      <c r="B113" t="inlineStr">
        <is>
          <t>steelconsortium_supportshieldgenerator</t>
        </is>
      </c>
      <c r="C113" t="inlineStr">
        <is>
          <t>Support Shield Generator</t>
        </is>
      </c>
      <c r="D113" t="inlineStr"/>
      <c r="E113" s="5" t="n">
        <v>100000</v>
      </c>
      <c r="F113" s="5" t="n">
        <v>75</v>
      </c>
      <c r="G113" t="inlineStr">
        <is>
          <t>Medium</t>
        </is>
      </c>
      <c r="H113" s="5" t="n">
        <v>1</v>
      </c>
      <c r="I113" s="5" t="n">
        <v>1</v>
      </c>
      <c r="J113" s="5" t="n">
        <v>1</v>
      </c>
      <c r="O113">
        <f>MAX(O114)</f>
        <v/>
      </c>
      <c r="R113">
        <f>R114</f>
        <v/>
      </c>
      <c r="S113">
        <f>(E113/100000+F113/100+(O113/1000)*J113/5+R113/200)*200*I113*H113</f>
        <v/>
      </c>
      <c r="T113">
        <f>((E113*F113/25000)+((O113/1000)*J113*R113/2.5))*I113*H113</f>
        <v/>
      </c>
      <c r="U113">
        <f>(E113*F113*(O113/1000)*J113*R113*I113*H113)/12500000</f>
        <v/>
      </c>
      <c r="V113">
        <f>(S113+T113+U113)/3</f>
        <v/>
      </c>
      <c r="W113" s="5" t="n">
        <v>3000</v>
      </c>
      <c r="X113">
        <f>IFERROR(V113-W113,"")</f>
        <v/>
      </c>
      <c r="Y113">
        <f>IFERROR(ABS(X113)/MAX(W113,1),"")</f>
        <v/>
      </c>
      <c r="Z113">
        <f>IFERROR((W113-(((E113/100000+F113/100+R113/200)*200*I113*H113)+((E113*F113/25000)*I113*H113))/3)/(((J113/5)*200*I113*H113)+((J113*R113/2.5)*I113*H113)+((E113*F113*J113*R113*I113*H113)/12500000))/3*1000,"")</f>
        <v/>
      </c>
    </row>
    <row r="114">
      <c r="B114" s="6" t="inlineStr">
        <is>
          <t xml:space="preserve">  ↳ GLStingerTargeting</t>
        </is>
      </c>
      <c r="C114" s="6" t="inlineStr">
        <is>
          <t>Armament</t>
        </is>
      </c>
      <c r="K114" s="5" t="n"/>
      <c r="L114" s="5" t="n">
        <v>25</v>
      </c>
      <c r="M114" s="5" t="n">
        <v>1</v>
      </c>
      <c r="N114" s="5" t="n"/>
      <c r="O114" s="5" t="n">
        <v>15000</v>
      </c>
      <c r="P114" s="5" t="n">
        <v>1</v>
      </c>
      <c r="Q114">
        <f>L114+IF(M114&gt;1,N(N114)*(M114-1),0)</f>
        <v/>
      </c>
      <c r="R114">
        <f>IFERROR(K114*MAX(M114,1)/Q114*P114,0)</f>
        <v/>
      </c>
      <c r="AA114" s="6" t="inlineStr"/>
    </row>
    <row r="115">
      <c r="A115" t="inlineStr">
        <is>
          <t>redalert2mod</t>
        </is>
      </c>
      <c r="B115" t="inlineStr">
        <is>
          <t>steelconsortium_whiterabbit</t>
        </is>
      </c>
      <c r="C115" t="inlineStr">
        <is>
          <t>White Rabbit</t>
        </is>
      </c>
      <c r="D115" t="inlineStr"/>
      <c r="E115" s="5" t="n">
        <v>150000</v>
      </c>
      <c r="F115" s="5" t="n">
        <v>50</v>
      </c>
      <c r="G115" t="inlineStr">
        <is>
          <t>Heroic</t>
        </is>
      </c>
      <c r="H115" s="5" t="n">
        <v>0.75</v>
      </c>
      <c r="I115" s="5" t="n">
        <v>1</v>
      </c>
      <c r="J115" s="5" t="n">
        <v>1.25</v>
      </c>
      <c r="O115">
        <f>MAX(O116)</f>
        <v/>
      </c>
      <c r="R115">
        <f>R116</f>
        <v/>
      </c>
      <c r="S115">
        <f>(E115/100000+F115/100+(O115/1000)*J115/5+R115/200)*200*I115*H115</f>
        <v/>
      </c>
      <c r="T115">
        <f>((E115*F115/25000)+((O115/1000)*J115*R115/2.5))*I115*H115</f>
        <v/>
      </c>
      <c r="U115">
        <f>(E115*F115*(O115/1000)*J115*R115*I115*H115)/12500000</f>
        <v/>
      </c>
      <c r="V115">
        <f>(S115+T115+U115)/3</f>
        <v/>
      </c>
      <c r="W115" s="5" t="n">
        <v>4500</v>
      </c>
      <c r="X115">
        <f>IFERROR(V115-W115,"")</f>
        <v/>
      </c>
      <c r="Y115">
        <f>IFERROR(ABS(X115)/MAX(W115,1),"")</f>
        <v/>
      </c>
      <c r="Z115">
        <f>IFERROR((W115-(((E115/100000+F115/100+R115/200)*200*I115*H115)+((E115*F115/25000)*I115*H115))/3)/(((J115/5)*200*I115*H115)+((J115*R115/2.5)*I115*H115)+((E115*F115*J115*R115*I115*H115)/12500000))/3*1000,"")</f>
        <v/>
      </c>
    </row>
    <row r="116">
      <c r="B116" s="6" t="inlineStr">
        <is>
          <t xml:space="preserve">  ↳ WhiteRabbitGatling</t>
        </is>
      </c>
      <c r="C116" s="6" t="inlineStr">
        <is>
          <t>Armament@1</t>
        </is>
      </c>
      <c r="K116" s="5" t="n">
        <v>4000</v>
      </c>
      <c r="L116" s="5" t="n">
        <v>10</v>
      </c>
      <c r="M116" s="5" t="n">
        <v>1</v>
      </c>
      <c r="N116" s="5" t="n"/>
      <c r="O116" s="5" t="n">
        <v>6000</v>
      </c>
      <c r="P116" s="5" t="n">
        <v>1</v>
      </c>
      <c r="Q116">
        <f>L116+IF(M116&gt;1,N(N116)*(M116-1),0)</f>
        <v/>
      </c>
      <c r="R116">
        <f>IFERROR(K116*MAX(M116,1)/Q116*P116,0)</f>
        <v/>
      </c>
      <c r="AA116" s="6" t="inlineStr">
        <is>
          <t>^HeavyCannon, ^SmallArms, ^MediumMissile, ^FlakWeapon, ^RA2Chaingun</t>
        </is>
      </c>
    </row>
    <row r="117">
      <c r="A117" s="3" t="inlineStr">
        <is>
          <t>AIRCRAFT</t>
        </is>
      </c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>
      <c r="A118" t="inlineStr">
        <is>
          <t>redalert2mod</t>
        </is>
      </c>
      <c r="B118" t="inlineStr">
        <is>
          <t>cruiser_f.steel</t>
        </is>
      </c>
      <c r="C118" t="inlineStr">
        <is>
          <t>Cruiser Fighter</t>
        </is>
      </c>
      <c r="D118" t="inlineStr"/>
      <c r="E118" s="5" t="n">
        <v>37500</v>
      </c>
      <c r="F118" s="5" t="n">
        <v>225</v>
      </c>
      <c r="G118" t="inlineStr">
        <is>
          <t>Bomber</t>
        </is>
      </c>
      <c r="H118" s="5" t="n">
        <v>1</v>
      </c>
      <c r="I118" s="5" t="n">
        <v>1</v>
      </c>
      <c r="J118" s="5" t="n">
        <v>1</v>
      </c>
      <c r="O118">
        <f>MAX(O119,O120)</f>
        <v/>
      </c>
      <c r="R118">
        <f>R119+R120</f>
        <v/>
      </c>
      <c r="S118">
        <f>(E118/100000+F118/100+(O118/1000)*J118/5+R118/200)*200*I118*H118</f>
        <v/>
      </c>
      <c r="T118">
        <f>((E118*F118/25000)+((O118/1000)*J118*R118/2.5))*I118*H118</f>
        <v/>
      </c>
      <c r="U118">
        <f>(E118*F118*(O118/1000)*J118*R118*I118*H118)/12500000</f>
        <v/>
      </c>
      <c r="V118">
        <f>(S118+T118+U118)/3</f>
        <v/>
      </c>
      <c r="W118" s="5" t="n">
        <v>500</v>
      </c>
      <c r="X118">
        <f>IFERROR(V118-W118,"")</f>
        <v/>
      </c>
      <c r="Y118">
        <f>IFERROR(ABS(X118)/MAX(W118,1),"")</f>
        <v/>
      </c>
      <c r="Z118">
        <f>IFERROR((W118-(((E118/100000+F118/100+R118/200)*200*I118*H118)+((E118*F118/25000)*I118*H118))/3)/(((J118/5)*200*I118*H118)+((J118*R118/2.5)*I118*H118)+((E118*F118*J118*R118*I118*H118)/12500000))/3*1000,"")</f>
        <v/>
      </c>
    </row>
    <row r="119">
      <c r="B119" s="6" t="inlineStr">
        <is>
          <t xml:space="preserve">  ↳ SteelFighterRailgun</t>
        </is>
      </c>
      <c r="C119" s="6" t="inlineStr">
        <is>
          <t>Armament@PRIMARY</t>
        </is>
      </c>
      <c r="K119" s="5" t="n">
        <v>2000</v>
      </c>
      <c r="L119" s="5" t="n">
        <v>80</v>
      </c>
      <c r="M119" s="5" t="n">
        <v>2</v>
      </c>
      <c r="N119" s="5" t="n">
        <v>0</v>
      </c>
      <c r="O119" s="5" t="n">
        <v>7000</v>
      </c>
      <c r="P119" s="5" t="n">
        <v>1</v>
      </c>
      <c r="Q119">
        <f>L119+IF(M119&gt;1,N(N119)*(M119-1),0)</f>
        <v/>
      </c>
      <c r="R119">
        <f>IFERROR(K119*MAX(M119,1)/Q119*P119,0)</f>
        <v/>
      </c>
      <c r="AA119" s="6" t="inlineStr">
        <is>
          <t>^LaserWeapon, ^RA2RailgunWeapon, ^SteelMediumCannon, ^TankDestroyerCannon, ^SteelLightMissile</t>
        </is>
      </c>
    </row>
    <row r="120">
      <c r="B120" s="6" t="inlineStr">
        <is>
          <t xml:space="preserve">  ↳ SteelMakoGunEMP</t>
        </is>
      </c>
      <c r="C120" s="6" t="inlineStr">
        <is>
          <t>Armament@Secondary</t>
        </is>
      </c>
      <c r="K120" s="5" t="n">
        <v>2000</v>
      </c>
      <c r="L120" s="5" t="n">
        <v>25</v>
      </c>
      <c r="M120" s="5" t="n">
        <v>1</v>
      </c>
      <c r="N120" s="5" t="n"/>
      <c r="O120" s="5" t="n">
        <v>6050</v>
      </c>
      <c r="P120" s="5" t="n">
        <v>1</v>
      </c>
      <c r="Q120">
        <f>L120+IF(M120&gt;1,N(N120)*(M120-1),0)</f>
        <v/>
      </c>
      <c r="R120">
        <f>IFERROR(K120*MAX(M120,1)/Q120*P120,0)</f>
        <v/>
      </c>
      <c r="AA120" s="6" t="inlineStr">
        <is>
          <t>^LightChemicalWeapon, ^TeslaWeapon, ^MediumFlameWeapon, ^RA2Grenade, ^RA2RailgunWeapon, ^SteelMediumCannon</t>
        </is>
      </c>
    </row>
    <row r="121">
      <c r="A121" t="inlineStr">
        <is>
          <t>redalert2mod</t>
        </is>
      </c>
      <c r="B121" t="inlineStr">
        <is>
          <t>scalpelAA.steel</t>
        </is>
      </c>
      <c r="C121" t="inlineStr">
        <is>
          <t>Anti Air Scalpel</t>
        </is>
      </c>
      <c r="D121" t="inlineStr"/>
      <c r="E121" s="5" t="n">
        <v>10000</v>
      </c>
      <c r="F121" s="5" t="n">
        <v>80</v>
      </c>
      <c r="G121" t="inlineStr">
        <is>
          <t>Fighter</t>
        </is>
      </c>
      <c r="H121" s="5" t="n">
        <v>1</v>
      </c>
      <c r="I121" s="5" t="n">
        <v>1</v>
      </c>
      <c r="J121" s="5" t="n">
        <v>1</v>
      </c>
      <c r="O121">
        <f>MAX(O122,O123)</f>
        <v/>
      </c>
      <c r="R121">
        <f>R122+R123</f>
        <v/>
      </c>
      <c r="S121">
        <f>(E121/100000+F121/100+(O121/1000)*J121/5+R121/200)*200*I121*H121</f>
        <v/>
      </c>
      <c r="T121">
        <f>((E121*F121/25000)+((O121/1000)*J121*R121/2.5))*I121*H121</f>
        <v/>
      </c>
      <c r="U121">
        <f>(E121*F121*(O121/1000)*J121*R121*I121*H121)/12500000</f>
        <v/>
      </c>
      <c r="V121">
        <f>(S121+T121+U121)/3</f>
        <v/>
      </c>
      <c r="W121" s="5" t="n">
        <v>750</v>
      </c>
      <c r="X121">
        <f>IFERROR(V121-W121,"")</f>
        <v/>
      </c>
      <c r="Y121">
        <f>IFERROR(ABS(X121)/MAX(W121,1),"")</f>
        <v/>
      </c>
      <c r="Z121">
        <f>IFERROR((W121-(((E121/100000+F121/100+R121/200)*200*I121*H121)+((E121*F121/25000)*I121*H121))/3)/(((J121/5)*200*I121*H121)+((J121*R121/2.5)*I121*H121)+((E121*F121*J121*R121*I121*H121)/12500000))/3*1000,"")</f>
        <v/>
      </c>
    </row>
    <row r="122">
      <c r="B122" s="6" t="inlineStr">
        <is>
          <t xml:space="preserve">  ↳ SteelScalpelRailgunAA</t>
        </is>
      </c>
      <c r="C122" s="6" t="inlineStr">
        <is>
          <t>Armament@PRIMARY</t>
        </is>
      </c>
      <c r="K122" s="5" t="n">
        <v>4000</v>
      </c>
      <c r="L122" s="5" t="n">
        <v>48</v>
      </c>
      <c r="M122" s="5" t="n">
        <v>4</v>
      </c>
      <c r="N122" s="5" t="n">
        <v>0</v>
      </c>
      <c r="O122" s="5" t="n">
        <v>9000</v>
      </c>
      <c r="P122" s="5" t="n">
        <v>1</v>
      </c>
      <c r="Q122">
        <f>L122+IF(M122&gt;1,N(N122)*(M122-1),0)</f>
        <v/>
      </c>
      <c r="R122">
        <f>IFERROR(K122*MAX(M122,1)/Q122*P122,0)</f>
        <v/>
      </c>
      <c r="AA122" s="6" t="inlineStr">
        <is>
          <t>^RA2RailgunWeapon, ^RA2FlakWeapon, ^SteelChaingun, ^SteelLightMissile</t>
        </is>
      </c>
    </row>
    <row r="123">
      <c r="B123" s="6" t="inlineStr">
        <is>
          <t xml:space="preserve">  ↳ SteelScalpelRailgunEMPAA</t>
        </is>
      </c>
      <c r="C123" s="6" t="inlineStr">
        <is>
          <t>Armament@Upgrade</t>
        </is>
      </c>
      <c r="K123" s="5" t="n">
        <v>2000</v>
      </c>
      <c r="L123" s="5" t="n">
        <v>50</v>
      </c>
      <c r="M123" s="5" t="n">
        <v>4</v>
      </c>
      <c r="N123" s="5" t="n">
        <v>0</v>
      </c>
      <c r="O123" s="5" t="n">
        <v>9000</v>
      </c>
      <c r="P123" s="5" t="n">
        <v>1</v>
      </c>
      <c r="Q123">
        <f>L123+IF(M123&gt;1,N(N123)*(M123-1),0)</f>
        <v/>
      </c>
      <c r="R123">
        <f>IFERROR(K123*MAX(M123,1)/Q123*P123,0)</f>
        <v/>
      </c>
      <c r="AA123" s="6" t="inlineStr">
        <is>
          <t>^Grenade, ^MediumFlameWeapon, ^MediumChemicalWeapon, ^ShrapnelWeapon, ^MediumCannon, ^TeslaWeapon, ^RA2RailgunWeapon, ^RA2FlakWeapon, ^SteelChaingun, ^SteelLightMissile</t>
        </is>
      </c>
    </row>
    <row r="124">
      <c r="A124" t="inlineStr">
        <is>
          <t>redalert2mod</t>
        </is>
      </c>
      <c r="B124" t="inlineStr">
        <is>
          <t>scalpelMG.steel</t>
        </is>
      </c>
      <c r="C124" t="inlineStr">
        <is>
          <t>Scalpel</t>
        </is>
      </c>
      <c r="D124" t="inlineStr"/>
      <c r="E124" s="5" t="n">
        <v>10000</v>
      </c>
      <c r="F124" s="5" t="n">
        <v>80</v>
      </c>
      <c r="G124" t="inlineStr">
        <is>
          <t>Fighter</t>
        </is>
      </c>
      <c r="H124" s="5" t="n">
        <v>1</v>
      </c>
      <c r="I124" s="5" t="n">
        <v>1</v>
      </c>
      <c r="J124" s="5" t="n">
        <v>1</v>
      </c>
      <c r="O124">
        <f>MAX(O125)</f>
        <v/>
      </c>
      <c r="R124">
        <f>R125</f>
        <v/>
      </c>
      <c r="S124">
        <f>(E124/100000+F124/100+(O124/1000)*J124/5+R124/200)*200*I124*H124</f>
        <v/>
      </c>
      <c r="T124">
        <f>((E124*F124/25000)+((O124/1000)*J124*R124/2.5))*I124*H124</f>
        <v/>
      </c>
      <c r="U124">
        <f>(E124*F124*(O124/1000)*J124*R124*I124*H124)/12500000</f>
        <v/>
      </c>
      <c r="V124">
        <f>(S124+T124+U124)/3</f>
        <v/>
      </c>
      <c r="W124" s="5" t="n">
        <v>500</v>
      </c>
      <c r="X124">
        <f>IFERROR(V124-W124,"")</f>
        <v/>
      </c>
      <c r="Y124">
        <f>IFERROR(ABS(X124)/MAX(W124,1),"")</f>
        <v/>
      </c>
      <c r="Z124">
        <f>IFERROR((W124-(((E124/100000+F124/100+R124/200)*200*I124*H124)+((E124*F124/25000)*I124*H124))/3)/(((J124/5)*200*I124*H124)+((J124*R124/2.5)*I124*H124)+((E124*F124*J124*R124*I124*H124)/12500000))/3*1000,"")</f>
        <v/>
      </c>
    </row>
    <row r="125">
      <c r="B125" s="6" t="inlineStr">
        <is>
          <t xml:space="preserve">  ↳ SteelMantaAG</t>
        </is>
      </c>
      <c r="C125" s="6" t="inlineStr">
        <is>
          <t>Armament@PRIMARY</t>
        </is>
      </c>
      <c r="K125" s="5" t="n">
        <v>2000</v>
      </c>
      <c r="L125" s="5" t="n">
        <v>20</v>
      </c>
      <c r="M125" s="5" t="n">
        <v>1</v>
      </c>
      <c r="N125" s="5" t="n"/>
      <c r="O125" s="5" t="n">
        <v>6666</v>
      </c>
      <c r="P125" s="5" t="n">
        <v>1</v>
      </c>
      <c r="Q125">
        <f>L125+IF(M125&gt;1,N(N125)*(M125-1),0)</f>
        <v/>
      </c>
      <c r="R125">
        <f>IFERROR(K125*MAX(M125,1)/Q125*P125,0)</f>
        <v/>
      </c>
      <c r="AA125" s="6" t="inlineStr">
        <is>
          <t>^SteelLightMissile, ^SteelSmallArms, ^RA2FlakWeapon, ^SteelChaingun</t>
        </is>
      </c>
    </row>
    <row r="126">
      <c r="A126" t="inlineStr">
        <is>
          <t>redalert2mod</t>
        </is>
      </c>
      <c r="B126" t="inlineStr">
        <is>
          <t>scalpelQuantumCannon.steel</t>
        </is>
      </c>
      <c r="C126" t="inlineStr">
        <is>
          <t>Quantum Scalpel</t>
        </is>
      </c>
      <c r="D126" t="inlineStr"/>
      <c r="E126" s="5" t="n">
        <v>10000</v>
      </c>
      <c r="F126" s="5" t="n">
        <v>80</v>
      </c>
      <c r="G126" t="inlineStr">
        <is>
          <t>Fighter</t>
        </is>
      </c>
      <c r="H126" s="5" t="n">
        <v>1</v>
      </c>
      <c r="I126" s="5" t="n">
        <v>1</v>
      </c>
      <c r="J126" s="5" t="n">
        <v>1</v>
      </c>
      <c r="O126">
        <f>MAX(O127,O128)</f>
        <v/>
      </c>
      <c r="R126">
        <f>R127+R128</f>
        <v/>
      </c>
      <c r="S126">
        <f>(E126/100000+F126/100+(O126/1000)*J126/5+R126/200)*200*I126*H126</f>
        <v/>
      </c>
      <c r="T126">
        <f>((E126*F126/25000)+((O126/1000)*J126*R126/2.5))*I126*H126</f>
        <v/>
      </c>
      <c r="U126">
        <f>(E126*F126*(O126/1000)*J126*R126*I126*H126)/12500000</f>
        <v/>
      </c>
      <c r="V126">
        <f>(S126+T126+U126)/3</f>
        <v/>
      </c>
      <c r="W126" s="5" t="n">
        <v>1000</v>
      </c>
      <c r="X126">
        <f>IFERROR(V126-W126,"")</f>
        <v/>
      </c>
      <c r="Y126">
        <f>IFERROR(ABS(X126)/MAX(W126,1),"")</f>
        <v/>
      </c>
      <c r="Z126">
        <f>IFERROR((W126-(((E126/100000+F126/100+R126/200)*200*I126*H126)+((E126*F126/25000)*I126*H126))/3)/(((J126/5)*200*I126*H126)+((J126*R126/2.5)*I126*H126)+((E126*F126*J126*R126*I126*H126)/12500000))/3*1000,"")</f>
        <v/>
      </c>
    </row>
    <row r="127">
      <c r="B127" s="6" t="inlineStr">
        <is>
          <t xml:space="preserve">  ↳ SteelQuantumTurretRail</t>
        </is>
      </c>
      <c r="C127" s="6" t="inlineStr">
        <is>
          <t>Armament@PRIMARY</t>
        </is>
      </c>
      <c r="K127" s="5" t="n">
        <v>2000</v>
      </c>
      <c r="L127" s="5" t="n">
        <v>38</v>
      </c>
      <c r="M127" s="5" t="n">
        <v>1</v>
      </c>
      <c r="N127" s="5" t="n"/>
      <c r="O127" s="5" t="n">
        <v>8888</v>
      </c>
      <c r="P127" s="5" t="n">
        <v>1</v>
      </c>
      <c r="Q127">
        <f>L127+IF(M127&gt;1,N(N127)*(M127-1),0)</f>
        <v/>
      </c>
      <c r="R127">
        <f>IFERROR(K127*MAX(M127,1)/Q127*P127,0)</f>
        <v/>
      </c>
      <c r="AA127" s="6" t="inlineStr">
        <is>
          <t>^TeslaWeapon, ^HeavyChemicalWeapon, ^HeavyFlameWeapon, ^LaserWeapon, ^RailgunWeapon, ^SteelHeavyCannon</t>
        </is>
      </c>
    </row>
    <row r="128">
      <c r="B128" s="6" t="inlineStr">
        <is>
          <t xml:space="preserve">  ↳ SteelQuantumTurretRailEMP</t>
        </is>
      </c>
      <c r="C128" s="6" t="inlineStr">
        <is>
          <t>Armament@Upgrade</t>
        </is>
      </c>
      <c r="K128" s="5" t="n">
        <v>2000</v>
      </c>
      <c r="L128" s="5" t="n">
        <v>38</v>
      </c>
      <c r="M128" s="5" t="n">
        <v>1</v>
      </c>
      <c r="N128" s="5" t="n"/>
      <c r="O128" s="5" t="n">
        <v>8888</v>
      </c>
      <c r="P128" s="5" t="n">
        <v>1</v>
      </c>
      <c r="Q128">
        <f>L128+IF(M128&gt;1,N(N128)*(M128-1),0)</f>
        <v/>
      </c>
      <c r="R128">
        <f>IFERROR(K128*MAX(M128,1)/Q128*P128,0)</f>
        <v/>
      </c>
      <c r="AA128" s="6" t="inlineStr">
        <is>
          <t>^TeslaWeapon, ^HeavyChemicalWeapon, ^HeavyFlameWeapon, ^LaserWeapon, ^RailgunWeapon, ^SteelHeavyCannon</t>
        </is>
      </c>
    </row>
    <row r="129">
      <c r="A129" t="inlineStr">
        <is>
          <t>redalert2mod</t>
        </is>
      </c>
      <c r="B129" t="inlineStr">
        <is>
          <t>steelconsortium_cargoship</t>
        </is>
      </c>
      <c r="C129" t="inlineStr">
        <is>
          <t>Cargo Ship</t>
        </is>
      </c>
      <c r="D129" t="inlineStr"/>
      <c r="E129" s="5" t="n">
        <v>125000</v>
      </c>
      <c r="F129" s="5" t="n">
        <v>100</v>
      </c>
      <c r="G129" t="inlineStr">
        <is>
          <t>Helicopter</t>
        </is>
      </c>
      <c r="H129" s="5" t="n">
        <v>1</v>
      </c>
      <c r="I129" s="5" t="n">
        <v>1</v>
      </c>
      <c r="J129" s="5" t="n">
        <v>1</v>
      </c>
      <c r="O129">
        <f>MAX(O130)</f>
        <v/>
      </c>
      <c r="R129">
        <f>R130</f>
        <v/>
      </c>
      <c r="S129">
        <f>(E129/100000+F129/100+(O129/1000)*J129/5+R129/200)*200*I129*H129</f>
        <v/>
      </c>
      <c r="T129">
        <f>((E129*F129/25000)+((O129/1000)*J129*R129/2.5))*I129*H129</f>
        <v/>
      </c>
      <c r="U129">
        <f>(E129*F129*(O129/1000)*J129*R129*I129*H129)/12500000</f>
        <v/>
      </c>
      <c r="V129">
        <f>(S129+T129+U129)/3</f>
        <v/>
      </c>
      <c r="W129" s="5" t="n">
        <v>4000</v>
      </c>
      <c r="X129">
        <f>IFERROR(V129-W129,"")</f>
        <v/>
      </c>
      <c r="Y129">
        <f>IFERROR(ABS(X129)/MAX(W129,1),"")</f>
        <v/>
      </c>
      <c r="Z129">
        <f>IFERROR((W129-(((E129/100000+F129/100+R129/200)*200*I129*H129)+((E129*F129/25000)*I129*H129))/3)/(((J129/5)*200*I129*H129)+((J129*R129/2.5)*I129*H129)+((E129*F129*J129*R129*I129*H129)/12500000))/3*1000,"")</f>
        <v/>
      </c>
    </row>
    <row r="130">
      <c r="B130" s="6" t="inlineStr">
        <is>
          <t xml:space="preserve">  ↳ SteelCargoshipCannons</t>
        </is>
      </c>
      <c r="C130" s="6" t="inlineStr">
        <is>
          <t>Armament@PRIMARY</t>
        </is>
      </c>
      <c r="K130" s="5" t="n">
        <v>2000</v>
      </c>
      <c r="L130" s="5" t="n">
        <v>3</v>
      </c>
      <c r="M130" s="5" t="n">
        <v>1</v>
      </c>
      <c r="N130" s="5" t="n"/>
      <c r="O130" s="5" t="n">
        <v>4750</v>
      </c>
      <c r="P130" s="5" t="n">
        <v>1</v>
      </c>
      <c r="Q130">
        <f>L130+IF(M130&gt;1,N(N130)*(M130-1),0)</f>
        <v/>
      </c>
      <c r="R130">
        <f>IFERROR(K130*MAX(M130,1)/Q130*P130,0)</f>
        <v/>
      </c>
      <c r="AA130" s="6" t="inlineStr">
        <is>
          <t>^SteelSmallArms, ^SteelChaingun</t>
        </is>
      </c>
    </row>
    <row r="131">
      <c r="A131" t="inlineStr">
        <is>
          <t>redalert2mod</t>
        </is>
      </c>
      <c r="B131" t="inlineStr">
        <is>
          <t>steelconsortium_cloudbreaker</t>
        </is>
      </c>
      <c r="C131" t="inlineStr">
        <is>
          <t>Cloud Breaker</t>
        </is>
      </c>
      <c r="D131" t="inlineStr"/>
      <c r="E131" s="5" t="n">
        <v>250000</v>
      </c>
      <c r="F131" s="5" t="n">
        <v>50</v>
      </c>
      <c r="G131" t="inlineStr">
        <is>
          <t>Spaceship</t>
        </is>
      </c>
      <c r="H131" s="5" t="n">
        <v>0.75</v>
      </c>
      <c r="I131" s="5" t="n">
        <v>1</v>
      </c>
      <c r="J131" s="5" t="n">
        <v>1.25</v>
      </c>
      <c r="O131">
        <f>MAX(O132,O133,O134,O135)</f>
        <v/>
      </c>
      <c r="R131">
        <f>R132+R133+R134+R135</f>
        <v/>
      </c>
      <c r="S131">
        <f>(E131/100000+F131/100+(O131/1000)*J131/5+R131/200)*200*I131*H131</f>
        <v/>
      </c>
      <c r="T131">
        <f>((E131*F131/25000)+((O131/1000)*J131*R131/2.5))*I131*H131</f>
        <v/>
      </c>
      <c r="U131">
        <f>(E131*F131*(O131/1000)*J131*R131*I131*H131)/12500000</f>
        <v/>
      </c>
      <c r="V131">
        <f>(S131+T131+U131)/3</f>
        <v/>
      </c>
      <c r="W131" s="5" t="n">
        <v>5000</v>
      </c>
      <c r="X131">
        <f>IFERROR(V131-W131,"")</f>
        <v/>
      </c>
      <c r="Y131">
        <f>IFERROR(ABS(X131)/MAX(W131,1),"")</f>
        <v/>
      </c>
      <c r="Z131">
        <f>IFERROR((W131-(((E131/100000+F131/100+R131/200)*200*I131*H131)+((E131*F131/25000)*I131*H131))/3)/(((J131/5)*200*I131*H131)+((J131*R131/2.5)*I131*H131)+((E131*F131*J131*R131*I131*H131)/12500000))/3*1000,"")</f>
        <v/>
      </c>
    </row>
    <row r="132">
      <c r="B132" s="6" t="inlineStr">
        <is>
          <t xml:space="preserve">  ↳ SteelCruiserCannons</t>
        </is>
      </c>
      <c r="C132" s="6" t="inlineStr">
        <is>
          <t>Armament@PRIMARY</t>
        </is>
      </c>
      <c r="K132" s="5" t="n">
        <v>2000</v>
      </c>
      <c r="L132" s="5" t="n">
        <v>5</v>
      </c>
      <c r="M132" s="5" t="n">
        <v>1</v>
      </c>
      <c r="N132" s="5" t="n"/>
      <c r="O132" s="5" t="n">
        <v>7000</v>
      </c>
      <c r="P132" s="5" t="n">
        <v>1</v>
      </c>
      <c r="Q132">
        <f>L132+IF(M132&gt;1,N(N132)*(M132-1),0)</f>
        <v/>
      </c>
      <c r="R132">
        <f>IFERROR(K132*MAX(M132,1)/Q132*P132,0)</f>
        <v/>
      </c>
      <c r="AA132" s="6" t="inlineStr">
        <is>
          <t>^LightMissile, ^SmallArms, ^FlakWeapon, ^SteelChaingun</t>
        </is>
      </c>
    </row>
    <row r="133">
      <c r="B133" s="6" t="inlineStr">
        <is>
          <t xml:space="preserve">  ↳ SteelCruiserCannonsE</t>
        </is>
      </c>
      <c r="C133" s="6" t="inlineStr">
        <is>
          <t>Armament@PRIMARYELITE</t>
        </is>
      </c>
      <c r="K133" s="5" t="n">
        <v>2000</v>
      </c>
      <c r="L133" s="5" t="n">
        <v>5</v>
      </c>
      <c r="M133" s="5" t="n">
        <v>2</v>
      </c>
      <c r="N133" s="5" t="n">
        <v>1</v>
      </c>
      <c r="O133" s="5" t="n">
        <v>8000</v>
      </c>
      <c r="P133" s="5" t="n">
        <v>1</v>
      </c>
      <c r="Q133">
        <f>L133+IF(M133&gt;1,N(N133)*(M133-1),0)</f>
        <v/>
      </c>
      <c r="R133">
        <f>IFERROR(K133*MAX(M133,1)/Q133*P133,0)</f>
        <v/>
      </c>
      <c r="AA133" s="6" t="inlineStr">
        <is>
          <t>^LightMissile, ^SmallArms, ^FlakWeapon, ^SteelChaingun</t>
        </is>
      </c>
    </row>
    <row r="134">
      <c r="B134" s="6" t="inlineStr">
        <is>
          <t xml:space="preserve">  ↳ SteelCruiserArtillery</t>
        </is>
      </c>
      <c r="C134" s="6" t="inlineStr">
        <is>
          <t>Armament@CANNON</t>
        </is>
      </c>
      <c r="K134" s="5" t="n">
        <v>16000</v>
      </c>
      <c r="L134" s="5" t="n">
        <v>20</v>
      </c>
      <c r="M134" s="5" t="n">
        <v>1</v>
      </c>
      <c r="N134" s="5" t="n"/>
      <c r="O134" s="5" t="n">
        <v>7000</v>
      </c>
      <c r="P134" s="5" t="n">
        <v>1</v>
      </c>
      <c r="Q134">
        <f>L134+IF(M134&gt;1,N(N134)*(M134-1),0)</f>
        <v/>
      </c>
      <c r="R134">
        <f>IFERROR(K134*MAX(M134,1)/Q134*P134,0)</f>
        <v/>
      </c>
      <c r="AA134" s="6" t="inlineStr">
        <is>
          <t>^SteelMediumCannon, ^RA2Grenade</t>
        </is>
      </c>
    </row>
    <row r="135">
      <c r="B135" s="6" t="inlineStr">
        <is>
          <t xml:space="preserve">  ↳ SteelCruiserArtilleryE</t>
        </is>
      </c>
      <c r="C135" s="6" t="inlineStr">
        <is>
          <t>Armament@CANNONELITE</t>
        </is>
      </c>
      <c r="K135" s="5" t="n">
        <v>16000</v>
      </c>
      <c r="L135" s="5" t="n">
        <v>20</v>
      </c>
      <c r="M135" s="5" t="n">
        <v>2</v>
      </c>
      <c r="N135" s="5" t="n">
        <v>3</v>
      </c>
      <c r="O135" s="5" t="n">
        <v>8000</v>
      </c>
      <c r="P135" s="5" t="n">
        <v>1</v>
      </c>
      <c r="Q135">
        <f>L135+IF(M135&gt;1,N(N135)*(M135-1),0)</f>
        <v/>
      </c>
      <c r="R135">
        <f>IFERROR(K135*MAX(M135,1)/Q135*P135,0)</f>
        <v/>
      </c>
      <c r="AA135" s="6" t="inlineStr">
        <is>
          <t>^SteelMediumCannon, ^RA2Grenade</t>
        </is>
      </c>
    </row>
    <row r="136">
      <c r="A136" t="inlineStr">
        <is>
          <t>redalert2mod</t>
        </is>
      </c>
      <c r="B136" t="inlineStr">
        <is>
          <t>steelconsortium_empressstation</t>
        </is>
      </c>
      <c r="C136" t="inlineStr">
        <is>
          <t>Empress Station</t>
        </is>
      </c>
      <c r="D136" t="inlineStr"/>
      <c r="E136" s="5" t="n">
        <v>1500000</v>
      </c>
      <c r="F136" s="5" t="n">
        <v>25</v>
      </c>
      <c r="G136" t="inlineStr">
        <is>
          <t>Spaceship</t>
        </is>
      </c>
      <c r="H136" s="5" t="n">
        <v>0.75</v>
      </c>
      <c r="I136" s="5" t="n">
        <v>1</v>
      </c>
      <c r="J136" s="5" t="n">
        <v>1.25</v>
      </c>
      <c r="O136">
        <f>MAX(O137)</f>
        <v/>
      </c>
      <c r="R136">
        <f>R137</f>
        <v/>
      </c>
      <c r="S136">
        <f>(E136/100000+F136/100+(O136/1000)*J136/5+R136/200)*200*I136*H136</f>
        <v/>
      </c>
      <c r="T136">
        <f>((E136*F136/25000)+((O136/1000)*J136*R136/2.5))*I136*H136</f>
        <v/>
      </c>
      <c r="U136">
        <f>(E136*F136*(O136/1000)*J136*R136*I136*H136)/12500000</f>
        <v/>
      </c>
      <c r="V136">
        <f>(S136+T136+U136)/3</f>
        <v/>
      </c>
      <c r="W136" s="5" t="n">
        <v>5000</v>
      </c>
      <c r="X136">
        <f>IFERROR(V136-W136,"")</f>
        <v/>
      </c>
      <c r="Y136">
        <f>IFERROR(ABS(X136)/MAX(W136,1),"")</f>
        <v/>
      </c>
      <c r="Z136">
        <f>IFERROR((W136-(((E136/100000+F136/100+R136/200)*200*I136*H136)+((E136*F136/25000)*I136*H136))/3)/(((J136/5)*200*I136*H136)+((J136*R136/2.5)*I136*H136)+((E136*F136*J136*R136*I136*H136)/12500000))/3*1000,"")</f>
        <v/>
      </c>
    </row>
    <row r="137">
      <c r="B137" s="6" t="inlineStr">
        <is>
          <t xml:space="preserve">  ↳ SteelInspectorIonCannon</t>
        </is>
      </c>
      <c r="C137" s="6" t="inlineStr">
        <is>
          <t>Armament@PRIMARY</t>
        </is>
      </c>
      <c r="K137" s="5" t="n">
        <v>100000</v>
      </c>
      <c r="L137" s="5" t="n">
        <v>25</v>
      </c>
      <c r="M137" s="5" t="n">
        <v>1</v>
      </c>
      <c r="N137" s="5" t="n"/>
      <c r="O137" s="5" t="n">
        <v>2500</v>
      </c>
      <c r="P137" s="5" t="n">
        <v>1</v>
      </c>
      <c r="Q137">
        <f>L137+IF(M137&gt;1,N(N137)*(M137-1),0)</f>
        <v/>
      </c>
      <c r="R137">
        <f>IFERROR(K137*MAX(M137,1)/Q137*P137,0)</f>
        <v/>
      </c>
      <c r="AA137" s="6" t="inlineStr">
        <is>
          <t>^TeslaChargedWeapon, ^TeslaWeapon</t>
        </is>
      </c>
    </row>
    <row r="138">
      <c r="A138" t="inlineStr">
        <is>
          <t>redalert2mod</t>
        </is>
      </c>
      <c r="B138" t="inlineStr">
        <is>
          <t>steelconsortium_skyhammer</t>
        </is>
      </c>
      <c r="C138" t="inlineStr">
        <is>
          <t>Sky Hammer</t>
        </is>
      </c>
      <c r="D138" t="inlineStr"/>
      <c r="E138" s="5" t="n">
        <v>120000</v>
      </c>
      <c r="F138" s="5" t="n">
        <v>120</v>
      </c>
      <c r="G138" t="inlineStr">
        <is>
          <t>Helicopter</t>
        </is>
      </c>
      <c r="H138" s="5" t="n">
        <v>0.75</v>
      </c>
      <c r="I138" s="5" t="n">
        <v>1</v>
      </c>
      <c r="J138" s="5" t="n">
        <v>1.25</v>
      </c>
      <c r="O138">
        <f>MAX(O139,O140,O141)</f>
        <v/>
      </c>
      <c r="R138">
        <f>R139+R140+R141</f>
        <v/>
      </c>
      <c r="S138">
        <f>(E138/100000+F138/100+(O138/1000)*J138/5+R138/200)*200*I138*H138</f>
        <v/>
      </c>
      <c r="T138">
        <f>((E138*F138/25000)+((O138/1000)*J138*R138/2.5))*I138*H138</f>
        <v/>
      </c>
      <c r="U138">
        <f>(E138*F138*(O138/1000)*J138*R138*I138*H138)/12500000</f>
        <v/>
      </c>
      <c r="V138">
        <f>(S138+T138+U138)/3</f>
        <v/>
      </c>
      <c r="W138" s="5" t="n">
        <v>4500</v>
      </c>
      <c r="X138">
        <f>IFERROR(V138-W138,"")</f>
        <v/>
      </c>
      <c r="Y138">
        <f>IFERROR(ABS(X138)/MAX(W138,1),"")</f>
        <v/>
      </c>
      <c r="Z138">
        <f>IFERROR((W138-(((E138/100000+F138/100+R138/200)*200*I138*H138)+((E138*F138/25000)*I138*H138))/3)/(((J138/5)*200*I138*H138)+((J138*R138/2.5)*I138*H138)+((E138*F138*J138*R138*I138*H138)/12500000))/3*1000,"")</f>
        <v/>
      </c>
    </row>
    <row r="139">
      <c r="B139" s="6" t="inlineStr">
        <is>
          <t xml:space="preserve">  ↳ SteelAirTurret</t>
        </is>
      </c>
      <c r="C139" s="6" t="inlineStr">
        <is>
          <t>Armament@PRIMARY</t>
        </is>
      </c>
      <c r="K139" s="5" t="n">
        <v>24000</v>
      </c>
      <c r="L139" s="5" t="n">
        <v>60</v>
      </c>
      <c r="M139" s="5" t="n">
        <v>1</v>
      </c>
      <c r="N139" s="5" t="n"/>
      <c r="O139" s="5" t="n">
        <v>8000</v>
      </c>
      <c r="P139" s="5" t="n">
        <v>1</v>
      </c>
      <c r="Q139">
        <f>L139+IF(M139&gt;1,N(N139)*(M139-1),0)</f>
        <v/>
      </c>
      <c r="R139">
        <f>IFERROR(K139*MAX(M139,1)/Q139*P139,0)</f>
        <v/>
      </c>
      <c r="AA139" s="6" t="inlineStr">
        <is>
          <t>^LaserWeapon, ^RailgunWeapon</t>
        </is>
      </c>
    </row>
    <row r="140">
      <c r="B140" s="6" t="inlineStr">
        <is>
          <t xml:space="preserve">  ↳ SteelAirTurretEMP</t>
        </is>
      </c>
      <c r="C140" s="6" t="inlineStr">
        <is>
          <t>Armament@Upgrade</t>
        </is>
      </c>
      <c r="K140" s="5" t="n">
        <v>16000</v>
      </c>
      <c r="L140" s="5" t="n">
        <v>60</v>
      </c>
      <c r="M140" s="5" t="n">
        <v>1</v>
      </c>
      <c r="N140" s="5" t="n"/>
      <c r="O140" s="5" t="n">
        <v>8000</v>
      </c>
      <c r="P140" s="5" t="n">
        <v>1</v>
      </c>
      <c r="Q140">
        <f>L140+IF(M140&gt;1,N(N140)*(M140-1),0)</f>
        <v/>
      </c>
      <c r="R140">
        <f>IFERROR(K140*MAX(M140,1)/Q140*P140,0)</f>
        <v/>
      </c>
      <c r="AA140" s="6" t="inlineStr">
        <is>
          <t>^TeslaWeapon, ^LaserWeapon, ^RailgunWeapon</t>
        </is>
      </c>
    </row>
    <row r="141">
      <c r="B141" s="6" t="inlineStr">
        <is>
          <t xml:space="preserve">  ↳ SteelAirTurretE</t>
        </is>
      </c>
      <c r="C141" s="6" t="inlineStr">
        <is>
          <t>Armament@elite</t>
        </is>
      </c>
      <c r="K141" s="5" t="n">
        <v>24000</v>
      </c>
      <c r="L141" s="5" t="n">
        <v>60</v>
      </c>
      <c r="M141" s="5" t="n">
        <v>1</v>
      </c>
      <c r="N141" s="5" t="n"/>
      <c r="O141" s="5" t="n">
        <v>9000</v>
      </c>
      <c r="P141" s="5" t="n">
        <v>1</v>
      </c>
      <c r="Q141">
        <f>L141+IF(M141&gt;1,N(N141)*(M141-1),0)</f>
        <v/>
      </c>
      <c r="R141">
        <f>IFERROR(K141*MAX(M141,1)/Q141*P141,0)</f>
        <v/>
      </c>
      <c r="AA141" s="6" t="inlineStr">
        <is>
          <t>^TeslaWeapon, ^LaserWeapon, ^RailgunWeapon</t>
        </is>
      </c>
    </row>
    <row r="142">
      <c r="A142" t="inlineStr">
        <is>
          <t>redalert2mod</t>
        </is>
      </c>
      <c r="B142" t="inlineStr">
        <is>
          <t>steelconsortium_twister</t>
        </is>
      </c>
      <c r="C142" t="inlineStr">
        <is>
          <t>Twister</t>
        </is>
      </c>
      <c r="D142" t="inlineStr"/>
      <c r="E142" s="5" t="n">
        <v>50000</v>
      </c>
      <c r="F142" s="5" t="n">
        <v>150</v>
      </c>
      <c r="G142" t="inlineStr">
        <is>
          <t>Fighter</t>
        </is>
      </c>
      <c r="H142" s="5" t="n">
        <v>1</v>
      </c>
      <c r="I142" s="5" t="n">
        <v>1</v>
      </c>
      <c r="J142" s="5" t="n">
        <v>1</v>
      </c>
      <c r="O142">
        <f>MAX(O143,O144)</f>
        <v/>
      </c>
      <c r="R142">
        <f>R143+R144</f>
        <v/>
      </c>
      <c r="S142">
        <f>(E142/100000+F142/100+(O142/1000)*J142/5+R142/200)*200*I142*H142</f>
        <v/>
      </c>
      <c r="T142">
        <f>((E142*F142/25000)+((O142/1000)*J142*R142/2.5))*I142*H142</f>
        <v/>
      </c>
      <c r="U142">
        <f>(E142*F142*(O142/1000)*J142*R142*I142*H142)/12500000</f>
        <v/>
      </c>
      <c r="V142">
        <f>(S142+T142+U142)/3</f>
        <v/>
      </c>
      <c r="W142" s="5" t="n">
        <v>1000</v>
      </c>
      <c r="X142">
        <f>IFERROR(V142-W142,"")</f>
        <v/>
      </c>
      <c r="Y142">
        <f>IFERROR(ABS(X142)/MAX(W142,1),"")</f>
        <v/>
      </c>
      <c r="Z142">
        <f>IFERROR((W142-(((E142/100000+F142/100+R142/200)*200*I142*H142)+((E142*F142/25000)*I142*H142))/3)/(((J142/5)*200*I142*H142)+((J142*R142/2.5)*I142*H142)+((E142*F142*J142*R142*I142*H142)/12500000))/3*1000,"")</f>
        <v/>
      </c>
    </row>
    <row r="143">
      <c r="B143" s="6" t="inlineStr">
        <is>
          <t xml:space="preserve">  ↳ SteelTwisterMissiles</t>
        </is>
      </c>
      <c r="C143" s="6" t="inlineStr">
        <is>
          <t>Armament@PRIMARY</t>
        </is>
      </c>
      <c r="K143" s="5" t="n">
        <v>2000</v>
      </c>
      <c r="L143" s="5" t="n">
        <v>105</v>
      </c>
      <c r="M143" s="5" t="n">
        <v>5</v>
      </c>
      <c r="N143" s="5" t="n">
        <v>5</v>
      </c>
      <c r="O143" s="5" t="n">
        <v>5000</v>
      </c>
      <c r="P143" s="5" t="n">
        <v>1</v>
      </c>
      <c r="Q143">
        <f>L143+IF(M143&gt;1,N(N143)*(M143-1),0)</f>
        <v/>
      </c>
      <c r="R143">
        <f>IFERROR(K143*MAX(M143,1)/Q143*P143,0)</f>
        <v/>
      </c>
      <c r="AA143" s="6" t="inlineStr">
        <is>
          <t>^Grenade, ^MediumFlameWeapon, ^FlakWeapon, ^HeavyAAWeapon, ^SteelMediumMissile</t>
        </is>
      </c>
    </row>
    <row r="144">
      <c r="B144" s="6" t="inlineStr">
        <is>
          <t xml:space="preserve">  ↳ SteelTwisterMissilesE</t>
        </is>
      </c>
      <c r="C144" s="6" t="inlineStr">
        <is>
          <t>Armament@PRIMARYELITE</t>
        </is>
      </c>
      <c r="K144" s="5" t="n">
        <v>2000</v>
      </c>
      <c r="L144" s="5" t="n">
        <v>105</v>
      </c>
      <c r="M144" s="5" t="n">
        <v>10</v>
      </c>
      <c r="N144" s="5" t="n">
        <v>5</v>
      </c>
      <c r="O144" s="5" t="n">
        <v>6000</v>
      </c>
      <c r="P144" s="5" t="n">
        <v>1</v>
      </c>
      <c r="Q144">
        <f>L144+IF(M144&gt;1,N(N144)*(M144-1),0)</f>
        <v/>
      </c>
      <c r="R144">
        <f>IFERROR(K144*MAX(M144,1)/Q144*P144,0)</f>
        <v/>
      </c>
      <c r="AA144" s="6" t="inlineStr">
        <is>
          <t>^Grenade, ^MediumFlameWeapon, ^FlakWeapon, ^HeavyAAWeapon, ^SteelMediumMissile</t>
        </is>
      </c>
    </row>
    <row r="145">
      <c r="A145" s="3" t="inlineStr">
        <is>
          <t>BUILDINGS</t>
        </is>
      </c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>
      <c r="A146" t="inlineStr">
        <is>
          <t>redalert2mod</t>
        </is>
      </c>
      <c r="B146" t="inlineStr">
        <is>
          <t>steelconsortium_antiairquantummissileturret</t>
        </is>
      </c>
      <c r="C146" t="inlineStr">
        <is>
          <t>Anti Air Quantum Missile Turret</t>
        </is>
      </c>
      <c r="D146" t="inlineStr"/>
      <c r="E146" s="5" t="n">
        <v>121000</v>
      </c>
      <c r="F146" s="5" t="n"/>
      <c r="G146" t="inlineStr">
        <is>
          <t>Concrete</t>
        </is>
      </c>
      <c r="H146" s="5" t="n">
        <v>1</v>
      </c>
      <c r="I146" s="5" t="n">
        <v>1</v>
      </c>
      <c r="J146" s="5" t="n">
        <v>1</v>
      </c>
      <c r="W146" s="5" t="n">
        <v>1000</v>
      </c>
    </row>
    <row r="147">
      <c r="B147" s="6" t="inlineStr">
        <is>
          <t xml:space="preserve">  ↳ GLStingerTargeting</t>
        </is>
      </c>
      <c r="C147" s="6" t="inlineStr">
        <is>
          <t>Armament@DroneTargeting</t>
        </is>
      </c>
      <c r="K147" s="5" t="n"/>
      <c r="L147" s="5" t="n">
        <v>25</v>
      </c>
      <c r="M147" s="5" t="n">
        <v>1</v>
      </c>
      <c r="N147" s="5" t="n"/>
      <c r="O147" s="5" t="n">
        <v>15000</v>
      </c>
      <c r="P147" s="5" t="n">
        <v>1</v>
      </c>
      <c r="Q147">
        <f>L147+IF(M147&gt;1,N(N147)*(M147-1),0)</f>
        <v/>
      </c>
      <c r="R147">
        <f>IFERROR(K147*MAX(M147,1)/Q147*P147,0)</f>
        <v/>
      </c>
      <c r="AA147" s="6" t="inlineStr"/>
    </row>
    <row r="148">
      <c r="B148" s="6" t="inlineStr">
        <is>
          <t xml:space="preserve">  ↳ ConsortiumMissileSystem</t>
        </is>
      </c>
      <c r="C148" s="6" t="inlineStr">
        <is>
          <t>Armament</t>
        </is>
      </c>
      <c r="K148" s="5" t="n">
        <v>6000</v>
      </c>
      <c r="L148" s="5" t="n">
        <v>60</v>
      </c>
      <c r="M148" s="5" t="n">
        <v>2</v>
      </c>
      <c r="N148" s="5" t="n">
        <v>10</v>
      </c>
      <c r="O148" s="5" t="n">
        <v>12000</v>
      </c>
      <c r="P148" s="5" t="n">
        <v>1</v>
      </c>
      <c r="Q148">
        <f>L148+IF(M148&gt;1,N(N148)*(M148-1),0)</f>
        <v/>
      </c>
      <c r="R148">
        <f>IFERROR(K148*MAX(M148,1)/Q148*P148,0)</f>
        <v/>
      </c>
      <c r="AA148" s="6" t="inlineStr">
        <is>
          <t>^TeslaWeapon, ^ArrowWeapon, ^RA2FlakWeapon, ^SteelMediumMissile</t>
        </is>
      </c>
    </row>
    <row r="149">
      <c r="B149" s="6" t="inlineStr">
        <is>
          <t xml:space="preserve">  ↳ ConsortiumMissileSystemEMP</t>
        </is>
      </c>
      <c r="C149" s="6" t="inlineStr">
        <is>
          <t>Armament@Upgrade</t>
        </is>
      </c>
      <c r="K149" s="5" t="n">
        <v>6000</v>
      </c>
      <c r="L149" s="5" t="n">
        <v>60</v>
      </c>
      <c r="M149" s="5" t="n">
        <v>2</v>
      </c>
      <c r="N149" s="5" t="n">
        <v>10</v>
      </c>
      <c r="O149" s="5" t="n">
        <v>12000</v>
      </c>
      <c r="P149" s="5" t="n">
        <v>1</v>
      </c>
      <c r="Q149">
        <f>L149+IF(M149&gt;1,N(N149)*(M149-1),0)</f>
        <v/>
      </c>
      <c r="R149">
        <f>IFERROR(K149*MAX(M149,1)/Q149*P149,0)</f>
        <v/>
      </c>
      <c r="AA149" s="6" t="inlineStr">
        <is>
          <t>^TeslaWeapon, ^ArrowWeapon, ^RA2FlakWeapon, ^SteelMediumMissile</t>
        </is>
      </c>
    </row>
    <row r="150">
      <c r="A150" t="inlineStr">
        <is>
          <t>redalert2mod</t>
        </is>
      </c>
      <c r="B150" t="inlineStr">
        <is>
          <t>steelconsortium_bfg10000</t>
        </is>
      </c>
      <c r="C150" t="inlineStr">
        <is>
          <t>BFG 10000</t>
        </is>
      </c>
      <c r="D150" t="inlineStr"/>
      <c r="E150" s="5" t="n">
        <v>1000000</v>
      </c>
      <c r="F150" s="5" t="n"/>
      <c r="G150" t="inlineStr">
        <is>
          <t>Steel</t>
        </is>
      </c>
      <c r="H150" s="5" t="n">
        <v>1</v>
      </c>
      <c r="I150" s="5" t="n">
        <v>0.5</v>
      </c>
      <c r="J150" s="5" t="n">
        <v>1</v>
      </c>
      <c r="W150" s="5" t="n">
        <v>10000</v>
      </c>
    </row>
    <row r="151">
      <c r="B151" s="6" t="inlineStr">
        <is>
          <t xml:space="preserve">  ↳ bfg10kCannonDummy</t>
        </is>
      </c>
      <c r="C151" s="6" t="inlineStr">
        <is>
          <t>Armament@Dummy</t>
        </is>
      </c>
      <c r="K151" s="5" t="n"/>
      <c r="L151" s="5" t="n">
        <v>750</v>
      </c>
      <c r="M151" s="5" t="n">
        <v>1</v>
      </c>
      <c r="N151" s="5" t="n"/>
      <c r="O151" s="5" t="n">
        <v>25000</v>
      </c>
      <c r="P151" s="5" t="n">
        <v>1</v>
      </c>
      <c r="Q151">
        <f>L151+IF(M151&gt;1,N(N151)*(M151-1),0)</f>
        <v/>
      </c>
      <c r="R151">
        <f>IFERROR(K151*MAX(M151,1)/Q151*P151,0)</f>
        <v/>
      </c>
      <c r="AA151" s="6" t="inlineStr"/>
    </row>
    <row r="152">
      <c r="B152" s="6" t="inlineStr">
        <is>
          <t xml:space="preserve">  ↳ bfg10kCannon</t>
        </is>
      </c>
      <c r="C152" s="6" t="inlineStr">
        <is>
          <t>Armament@Weapon</t>
        </is>
      </c>
      <c r="K152" s="5" t="n">
        <v>250000</v>
      </c>
      <c r="L152" s="5" t="n">
        <v>750</v>
      </c>
      <c r="M152" s="5" t="n">
        <v>1</v>
      </c>
      <c r="N152" s="5" t="n"/>
      <c r="O152" s="5" t="n">
        <v>25000</v>
      </c>
      <c r="P152" s="5" t="n">
        <v>1</v>
      </c>
      <c r="Q152">
        <f>L152+IF(M152&gt;1,N(N152)*(M152-1),0)</f>
        <v/>
      </c>
      <c r="R152">
        <f>IFERROR(K152*MAX(M152,1)/Q152*P152,0)</f>
        <v/>
      </c>
      <c r="AA152" s="6" t="inlineStr">
        <is>
          <t>^TeslaChargedWeapon, ^MagicWeapon, ^LaserWeapon, ^RailgunWeapon</t>
        </is>
      </c>
    </row>
    <row r="153">
      <c r="B153" s="6" t="inlineStr">
        <is>
          <t xml:space="preserve">  ↳ superbfg10kCannonDummy</t>
        </is>
      </c>
      <c r="C153" s="6" t="inlineStr">
        <is>
          <t>Armament@SuperDummy</t>
        </is>
      </c>
      <c r="K153" s="5" t="n"/>
      <c r="L153" s="5" t="n">
        <v>750</v>
      </c>
      <c r="M153" s="5" t="n">
        <v>1</v>
      </c>
      <c r="N153" s="5" t="n"/>
      <c r="O153" s="5" t="n">
        <v>10238976</v>
      </c>
      <c r="P153" s="5" t="n">
        <v>1</v>
      </c>
      <c r="Q153">
        <f>L153+IF(M153&gt;1,N(N153)*(M153-1),0)</f>
        <v/>
      </c>
      <c r="R153">
        <f>IFERROR(K153*MAX(M153,1)/Q153*P153,0)</f>
        <v/>
      </c>
      <c r="AA153" s="6" t="inlineStr">
        <is>
          <t>bfg10kCannonDummy</t>
        </is>
      </c>
    </row>
    <row r="154">
      <c r="B154" s="6" t="inlineStr">
        <is>
          <t xml:space="preserve">  ↳ superbfg10kCannon</t>
        </is>
      </c>
      <c r="C154" s="6" t="inlineStr">
        <is>
          <t>Armament@SuperWeapon</t>
        </is>
      </c>
      <c r="K154" s="5" t="n">
        <v>250000</v>
      </c>
      <c r="L154" s="5" t="n">
        <v>750</v>
      </c>
      <c r="M154" s="5" t="n">
        <v>1</v>
      </c>
      <c r="N154" s="5" t="n"/>
      <c r="O154" s="5" t="n">
        <v>10238976</v>
      </c>
      <c r="P154" s="5" t="n">
        <v>1</v>
      </c>
      <c r="Q154">
        <f>L154+IF(M154&gt;1,N(N154)*(M154-1),0)</f>
        <v/>
      </c>
      <c r="R154">
        <f>IFERROR(K154*MAX(M154,1)/Q154*P154,0)</f>
        <v/>
      </c>
      <c r="AA154" s="6" t="inlineStr">
        <is>
          <t>^TeslaChargedWeapon, ^MagicWeapon, ^LaserWeapon, ^RailgunWeapon</t>
        </is>
      </c>
    </row>
    <row r="155">
      <c r="A155" t="inlineStr">
        <is>
          <t>redalert2mod</t>
        </is>
      </c>
      <c r="B155" t="inlineStr">
        <is>
          <t>steelconsortium_cloningvats</t>
        </is>
      </c>
      <c r="C155" t="inlineStr">
        <is>
          <t>Cloning Vats</t>
        </is>
      </c>
      <c r="D155" t="inlineStr"/>
      <c r="E155" s="5" t="n">
        <v>110000</v>
      </c>
      <c r="F155" s="5" t="n"/>
      <c r="G155" t="inlineStr">
        <is>
          <t>Wood</t>
        </is>
      </c>
      <c r="H155" s="5" t="n">
        <v>1</v>
      </c>
      <c r="I155" s="5" t="n">
        <v>1</v>
      </c>
      <c r="J155" s="5" t="n">
        <v>1</v>
      </c>
      <c r="W155" s="5" t="n">
        <v>2000</v>
      </c>
    </row>
    <row r="156">
      <c r="A156" t="inlineStr">
        <is>
          <t>redalert2mod</t>
        </is>
      </c>
      <c r="B156" t="inlineStr">
        <is>
          <t>steelconsortium_consortiumairpad</t>
        </is>
      </c>
      <c r="C156" t="inlineStr">
        <is>
          <t>Consortium Airpad</t>
        </is>
      </c>
      <c r="D156" t="inlineStr"/>
      <c r="E156" s="5" t="n">
        <v>300000</v>
      </c>
      <c r="F156" s="5" t="n"/>
      <c r="G156" t="inlineStr">
        <is>
          <t>Wood</t>
        </is>
      </c>
      <c r="H156" s="5" t="n">
        <v>1</v>
      </c>
      <c r="I156" s="5" t="n">
        <v>1</v>
      </c>
      <c r="J156" s="5" t="n">
        <v>1</v>
      </c>
      <c r="W156" s="5" t="n">
        <v>1500</v>
      </c>
    </row>
    <row r="157">
      <c r="A157" t="inlineStr">
        <is>
          <t>redalert2mod</t>
        </is>
      </c>
      <c r="B157" t="inlineStr">
        <is>
          <t>steelconsortium_consortiumbattlelab</t>
        </is>
      </c>
      <c r="C157" t="inlineStr">
        <is>
          <t>Consortium Battle Lab</t>
        </is>
      </c>
      <c r="D157" t="inlineStr"/>
      <c r="E157" s="5" t="n">
        <v>500000</v>
      </c>
      <c r="F157" s="5" t="n"/>
      <c r="G157" t="inlineStr">
        <is>
          <t>Concrete</t>
        </is>
      </c>
      <c r="H157" s="5" t="n">
        <v>1</v>
      </c>
      <c r="I157" s="5" t="n">
        <v>1</v>
      </c>
      <c r="J157" s="5" t="n">
        <v>1</v>
      </c>
      <c r="W157" s="5" t="n">
        <v>5000</v>
      </c>
    </row>
    <row r="158">
      <c r="A158" t="inlineStr">
        <is>
          <t>redalert2mod</t>
        </is>
      </c>
      <c r="B158" t="inlineStr">
        <is>
          <t>steelconsortium_consortiumconstructionyard</t>
        </is>
      </c>
      <c r="C158" t="inlineStr">
        <is>
          <t>Consortium Construction Yard</t>
        </is>
      </c>
      <c r="D158" t="inlineStr"/>
      <c r="E158" s="5" t="n">
        <v>1000000</v>
      </c>
      <c r="F158" s="5" t="n"/>
      <c r="G158" t="inlineStr">
        <is>
          <t>Concrete</t>
        </is>
      </c>
      <c r="H158" s="5" t="n">
        <v>1</v>
      </c>
      <c r="I158" s="5" t="n">
        <v>1</v>
      </c>
      <c r="J158" s="5" t="n">
        <v>1</v>
      </c>
      <c r="W158" s="5" t="n">
        <v>5000</v>
      </c>
    </row>
    <row r="159">
      <c r="A159" t="inlineStr">
        <is>
          <t>redalert2mod</t>
        </is>
      </c>
      <c r="B159" t="inlineStr">
        <is>
          <t>steelconsortium_consortiumpowerplant</t>
        </is>
      </c>
      <c r="C159" t="inlineStr">
        <is>
          <t>Consortium Power Plant</t>
        </is>
      </c>
      <c r="D159" t="inlineStr"/>
      <c r="E159" s="5" t="n">
        <v>250000</v>
      </c>
      <c r="F159" s="5" t="n"/>
      <c r="G159" t="inlineStr">
        <is>
          <t>Wood</t>
        </is>
      </c>
      <c r="H159" s="5" t="n">
        <v>1</v>
      </c>
      <c r="I159" s="5" t="n">
        <v>1</v>
      </c>
      <c r="J159" s="5" t="n">
        <v>1</v>
      </c>
      <c r="W159" s="5" t="n">
        <v>1000</v>
      </c>
    </row>
    <row r="160">
      <c r="A160" t="inlineStr">
        <is>
          <t>redalert2mod</t>
        </is>
      </c>
      <c r="B160" t="inlineStr">
        <is>
          <t>steelconsortium_consortiumradar</t>
        </is>
      </c>
      <c r="C160" t="inlineStr">
        <is>
          <t>Consortium Radar</t>
        </is>
      </c>
      <c r="D160" t="inlineStr"/>
      <c r="E160" s="5" t="n">
        <v>250000</v>
      </c>
      <c r="F160" s="5" t="n"/>
      <c r="G160" t="inlineStr">
        <is>
          <t>Wood</t>
        </is>
      </c>
      <c r="H160" s="5" t="n">
        <v>1</v>
      </c>
      <c r="I160" s="5" t="n">
        <v>1</v>
      </c>
      <c r="J160" s="5" t="n">
        <v>1</v>
      </c>
      <c r="W160" s="5" t="n">
        <v>2500</v>
      </c>
    </row>
    <row r="161">
      <c r="A161" t="inlineStr">
        <is>
          <t>redalert2mod</t>
        </is>
      </c>
      <c r="B161" t="inlineStr">
        <is>
          <t>steelconsortium_consortiumrefinery</t>
        </is>
      </c>
      <c r="C161" t="inlineStr">
        <is>
          <t>Consortium Refinery</t>
        </is>
      </c>
      <c r="D161" t="inlineStr"/>
      <c r="E161" s="5" t="n">
        <v>300000</v>
      </c>
      <c r="F161" s="5" t="n"/>
      <c r="G161" t="inlineStr">
        <is>
          <t>Concrete</t>
        </is>
      </c>
      <c r="H161" s="5" t="n">
        <v>1</v>
      </c>
      <c r="I161" s="5" t="n">
        <v>1</v>
      </c>
      <c r="J161" s="5" t="n">
        <v>1</v>
      </c>
      <c r="W161" s="5" t="n">
        <v>3000</v>
      </c>
    </row>
    <row r="162">
      <c r="A162" t="inlineStr">
        <is>
          <t>redalert2mod</t>
        </is>
      </c>
      <c r="B162" t="inlineStr">
        <is>
          <t>steelconsortium_consortiumsentryturret</t>
        </is>
      </c>
      <c r="C162" t="inlineStr">
        <is>
          <t>Consortium Sentry Turret</t>
        </is>
      </c>
      <c r="D162" t="inlineStr"/>
      <c r="E162" s="5" t="n">
        <v>88000</v>
      </c>
      <c r="F162" s="5" t="n"/>
      <c r="G162" t="inlineStr">
        <is>
          <t>Concrete</t>
        </is>
      </c>
      <c r="H162" s="5" t="n">
        <v>1</v>
      </c>
      <c r="I162" s="5" t="n">
        <v>0.35</v>
      </c>
      <c r="J162" s="5" t="n">
        <v>1</v>
      </c>
      <c r="W162" s="5" t="n">
        <v>700</v>
      </c>
    </row>
    <row r="163">
      <c r="B163" s="6" t="inlineStr">
        <is>
          <t xml:space="preserve">  ↳ GLStingerTargeting</t>
        </is>
      </c>
      <c r="C163" s="6" t="inlineStr">
        <is>
          <t>Armament@DroneTargeting</t>
        </is>
      </c>
      <c r="K163" s="5" t="n"/>
      <c r="L163" s="5" t="n">
        <v>25</v>
      </c>
      <c r="M163" s="5" t="n">
        <v>1</v>
      </c>
      <c r="N163" s="5" t="n"/>
      <c r="O163" s="5" t="n">
        <v>15000</v>
      </c>
      <c r="P163" s="5" t="n">
        <v>1</v>
      </c>
      <c r="Q163">
        <f>L163+IF(M163&gt;1,N(N163)*(M163-1),0)</f>
        <v/>
      </c>
      <c r="R163">
        <f>IFERROR(K163*MAX(M163,1)/Q163*P163,0)</f>
        <v/>
      </c>
      <c r="AA163" s="6" t="inlineStr"/>
    </row>
    <row r="164">
      <c r="B164" s="6" t="inlineStr">
        <is>
          <t xml:space="preserve">  ↳ SteelVulcan</t>
        </is>
      </c>
      <c r="C164" s="6" t="inlineStr">
        <is>
          <t>Armament</t>
        </is>
      </c>
      <c r="K164" s="5" t="n">
        <v>2000</v>
      </c>
      <c r="L164" s="5" t="n">
        <v>10</v>
      </c>
      <c r="M164" s="5" t="n">
        <v>1</v>
      </c>
      <c r="N164" s="5" t="n"/>
      <c r="O164" s="5" t="n">
        <v>6666</v>
      </c>
      <c r="P164" s="5" t="n">
        <v>1</v>
      </c>
      <c r="Q164">
        <f>L164+IF(M164&gt;1,N(N164)*(M164-1),0)</f>
        <v/>
      </c>
      <c r="R164">
        <f>IFERROR(K164*MAX(M164,1)/Q164*P164,0)</f>
        <v/>
      </c>
      <c r="AA164" s="6" t="inlineStr">
        <is>
          <t>^SteelHeavyCannon, ^SteelSmallArms, ^SteelChaingun</t>
        </is>
      </c>
    </row>
    <row r="165">
      <c r="B165" s="6" t="inlineStr">
        <is>
          <t xml:space="preserve">  ↳ SteelVulcanResonance</t>
        </is>
      </c>
      <c r="C165" s="6" t="inlineStr">
        <is>
          <t>Armament@Upgrade</t>
        </is>
      </c>
      <c r="K165" s="5" t="n">
        <v>2000</v>
      </c>
      <c r="L165" s="5" t="n">
        <v>10</v>
      </c>
      <c r="M165" s="5" t="n">
        <v>1</v>
      </c>
      <c r="N165" s="5" t="n"/>
      <c r="O165" s="5" t="n">
        <v>6666</v>
      </c>
      <c r="P165" s="5" t="n">
        <v>1</v>
      </c>
      <c r="Q165">
        <f>L165+IF(M165&gt;1,N(N165)*(M165-1),0)</f>
        <v/>
      </c>
      <c r="R165">
        <f>IFERROR(K165*MAX(M165,1)/Q165*P165,0)</f>
        <v/>
      </c>
      <c r="AA165" s="6" t="inlineStr">
        <is>
          <t>^SteelHeavyCannon, ^SteelSmallArms, ^SteelChaingun</t>
        </is>
      </c>
    </row>
    <row r="166">
      <c r="A166" t="inlineStr">
        <is>
          <t>redalert2mod</t>
        </is>
      </c>
      <c r="B166" t="inlineStr">
        <is>
          <t>steelconsortium_consortiumwarfactory</t>
        </is>
      </c>
      <c r="C166" t="inlineStr">
        <is>
          <t>Consortium War Factory</t>
        </is>
      </c>
      <c r="D166" t="inlineStr"/>
      <c r="E166" s="5" t="n">
        <v>400000</v>
      </c>
      <c r="F166" s="5" t="n"/>
      <c r="G166" t="inlineStr">
        <is>
          <t>Concrete</t>
        </is>
      </c>
      <c r="H166" s="5" t="n">
        <v>1</v>
      </c>
      <c r="I166" s="5" t="n">
        <v>1</v>
      </c>
      <c r="J166" s="5" t="n">
        <v>1</v>
      </c>
      <c r="W166" s="5" t="n">
        <v>2000</v>
      </c>
    </row>
    <row r="167">
      <c r="A167" t="inlineStr">
        <is>
          <t>redalert2mod</t>
        </is>
      </c>
      <c r="B167" t="inlineStr">
        <is>
          <t>steelconsortium_geothermalreactor</t>
        </is>
      </c>
      <c r="C167" t="inlineStr">
        <is>
          <t>Geothermal Reactor</t>
        </is>
      </c>
      <c r="D167" t="inlineStr"/>
      <c r="E167" s="5" t="n">
        <v>750000</v>
      </c>
      <c r="F167" s="5" t="n"/>
      <c r="G167" t="inlineStr">
        <is>
          <t>Concrete</t>
        </is>
      </c>
      <c r="H167" s="5" t="n">
        <v>1</v>
      </c>
      <c r="I167" s="5" t="n">
        <v>1</v>
      </c>
      <c r="J167" s="5" t="n">
        <v>1</v>
      </c>
      <c r="W167" s="5" t="n">
        <v>7500</v>
      </c>
    </row>
    <row r="168">
      <c r="A168" t="inlineStr">
        <is>
          <t>redalert2mod</t>
        </is>
      </c>
      <c r="B168" t="inlineStr">
        <is>
          <t>steelconsortium_orbitalcannonactivator</t>
        </is>
      </c>
      <c r="C168" t="inlineStr">
        <is>
          <t>Orbital Cannon Activator</t>
        </is>
      </c>
      <c r="D168" t="inlineStr"/>
      <c r="E168" s="5" t="n">
        <v>1000000</v>
      </c>
      <c r="F168" s="5" t="n"/>
      <c r="G168" t="inlineStr">
        <is>
          <t>Concrete</t>
        </is>
      </c>
      <c r="H168" s="5" t="n">
        <v>1</v>
      </c>
      <c r="I168" s="5" t="n">
        <v>1</v>
      </c>
      <c r="J168" s="5" t="n">
        <v>1</v>
      </c>
      <c r="W168" s="5" t="n">
        <v>10000</v>
      </c>
    </row>
    <row r="169">
      <c r="A169" t="inlineStr">
        <is>
          <t>redalert2mod</t>
        </is>
      </c>
      <c r="B169" t="inlineStr">
        <is>
          <t>steelconsortium_quantumcannon</t>
        </is>
      </c>
      <c r="C169" t="inlineStr">
        <is>
          <t>Quantum Cannon</t>
        </is>
      </c>
      <c r="D169" t="inlineStr"/>
      <c r="E169" s="5" t="n">
        <v>230000</v>
      </c>
      <c r="F169" s="5" t="n"/>
      <c r="G169" t="inlineStr">
        <is>
          <t>Steel</t>
        </is>
      </c>
      <c r="H169" s="5" t="n">
        <v>1</v>
      </c>
      <c r="I169" s="5" t="n">
        <v>1</v>
      </c>
      <c r="J169" s="5" t="n">
        <v>1</v>
      </c>
      <c r="W169" s="5" t="n">
        <v>2000</v>
      </c>
    </row>
    <row r="170">
      <c r="B170" s="6" t="inlineStr">
        <is>
          <t xml:space="preserve">  ↳ GLStingerTargeting</t>
        </is>
      </c>
      <c r="C170" s="6" t="inlineStr">
        <is>
          <t>Armament@DroneTargeting</t>
        </is>
      </c>
      <c r="K170" s="5" t="n"/>
      <c r="L170" s="5" t="n">
        <v>25</v>
      </c>
      <c r="M170" s="5" t="n">
        <v>1</v>
      </c>
      <c r="N170" s="5" t="n"/>
      <c r="O170" s="5" t="n">
        <v>15000</v>
      </c>
      <c r="P170" s="5" t="n">
        <v>1</v>
      </c>
      <c r="Q170">
        <f>L170+IF(M170&gt;1,N(N170)*(M170-1),0)</f>
        <v/>
      </c>
      <c r="R170">
        <f>IFERROR(K170*MAX(M170,1)/Q170*P170,0)</f>
        <v/>
      </c>
      <c r="AA170" s="6" t="inlineStr"/>
    </row>
    <row r="171">
      <c r="B171" s="6" t="inlineStr">
        <is>
          <t xml:space="preserve">  ↳ SteelQuantumTurretRail</t>
        </is>
      </c>
      <c r="C171" s="6" t="inlineStr">
        <is>
          <t>Armament@1</t>
        </is>
      </c>
      <c r="K171" s="5" t="n">
        <v>2000</v>
      </c>
      <c r="L171" s="5" t="n">
        <v>38</v>
      </c>
      <c r="M171" s="5" t="n">
        <v>1</v>
      </c>
      <c r="N171" s="5" t="n"/>
      <c r="O171" s="5" t="n">
        <v>8888</v>
      </c>
      <c r="P171" s="5" t="n">
        <v>1</v>
      </c>
      <c r="Q171">
        <f>L171+IF(M171&gt;1,N(N171)*(M171-1),0)</f>
        <v/>
      </c>
      <c r="R171">
        <f>IFERROR(K171*MAX(M171,1)/Q171*P171,0)</f>
        <v/>
      </c>
      <c r="AA171" s="6" t="inlineStr">
        <is>
          <t>^TeslaWeapon, ^HeavyChemicalWeapon, ^HeavyFlameWeapon, ^LaserWeapon, ^RailgunWeapon, ^SteelHeavyCannon</t>
        </is>
      </c>
    </row>
    <row r="172">
      <c r="B172" s="6" t="inlineStr">
        <is>
          <t xml:space="preserve">  ↳ SteelQuantumTurretRail</t>
        </is>
      </c>
      <c r="C172" s="6" t="inlineStr">
        <is>
          <t>Armament@2</t>
        </is>
      </c>
      <c r="K172" s="5" t="n">
        <v>2000</v>
      </c>
      <c r="L172" s="5" t="n">
        <v>38</v>
      </c>
      <c r="M172" s="5" t="n">
        <v>1</v>
      </c>
      <c r="N172" s="5" t="n"/>
      <c r="O172" s="5" t="n">
        <v>8888</v>
      </c>
      <c r="P172" s="5" t="n">
        <v>1</v>
      </c>
      <c r="Q172">
        <f>L172+IF(M172&gt;1,N(N172)*(M172-1),0)</f>
        <v/>
      </c>
      <c r="R172">
        <f>IFERROR(K172*MAX(M172,1)/Q172*P172,0)</f>
        <v/>
      </c>
      <c r="AA172" s="6" t="inlineStr">
        <is>
          <t>^TeslaWeapon, ^HeavyChemicalWeapon, ^HeavyFlameWeapon, ^LaserWeapon, ^RailgunWeapon, ^SteelHeavyCannon</t>
        </is>
      </c>
    </row>
    <row r="173">
      <c r="B173" s="6" t="inlineStr">
        <is>
          <t xml:space="preserve">  ↳ SteelQuantumTurretRailEMP</t>
        </is>
      </c>
      <c r="C173" s="6" t="inlineStr">
        <is>
          <t>Armament@Upgrade1</t>
        </is>
      </c>
      <c r="K173" s="5" t="n">
        <v>2000</v>
      </c>
      <c r="L173" s="5" t="n">
        <v>38</v>
      </c>
      <c r="M173" s="5" t="n">
        <v>1</v>
      </c>
      <c r="N173" s="5" t="n"/>
      <c r="O173" s="5" t="n">
        <v>8888</v>
      </c>
      <c r="P173" s="5" t="n">
        <v>1</v>
      </c>
      <c r="Q173">
        <f>L173+IF(M173&gt;1,N(N173)*(M173-1),0)</f>
        <v/>
      </c>
      <c r="R173">
        <f>IFERROR(K173*MAX(M173,1)/Q173*P173,0)</f>
        <v/>
      </c>
      <c r="AA173" s="6" t="inlineStr">
        <is>
          <t>^TeslaWeapon, ^HeavyChemicalWeapon, ^HeavyFlameWeapon, ^LaserWeapon, ^RailgunWeapon, ^SteelHeavyCannon</t>
        </is>
      </c>
    </row>
    <row r="174">
      <c r="B174" s="6" t="inlineStr">
        <is>
          <t xml:space="preserve">  ↳ SteelQuantumTurretRailEMP</t>
        </is>
      </c>
      <c r="C174" s="6" t="inlineStr">
        <is>
          <t>Armament@Upgrade2</t>
        </is>
      </c>
      <c r="K174" s="5" t="n">
        <v>2000</v>
      </c>
      <c r="L174" s="5" t="n">
        <v>38</v>
      </c>
      <c r="M174" s="5" t="n">
        <v>1</v>
      </c>
      <c r="N174" s="5" t="n"/>
      <c r="O174" s="5" t="n">
        <v>8888</v>
      </c>
      <c r="P174" s="5" t="n">
        <v>1</v>
      </c>
      <c r="Q174">
        <f>L174+IF(M174&gt;1,N(N174)*(M174-1),0)</f>
        <v/>
      </c>
      <c r="R174">
        <f>IFERROR(K174*MAX(M174,1)/Q174*P174,0)</f>
        <v/>
      </c>
      <c r="AA174" s="6" t="inlineStr">
        <is>
          <t>^TeslaWeapon, ^HeavyChemicalWeapon, ^HeavyFlameWeapon, ^LaserWeapon, ^RailgunWeapon, ^SteelHeavyCannon</t>
        </is>
      </c>
    </row>
    <row r="175">
      <c r="A175" t="inlineStr">
        <is>
          <t>redalert2mod</t>
        </is>
      </c>
      <c r="B175" t="inlineStr">
        <is>
          <t>steelconsortium_steelbarracks</t>
        </is>
      </c>
      <c r="C175" t="inlineStr">
        <is>
          <t>Steel Barracks</t>
        </is>
      </c>
      <c r="D175" t="inlineStr"/>
      <c r="E175" s="5" t="n">
        <v>200000</v>
      </c>
      <c r="F175" s="5" t="n"/>
      <c r="G175" t="inlineStr">
        <is>
          <t>Wood</t>
        </is>
      </c>
      <c r="H175" s="5" t="n">
        <v>1</v>
      </c>
      <c r="I175" s="5" t="n">
        <v>1</v>
      </c>
      <c r="J175" s="5" t="n">
        <v>1</v>
      </c>
      <c r="W175" s="5" t="n">
        <v>1000</v>
      </c>
    </row>
    <row r="176">
      <c r="A176" s="3" t="inlineStr">
        <is>
          <t>UPGRADES</t>
        </is>
      </c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>
      <c r="A177" t="inlineStr">
        <is>
          <t>redalert2mod</t>
        </is>
      </c>
      <c r="B177" t="inlineStr">
        <is>
          <t>qacst_infiltrated.steel</t>
        </is>
      </c>
      <c r="C177" t="inlineStr">
        <is>
          <t>Stolen Consortium Buildings Plans</t>
        </is>
      </c>
      <c r="D177" t="inlineStr"/>
      <c r="E177" s="5" t="n"/>
      <c r="F177" s="5" t="n"/>
      <c r="H177" s="5" t="n">
        <v>1</v>
      </c>
      <c r="I177" s="5" t="n">
        <v>1</v>
      </c>
      <c r="J177" s="5" t="n">
        <v>1</v>
      </c>
      <c r="W177" s="5" t="n"/>
    </row>
    <row r="178">
      <c r="A178" t="inlineStr">
        <is>
          <t>redalert2mod</t>
        </is>
      </c>
      <c r="B178" t="inlineStr">
        <is>
          <t>steelconsortium_upgrade_ferrocretecurtain</t>
        </is>
      </c>
      <c r="C178" t="inlineStr">
        <is>
          <t>Ferrocrete Curtain</t>
        </is>
      </c>
      <c r="D178" t="inlineStr"/>
      <c r="E178" s="5" t="n"/>
      <c r="F178" s="5" t="n"/>
      <c r="H178" s="5" t="n">
        <v>1</v>
      </c>
      <c r="I178" s="5" t="n">
        <v>1</v>
      </c>
      <c r="J178" s="5" t="n">
        <v>1</v>
      </c>
      <c r="W178" s="5" t="n">
        <v>5000</v>
      </c>
    </row>
    <row r="179">
      <c r="A179" t="inlineStr">
        <is>
          <t>redalert2mod</t>
        </is>
      </c>
      <c r="B179" t="inlineStr">
        <is>
          <t>steelconsortium_upgrade_naniteinfusion</t>
        </is>
      </c>
      <c r="C179" t="inlineStr">
        <is>
          <t>Nanite Infusion</t>
        </is>
      </c>
      <c r="D179" t="inlineStr"/>
      <c r="E179" s="5" t="n"/>
      <c r="F179" s="5" t="n"/>
      <c r="H179" s="5" t="n">
        <v>1</v>
      </c>
      <c r="I179" s="5" t="n">
        <v>1</v>
      </c>
      <c r="J179" s="5" t="n">
        <v>1</v>
      </c>
      <c r="W179" s="5" t="n">
        <v>5000</v>
      </c>
    </row>
    <row r="180">
      <c r="A180" t="inlineStr">
        <is>
          <t>redalert2mod</t>
        </is>
      </c>
      <c r="B180" t="inlineStr">
        <is>
          <t>steelconsortium_upgrade_pulseweapons</t>
        </is>
      </c>
      <c r="C180" t="inlineStr">
        <is>
          <t>Pulse Weapons</t>
        </is>
      </c>
      <c r="D180" t="inlineStr"/>
      <c r="E180" s="5" t="n"/>
      <c r="F180" s="5" t="n"/>
      <c r="H180" s="5" t="n">
        <v>1</v>
      </c>
      <c r="I180" s="5" t="n">
        <v>1</v>
      </c>
      <c r="J180" s="5" t="n">
        <v>1</v>
      </c>
      <c r="W180" s="5" t="n">
        <v>5000</v>
      </c>
    </row>
    <row r="181">
      <c r="A181" t="inlineStr">
        <is>
          <t>redalert2mod</t>
        </is>
      </c>
      <c r="B181" t="inlineStr">
        <is>
          <t>steelconsortium_upgrade_quantumweaponpower</t>
        </is>
      </c>
      <c r="C181" t="inlineStr">
        <is>
          <t>Quantum Weapon Power</t>
        </is>
      </c>
      <c r="D181" t="inlineStr"/>
      <c r="E181" s="5" t="n"/>
      <c r="F181" s="5" t="n"/>
      <c r="H181" s="5" t="n">
        <v>1</v>
      </c>
      <c r="I181" s="5" t="n">
        <v>1</v>
      </c>
      <c r="J181" s="5" t="n">
        <v>1</v>
      </c>
      <c r="W181" s="5" t="n">
        <v>10000</v>
      </c>
    </row>
    <row r="182">
      <c r="A182" t="inlineStr">
        <is>
          <t>redalert2mod</t>
        </is>
      </c>
      <c r="B182" t="inlineStr">
        <is>
          <t>steelconsortium_upgrade_resonanceammo</t>
        </is>
      </c>
      <c r="C182" t="inlineStr">
        <is>
          <t>Resonance Ammo</t>
        </is>
      </c>
      <c r="D182" t="inlineStr"/>
      <c r="E182" s="5" t="n"/>
      <c r="F182" s="5" t="n"/>
      <c r="H182" s="5" t="n">
        <v>1</v>
      </c>
      <c r="I182" s="5" t="n">
        <v>1</v>
      </c>
      <c r="J182" s="5" t="n">
        <v>1</v>
      </c>
      <c r="W182" s="5" t="n">
        <v>7500</v>
      </c>
    </row>
    <row r="183">
      <c r="A183" t="inlineStr">
        <is>
          <t>redalert2mod</t>
        </is>
      </c>
      <c r="B183" t="inlineStr">
        <is>
          <t>steelconsortium_upgrade_scalpeldefenders</t>
        </is>
      </c>
      <c r="C183" t="inlineStr">
        <is>
          <t>Scalpel Defenders</t>
        </is>
      </c>
      <c r="D183" t="inlineStr"/>
      <c r="E183" s="5" t="n"/>
      <c r="F183" s="5" t="n"/>
      <c r="H183" s="5" t="n">
        <v>1</v>
      </c>
      <c r="I183" s="5" t="n">
        <v>1</v>
      </c>
      <c r="J183" s="5" t="n">
        <v>1</v>
      </c>
      <c r="W183" s="5" t="n">
        <v>7500</v>
      </c>
    </row>
    <row r="184">
      <c r="A184" t="inlineStr">
        <is>
          <t>redalert2mod</t>
        </is>
      </c>
      <c r="B184" t="inlineStr">
        <is>
          <t>steelconsortium_upgrade_shieldresistance</t>
        </is>
      </c>
      <c r="C184" t="inlineStr">
        <is>
          <t>Shield Resistance</t>
        </is>
      </c>
      <c r="D184" t="inlineStr"/>
      <c r="E184" s="5" t="n"/>
      <c r="F184" s="5" t="n"/>
      <c r="H184" s="5" t="n">
        <v>1</v>
      </c>
      <c r="I184" s="5" t="n">
        <v>1</v>
      </c>
      <c r="J184" s="5" t="n">
        <v>1</v>
      </c>
      <c r="W184" s="5" t="n">
        <v>12500</v>
      </c>
    </row>
    <row r="185">
      <c r="A185" t="inlineStr">
        <is>
          <t>redalert2mod</t>
        </is>
      </c>
      <c r="B185" t="inlineStr">
        <is>
          <t>steelconsortium_upgrade_unlockempcannon</t>
        </is>
      </c>
      <c r="C185" t="inlineStr">
        <is>
          <t>Unlock Emp Cannon</t>
        </is>
      </c>
      <c r="D185" t="inlineStr"/>
      <c r="E185" s="5" t="n"/>
      <c r="F185" s="5" t="n"/>
      <c r="H185" s="5" t="n">
        <v>1</v>
      </c>
      <c r="I185" s="5" t="n">
        <v>1</v>
      </c>
      <c r="J185" s="5" t="n">
        <v>1</v>
      </c>
      <c r="W185" s="5" t="n">
        <v>7500</v>
      </c>
    </row>
    <row r="186">
      <c r="A186" t="inlineStr">
        <is>
          <t>redalert2mod</t>
        </is>
      </c>
      <c r="B186" t="inlineStr">
        <is>
          <t>up_team_shielresistance.steel</t>
        </is>
      </c>
      <c r="C186" t="inlineStr">
        <is>
          <t>Shield Resistance</t>
        </is>
      </c>
      <c r="D186" t="inlineStr"/>
      <c r="E186" s="5" t="n"/>
      <c r="F186" s="5" t="n"/>
      <c r="H186" s="5" t="n">
        <v>1</v>
      </c>
      <c r="I186" s="5" t="n">
        <v>1</v>
      </c>
      <c r="J186" s="5" t="n">
        <v>1</v>
      </c>
      <c r="W186" s="5" t="n"/>
    </row>
    <row r="187">
      <c r="A187" s="3" t="inlineStr">
        <is>
          <t>PROMOTIONS</t>
        </is>
      </c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>
      <c r="A188" t="inlineStr">
        <is>
          <t>redalert2mod</t>
        </is>
      </c>
      <c r="B188" t="inlineStr">
        <is>
          <t>steelconsortium_promotion_daggerartillery</t>
        </is>
      </c>
      <c r="C188" t="inlineStr">
        <is>
          <t>Dagger Artillery</t>
        </is>
      </c>
      <c r="D188" t="inlineStr"/>
      <c r="E188" s="5" t="n"/>
      <c r="F188" s="5" t="n"/>
      <c r="H188" s="5" t="n">
        <v>1</v>
      </c>
      <c r="I188" s="5" t="n">
        <v>1</v>
      </c>
      <c r="J188" s="5" t="n">
        <v>1</v>
      </c>
      <c r="W188" s="5" t="n"/>
    </row>
    <row r="189">
      <c r="A189" t="inlineStr">
        <is>
          <t>redalert2mod</t>
        </is>
      </c>
      <c r="B189" t="inlineStr">
        <is>
          <t>steelconsortium_promotion_katytank</t>
        </is>
      </c>
      <c r="C189" t="inlineStr">
        <is>
          <t>Katy Tank</t>
        </is>
      </c>
      <c r="D189" t="inlineStr"/>
      <c r="E189" s="5" t="n"/>
      <c r="F189" s="5" t="n"/>
      <c r="H189" s="5" t="n">
        <v>1</v>
      </c>
      <c r="I189" s="5" t="n">
        <v>1</v>
      </c>
      <c r="J189" s="5" t="n">
        <v>1</v>
      </c>
      <c r="W189" s="5" t="n"/>
    </row>
    <row r="190">
      <c r="A190" t="inlineStr">
        <is>
          <t>redalert2mod</t>
        </is>
      </c>
      <c r="B190" t="inlineStr">
        <is>
          <t>steelconsortium_promotion_quantumtank</t>
        </is>
      </c>
      <c r="C190" t="inlineStr">
        <is>
          <t>Quantum Tank</t>
        </is>
      </c>
      <c r="D190" t="inlineStr"/>
      <c r="E190" s="5" t="n"/>
      <c r="F190" s="5" t="n"/>
      <c r="H190" s="5" t="n">
        <v>1</v>
      </c>
      <c r="I190" s="5" t="n">
        <v>1</v>
      </c>
      <c r="J190" s="5" t="n">
        <v>1</v>
      </c>
      <c r="W190" s="5" t="n"/>
    </row>
    <row r="191">
      <c r="A191" t="inlineStr">
        <is>
          <t>redalert2mod</t>
        </is>
      </c>
      <c r="B191" t="inlineStr">
        <is>
          <t>steelconsortium_promotion_unlockbarracuda</t>
        </is>
      </c>
      <c r="C191" t="inlineStr">
        <is>
          <t>Unlock Barracuda</t>
        </is>
      </c>
      <c r="D191" t="inlineStr"/>
      <c r="E191" s="5" t="n"/>
      <c r="F191" s="5" t="n"/>
      <c r="H191" s="5" t="n">
        <v>1</v>
      </c>
      <c r="I191" s="5" t="n">
        <v>1</v>
      </c>
      <c r="J191" s="5" t="n">
        <v>1</v>
      </c>
      <c r="W191" s="5" t="n"/>
    </row>
    <row r="192">
      <c r="A192" t="inlineStr">
        <is>
          <t>redalert2mod</t>
        </is>
      </c>
      <c r="B192" t="inlineStr">
        <is>
          <t>steelconsortium_promotion_unlockcloudbreaker</t>
        </is>
      </c>
      <c r="C192" t="inlineStr">
        <is>
          <t>Unlock Cloud Breaker</t>
        </is>
      </c>
      <c r="D192" t="inlineStr"/>
      <c r="E192" s="5" t="n"/>
      <c r="F192" s="5" t="n"/>
      <c r="H192" s="5" t="n">
        <v>1</v>
      </c>
      <c r="I192" s="5" t="n">
        <v>1</v>
      </c>
      <c r="J192" s="5" t="n">
        <v>1</v>
      </c>
      <c r="W192" s="5" t="n"/>
    </row>
    <row r="193">
      <c r="A193" t="inlineStr">
        <is>
          <t>redalert2mod</t>
        </is>
      </c>
      <c r="B193" t="inlineStr">
        <is>
          <t>steelconsortium_promotion_unlockdefenderbot</t>
        </is>
      </c>
      <c r="C193" t="inlineStr">
        <is>
          <t>Unlock Defender Bot</t>
        </is>
      </c>
      <c r="D193" t="inlineStr"/>
      <c r="E193" s="5" t="n"/>
      <c r="F193" s="5" t="n"/>
      <c r="H193" s="5" t="n">
        <v>1</v>
      </c>
      <c r="I193" s="5" t="n">
        <v>1</v>
      </c>
      <c r="J193" s="5" t="n">
        <v>1</v>
      </c>
      <c r="W193" s="5" t="n"/>
    </row>
    <row r="194">
      <c r="A194" t="inlineStr">
        <is>
          <t>redalert2mod</t>
        </is>
      </c>
      <c r="B194" t="inlineStr">
        <is>
          <t>steelconsortium_promotion_unlockstalker</t>
        </is>
      </c>
      <c r="C194" t="inlineStr">
        <is>
          <t>Unlock Stalker</t>
        </is>
      </c>
      <c r="D194" t="inlineStr"/>
      <c r="E194" s="5" t="n"/>
      <c r="F194" s="5" t="n"/>
      <c r="H194" s="5" t="n">
        <v>1</v>
      </c>
      <c r="I194" s="5" t="n">
        <v>1</v>
      </c>
      <c r="J194" s="5" t="n">
        <v>1</v>
      </c>
      <c r="W194" s="5" t="n"/>
    </row>
    <row r="195">
      <c r="A195" t="inlineStr">
        <is>
          <t>redalert2mod</t>
        </is>
      </c>
      <c r="B195" t="inlineStr">
        <is>
          <t>steelconsortium_promotion_unlocksupportlvl1</t>
        </is>
      </c>
      <c r="C195" t="inlineStr">
        <is>
          <t>Unlock Support LVL1</t>
        </is>
      </c>
      <c r="D195" t="inlineStr"/>
      <c r="E195" s="5" t="n"/>
      <c r="F195" s="5" t="n"/>
      <c r="H195" s="5" t="n">
        <v>1</v>
      </c>
      <c r="I195" s="5" t="n">
        <v>1</v>
      </c>
      <c r="J195" s="5" t="n">
        <v>1</v>
      </c>
      <c r="W195" s="5" t="n"/>
    </row>
    <row r="196">
      <c r="A196" t="inlineStr">
        <is>
          <t>redalert2mod</t>
        </is>
      </c>
      <c r="B196" t="inlineStr">
        <is>
          <t>steelconsortium_promotion_unlocksupportlvl2</t>
        </is>
      </c>
      <c r="C196" t="inlineStr">
        <is>
          <t>Unlock Support LVL2</t>
        </is>
      </c>
      <c r="D196" t="inlineStr"/>
      <c r="E196" s="5" t="n"/>
      <c r="F196" s="5" t="n"/>
      <c r="H196" s="5" t="n">
        <v>1</v>
      </c>
      <c r="I196" s="5" t="n">
        <v>1</v>
      </c>
      <c r="J196" s="5" t="n">
        <v>1</v>
      </c>
      <c r="W196" s="5" t="n"/>
    </row>
    <row r="197">
      <c r="A197" t="inlineStr">
        <is>
          <t>redalert2mod</t>
        </is>
      </c>
      <c r="B197" t="inlineStr">
        <is>
          <t>steelconsortium_promotion_unlocksupportlvl3</t>
        </is>
      </c>
      <c r="C197" t="inlineStr">
        <is>
          <t>Unlock Support LVL3</t>
        </is>
      </c>
      <c r="D197" t="inlineStr"/>
      <c r="E197" s="5" t="n"/>
      <c r="F197" s="5" t="n"/>
      <c r="H197" s="5" t="n">
        <v>1</v>
      </c>
      <c r="I197" s="5" t="n">
        <v>1</v>
      </c>
      <c r="J197" s="5" t="n">
        <v>1</v>
      </c>
      <c r="W197" s="5" t="n"/>
    </row>
    <row r="198">
      <c r="A198" t="inlineStr">
        <is>
          <t>redalert2mod</t>
        </is>
      </c>
      <c r="B198" t="inlineStr">
        <is>
          <t>steelconsortium_promotion_unlocksupportlvl4</t>
        </is>
      </c>
      <c r="C198" t="inlineStr">
        <is>
          <t>Unlock Support LVL4</t>
        </is>
      </c>
      <c r="D198" t="inlineStr"/>
      <c r="E198" s="5" t="n"/>
      <c r="F198" s="5" t="n"/>
      <c r="H198" s="5" t="n">
        <v>1</v>
      </c>
      <c r="I198" s="5" t="n">
        <v>1</v>
      </c>
      <c r="J198" s="5" t="n">
        <v>1</v>
      </c>
      <c r="W198" s="5" t="n"/>
    </row>
    <row r="199">
      <c r="A199" t="inlineStr">
        <is>
          <t>redalert2mod</t>
        </is>
      </c>
      <c r="B199" t="inlineStr">
        <is>
          <t>steelconsortium_promotion_unlockwhiterabbit</t>
        </is>
      </c>
      <c r="C199" t="inlineStr">
        <is>
          <t>Unlock White Rabbit</t>
        </is>
      </c>
      <c r="D199" t="inlineStr"/>
      <c r="E199" s="5" t="n"/>
      <c r="F199" s="5" t="n"/>
      <c r="H199" s="5" t="n">
        <v>1</v>
      </c>
      <c r="I199" s="5" t="n">
        <v>1</v>
      </c>
      <c r="J199" s="5" t="n">
        <v>1</v>
      </c>
      <c r="W199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200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7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redalert2mod</t>
        </is>
      </c>
      <c r="B3" t="inlineStr">
        <is>
          <t>futuretech_blackwidow</t>
        </is>
      </c>
      <c r="C3" t="inlineStr">
        <is>
          <t>Black Widow</t>
        </is>
      </c>
      <c r="D3" t="inlineStr"/>
      <c r="E3" s="5" t="n">
        <v>25000</v>
      </c>
      <c r="F3" s="5" t="n">
        <v>75</v>
      </c>
      <c r="G3" t="inlineStr">
        <is>
          <t>Plate</t>
        </is>
      </c>
      <c r="H3" s="5" t="n">
        <v>0.75</v>
      </c>
      <c r="I3" s="5" t="n">
        <v>0.75</v>
      </c>
      <c r="J3" s="5" t="n">
        <v>1.25</v>
      </c>
      <c r="O3">
        <f>MAX(O4,O5,O8)</f>
        <v/>
      </c>
      <c r="R3">
        <f>R4+R5+R8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1200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BlackWidowPistols</t>
        </is>
      </c>
      <c r="C4" s="6" t="inlineStr">
        <is>
          <t>Armament@PRIMARY</t>
        </is>
      </c>
      <c r="K4" s="5" t="n">
        <v>10000</v>
      </c>
      <c r="L4" s="5" t="n">
        <v>16</v>
      </c>
      <c r="M4" s="5" t="n">
        <v>2</v>
      </c>
      <c r="N4" s="5" t="n">
        <v>3</v>
      </c>
      <c r="O4" s="5" t="n">
        <v>9000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^SniperWeapon</t>
        </is>
      </c>
    </row>
    <row r="5">
      <c r="B5" s="6" t="inlineStr">
        <is>
          <t xml:space="preserve">  ↳ BlackWidowPistolsE</t>
        </is>
      </c>
      <c r="C5" s="6" t="inlineStr">
        <is>
          <t>Armament@ELITE</t>
        </is>
      </c>
      <c r="K5" s="5" t="n">
        <v>10000</v>
      </c>
      <c r="L5" s="5" t="n">
        <v>16</v>
      </c>
      <c r="M5" s="5" t="n">
        <v>8</v>
      </c>
      <c r="N5" s="5" t="n">
        <v>3</v>
      </c>
      <c r="O5" s="5" t="n">
        <v>6000</v>
      </c>
      <c r="P5" s="5" t="n">
        <v>1</v>
      </c>
      <c r="Q5">
        <f>L5+IF(M5&gt;1,N(N5)*(M5-1),0)</f>
        <v/>
      </c>
      <c r="R5">
        <f>IFERROR(K5*MAX(M5,1)/Q5*P5,0)</f>
        <v/>
      </c>
      <c r="AA5" s="6" t="inlineStr">
        <is>
          <t>^SniperWeapon</t>
        </is>
      </c>
    </row>
    <row r="6">
      <c r="B6" s="6" t="inlineStr">
        <is>
          <t xml:space="preserve">  ↳ BlackWidowPistols</t>
        </is>
      </c>
      <c r="C6" s="6" t="inlineStr">
        <is>
          <t>Armament@GARRISONED</t>
        </is>
      </c>
      <c r="K6" s="5" t="n">
        <v>10000</v>
      </c>
      <c r="L6" s="5" t="n">
        <v>16</v>
      </c>
      <c r="M6" s="5" t="n">
        <v>2</v>
      </c>
      <c r="N6" s="5" t="n">
        <v>3</v>
      </c>
      <c r="O6" s="5" t="n">
        <v>9000</v>
      </c>
      <c r="P6" s="5" t="n">
        <v>1</v>
      </c>
      <c r="Q6">
        <f>L6+IF(M6&gt;1,N(N6)*(M6-1),0)</f>
        <v/>
      </c>
      <c r="R6">
        <f>IFERROR(K6*MAX(M6,1)/Q6*P6,0)</f>
        <v/>
      </c>
      <c r="AA6" s="6" t="inlineStr">
        <is>
          <t>^SniperWeapon</t>
        </is>
      </c>
    </row>
    <row r="7">
      <c r="B7" s="6" t="inlineStr">
        <is>
          <t xml:space="preserve">  ↳ BlackWidowPistolsE</t>
        </is>
      </c>
      <c r="C7" s="6" t="inlineStr">
        <is>
          <t>Armament@GARRISONEDELITE</t>
        </is>
      </c>
      <c r="K7" s="5" t="n">
        <v>10000</v>
      </c>
      <c r="L7" s="5" t="n">
        <v>16</v>
      </c>
      <c r="M7" s="5" t="n">
        <v>8</v>
      </c>
      <c r="N7" s="5" t="n">
        <v>3</v>
      </c>
      <c r="O7" s="5" t="n">
        <v>6000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^SniperWeapon</t>
        </is>
      </c>
    </row>
    <row r="8">
      <c r="B8" s="6" t="inlineStr">
        <is>
          <t xml:space="preserve">  ↳ SEALAttach</t>
        </is>
      </c>
      <c r="C8" s="6" t="inlineStr">
        <is>
          <t>Armament@shipc4</t>
        </is>
      </c>
      <c r="K8" s="5" t="n"/>
      <c r="L8" s="5" t="n">
        <v>20</v>
      </c>
      <c r="M8" s="5" t="n">
        <v>1</v>
      </c>
      <c r="N8" s="5" t="n"/>
      <c r="O8" s="5" t="n">
        <v>2000</v>
      </c>
      <c r="P8" s="5" t="n">
        <v>1</v>
      </c>
      <c r="Q8">
        <f>L8+IF(M8&gt;1,N(N8)*(M8-1),0)</f>
        <v/>
      </c>
      <c r="R8">
        <f>IFERROR(K8*MAX(M8,1)/Q8*P8,0)</f>
        <v/>
      </c>
      <c r="AA8" s="6" t="inlineStr">
        <is>
          <t>TanyaAttach</t>
        </is>
      </c>
    </row>
    <row r="9">
      <c r="A9" t="inlineStr">
        <is>
          <t>redalert2mod</t>
        </is>
      </c>
      <c r="B9" t="inlineStr">
        <is>
          <t>futuretech_cannondroid</t>
        </is>
      </c>
      <c r="C9" t="inlineStr">
        <is>
          <t>Cannon Droid</t>
        </is>
      </c>
      <c r="D9" t="inlineStr"/>
      <c r="E9" s="5" t="n">
        <v>80000</v>
      </c>
      <c r="F9" s="5" t="n">
        <v>35</v>
      </c>
      <c r="G9" t="inlineStr">
        <is>
          <t>Plate</t>
        </is>
      </c>
      <c r="H9" s="5" t="n">
        <v>1</v>
      </c>
      <c r="I9" s="5" t="n">
        <v>1</v>
      </c>
      <c r="J9" s="5" t="n">
        <v>1</v>
      </c>
      <c r="O9">
        <f>MAX(O10,O11)</f>
        <v/>
      </c>
      <c r="R9">
        <f>R10+R11</f>
        <v/>
      </c>
      <c r="S9">
        <f>(E9/100000+F9/100+(O9/1000)*J9/5+R9/200)*200*I9*H9</f>
        <v/>
      </c>
      <c r="T9">
        <f>((E9*F9/25000)+((O9/1000)*J9*R9/2.5))*I9*H9</f>
        <v/>
      </c>
      <c r="U9">
        <f>(E9*F9*(O9/1000)*J9*R9*I9*H9)/12500000</f>
        <v/>
      </c>
      <c r="V9">
        <f>(S9+T9+U9)/3</f>
        <v/>
      </c>
      <c r="W9" s="5" t="n">
        <v>525</v>
      </c>
      <c r="X9">
        <f>IFERROR(V9-W9,"")</f>
        <v/>
      </c>
      <c r="Y9">
        <f>IFERROR(ABS(X9)/MAX(W9,1),"")</f>
        <v/>
      </c>
      <c r="Z9">
        <f>IFERROR((W9-(((E9/100000+F9/100+R9/200)*200*I9*H9)+((E9*F9/25000)*I9*H9))/3)/(((J9/5)*200*I9*H9)+((J9*R9/2.5)*I9*H9)+((E9*F9*J9*R9*I9*H9)/12500000))/3*1000,"")</f>
        <v/>
      </c>
    </row>
    <row r="10">
      <c r="B10" s="6" t="inlineStr">
        <is>
          <t xml:space="preserve">  ↳ CannonAttackRobotGun</t>
        </is>
      </c>
      <c r="C10" s="6" t="inlineStr">
        <is>
          <t>Armament@PRIMARY</t>
        </is>
      </c>
      <c r="K10" s="5" t="n">
        <v>2000</v>
      </c>
      <c r="L10" s="5" t="n">
        <v>25</v>
      </c>
      <c r="M10" s="5" t="n">
        <v>1</v>
      </c>
      <c r="N10" s="5" t="n"/>
      <c r="O10" s="5" t="n">
        <v>6000</v>
      </c>
      <c r="P10" s="5" t="n">
        <v>1</v>
      </c>
      <c r="Q10">
        <f>L10+IF(M10&gt;1,N(N10)*(M10-1),0)</f>
        <v/>
      </c>
      <c r="R10">
        <f>IFERROR(K10*MAX(M10,1)/Q10*P10,0)</f>
        <v/>
      </c>
      <c r="AA10" s="6" t="inlineStr">
        <is>
          <t>^TankDestroyerCannon, ^MediumFlameWeapon, ^RA2RailgunWeapon, ^SteelMediumCannon</t>
        </is>
      </c>
    </row>
    <row r="11">
      <c r="B11" s="6" t="inlineStr">
        <is>
          <t xml:space="preserve">  ↳ CannonAttackRobotGunE</t>
        </is>
      </c>
      <c r="C11" s="6" t="inlineStr">
        <is>
          <t>Armament@ELITE</t>
        </is>
      </c>
      <c r="K11" s="5" t="n">
        <v>2000</v>
      </c>
      <c r="L11" s="5" t="n">
        <v>25</v>
      </c>
      <c r="M11" s="5" t="n">
        <v>2</v>
      </c>
      <c r="N11" s="5" t="n">
        <v>3</v>
      </c>
      <c r="O11" s="5" t="n">
        <v>7000</v>
      </c>
      <c r="P11" s="5" t="n">
        <v>1</v>
      </c>
      <c r="Q11">
        <f>L11+IF(M11&gt;1,N(N11)*(M11-1),0)</f>
        <v/>
      </c>
      <c r="R11">
        <f>IFERROR(K11*MAX(M11,1)/Q11*P11,0)</f>
        <v/>
      </c>
      <c r="AA11" s="6" t="inlineStr">
        <is>
          <t>^TankDestroyerCannon, ^MediumFlameWeapon, ^RA2RailgunWeapon, ^SteelMediumCannon</t>
        </is>
      </c>
    </row>
    <row r="12">
      <c r="A12" t="inlineStr">
        <is>
          <t>redalert2mod</t>
        </is>
      </c>
      <c r="B12" t="inlineStr">
        <is>
          <t>futuretech_cryolegionnaire</t>
        </is>
      </c>
      <c r="C12" t="inlineStr">
        <is>
          <t>Cryo Legionnaire</t>
        </is>
      </c>
      <c r="D12" t="inlineStr"/>
      <c r="E12" s="5" t="n">
        <v>360000</v>
      </c>
      <c r="F12" s="5" t="n">
        <v>75</v>
      </c>
      <c r="G12" t="inlineStr">
        <is>
          <t>Heroic</t>
        </is>
      </c>
      <c r="H12" s="5" t="n">
        <v>1</v>
      </c>
      <c r="I12" s="5" t="n">
        <v>1</v>
      </c>
      <c r="J12" s="5" t="n">
        <v>1</v>
      </c>
      <c r="O12">
        <f>MAX(O13)</f>
        <v/>
      </c>
      <c r="R12">
        <f>R13</f>
        <v/>
      </c>
      <c r="S12">
        <f>(E12/100000+F12/100+(O12/1000)*J12/5+R12/200)*200*I12*H12</f>
        <v/>
      </c>
      <c r="T12">
        <f>((E12*F12/25000)+((O12/1000)*J12*R12/2.5))*I12*H12</f>
        <v/>
      </c>
      <c r="U12">
        <f>(E12*F12*(O12/1000)*J12*R12*I12*H12)/12500000</f>
        <v/>
      </c>
      <c r="V12">
        <f>(S12+T12+U12)/3</f>
        <v/>
      </c>
      <c r="W12" s="5" t="n">
        <v>3500</v>
      </c>
      <c r="X12">
        <f>IFERROR(V12-W12,"")</f>
        <v/>
      </c>
      <c r="Y12">
        <f>IFERROR(ABS(X12)/MAX(W12,1),"")</f>
        <v/>
      </c>
      <c r="Z12">
        <f>IFERROR((W12-(((E12/100000+F12/100+R12/200)*200*I12*H12)+((E12*F12/25000)*I12*H12))/3)/(((J12/5)*200*I12*H12)+((J12*R12/2.5)*I12*H12)+((E12*F12*J12*R12*I12*H12)/12500000))/3*1000,"")</f>
        <v/>
      </c>
    </row>
    <row r="13">
      <c r="B13" s="6" t="inlineStr">
        <is>
          <t xml:space="preserve">  ↳ CryoLegionnaireAttack</t>
        </is>
      </c>
      <c r="C13" s="6" t="inlineStr">
        <is>
          <t>Armament@PRIMARY</t>
        </is>
      </c>
      <c r="K13" s="5" t="n">
        <v>2000</v>
      </c>
      <c r="L13" s="5" t="n">
        <v>30</v>
      </c>
      <c r="M13" s="5" t="n">
        <v>1</v>
      </c>
      <c r="N13" s="5" t="n"/>
      <c r="O13" s="5" t="n">
        <v>7000</v>
      </c>
      <c r="P13" s="5" t="n">
        <v>1</v>
      </c>
      <c r="Q13">
        <f>L13+IF(M13&gt;1,N(N13)*(M13-1),0)</f>
        <v/>
      </c>
      <c r="R13">
        <f>IFERROR(K13*MAX(M13,1)/Q13*P13,0)</f>
        <v/>
      </c>
      <c r="AA13" s="6" t="inlineStr">
        <is>
          <t>^LightMissile, ^SmallArms, ^Chaingun, ^FlakWeapon, ^TeslaWeapon, ^LaserWeapon</t>
        </is>
      </c>
    </row>
    <row r="14">
      <c r="B14" s="6" t="inlineStr">
        <is>
          <t xml:space="preserve">  ↳ CryoLegionnaireAttack</t>
        </is>
      </c>
      <c r="C14" s="6" t="inlineStr">
        <is>
          <t>Armament@GARRISONED</t>
        </is>
      </c>
      <c r="K14" s="5" t="n">
        <v>2000</v>
      </c>
      <c r="L14" s="5" t="n">
        <v>30</v>
      </c>
      <c r="M14" s="5" t="n">
        <v>1</v>
      </c>
      <c r="N14" s="5" t="n"/>
      <c r="O14" s="5" t="n">
        <v>7000</v>
      </c>
      <c r="P14" s="5" t="n">
        <v>1</v>
      </c>
      <c r="Q14">
        <f>L14+IF(M14&gt;1,N(N14)*(M14-1),0)</f>
        <v/>
      </c>
      <c r="R14">
        <f>IFERROR(K14*MAX(M14,1)/Q14*P14,0)</f>
        <v/>
      </c>
      <c r="AA14" s="6" t="inlineStr">
        <is>
          <t>^LightMissile, ^SmallArms, ^Chaingun, ^FlakWeapon, ^TeslaWeapon, ^LaserWeapon</t>
        </is>
      </c>
    </row>
    <row r="15">
      <c r="A15" t="inlineStr">
        <is>
          <t>redalert2mod</t>
        </is>
      </c>
      <c r="B15" t="inlineStr">
        <is>
          <t>futuretech_enforcer</t>
        </is>
      </c>
      <c r="C15" t="inlineStr">
        <is>
          <t>Enforcer</t>
        </is>
      </c>
      <c r="D15" t="inlineStr"/>
      <c r="E15" s="5" t="n">
        <v>30000</v>
      </c>
      <c r="F15" s="5" t="n">
        <v>60</v>
      </c>
      <c r="G15" t="inlineStr">
        <is>
          <t>Plate</t>
        </is>
      </c>
      <c r="H15" s="5" t="n">
        <v>1</v>
      </c>
      <c r="I15" s="5" t="n">
        <v>1</v>
      </c>
      <c r="J15" s="5" t="n">
        <v>1</v>
      </c>
      <c r="O15">
        <f>MAX(O16,O17,O19,O20,O22)</f>
        <v/>
      </c>
      <c r="R15">
        <f>R16+R17+R19+R20+R22</f>
        <v/>
      </c>
      <c r="S15">
        <f>(E15/100000+F15/100+(O15/1000)*J15/5+R15/200)*200*I15*H15</f>
        <v/>
      </c>
      <c r="T15">
        <f>((E15*F15/25000)+((O15/1000)*J15*R15/2.5))*I15*H15</f>
        <v/>
      </c>
      <c r="U15">
        <f>(E15*F15*(O15/1000)*J15*R15*I15*H15)/12500000</f>
        <v/>
      </c>
      <c r="V15">
        <f>(S15+T15+U15)/3</f>
        <v/>
      </c>
      <c r="W15" s="5" t="n">
        <v>300</v>
      </c>
      <c r="X15">
        <f>IFERROR(V15-W15,"")</f>
        <v/>
      </c>
      <c r="Y15">
        <f>IFERROR(ABS(X15)/MAX(W15,1),"")</f>
        <v/>
      </c>
      <c r="Z15">
        <f>IFERROR((W15-(((E15/100000+F15/100+R15/200)*200*I15*H15)+((E15*F15/25000)*I15*H15))/3)/(((J15/5)*200*I15*H15)+((J15*R15/2.5)*I15*H15)+((E15*F15*J15*R15*I15*H15)/12500000))/3*1000,"")</f>
        <v/>
      </c>
    </row>
    <row r="16">
      <c r="B16" s="6" t="inlineStr">
        <is>
          <t xml:space="preserve">  ↳ FutureEnforcerShotgun</t>
        </is>
      </c>
      <c r="C16" s="6" t="inlineStr">
        <is>
          <t>Armament@PRIMARY</t>
        </is>
      </c>
      <c r="K16" s="5" t="n">
        <v>2000</v>
      </c>
      <c r="L16" s="5" t="n">
        <v>40</v>
      </c>
      <c r="M16" s="5" t="n">
        <v>1</v>
      </c>
      <c r="N16" s="5" t="n"/>
      <c r="O16" s="5" t="n">
        <v>3000</v>
      </c>
      <c r="P16" s="5" t="n">
        <v>1</v>
      </c>
      <c r="Q16">
        <f>L16+IF(M16&gt;1,N(N16)*(M16-1),0)</f>
        <v/>
      </c>
      <c r="R16">
        <f>IFERROR(K16*MAX(M16,1)/Q16*P16,0)</f>
        <v/>
      </c>
      <c r="AA16" s="6" t="inlineStr">
        <is>
          <t>^Grenade, ^ShrapnelWeapon, ^TankDestroyerCannon, ^MediumCannon, ^SmallArms, ^Chaingun</t>
        </is>
      </c>
    </row>
    <row r="17">
      <c r="B17" s="6" t="inlineStr">
        <is>
          <t xml:space="preserve">  ↳ FutureEnforcerShotgunDeployed</t>
        </is>
      </c>
      <c r="C17" s="6" t="inlineStr">
        <is>
          <t>Armament@PRIMARY2</t>
        </is>
      </c>
      <c r="K17" s="5" t="n">
        <v>2000</v>
      </c>
      <c r="L17" s="5" t="n">
        <v>65</v>
      </c>
      <c r="M17" s="5" t="n">
        <v>1</v>
      </c>
      <c r="N17" s="5" t="n"/>
      <c r="O17" s="5" t="n">
        <v>6150</v>
      </c>
      <c r="P17" s="5" t="n">
        <v>1</v>
      </c>
      <c r="Q17">
        <f>L17+IF(M17&gt;1,N(N17)*(M17-1),0)</f>
        <v/>
      </c>
      <c r="R17">
        <f>IFERROR(K17*MAX(M17,1)/Q17*P17,0)</f>
        <v/>
      </c>
      <c r="AA17" s="6" t="inlineStr">
        <is>
          <t>^Grenade, ^ShrapnelWeapon, ^TankDestroyerCannon, ^MediumCannon, ^SmallArms, ^Chaingun</t>
        </is>
      </c>
    </row>
    <row r="18">
      <c r="B18" s="6" t="inlineStr">
        <is>
          <t xml:space="preserve">  ↳ FutureEnforcerShotgunDeployed</t>
        </is>
      </c>
      <c r="C18" s="6" t="inlineStr">
        <is>
          <t>Armament@GARRISONED</t>
        </is>
      </c>
      <c r="K18" s="5" t="n">
        <v>2000</v>
      </c>
      <c r="L18" s="5" t="n">
        <v>65</v>
      </c>
      <c r="M18" s="5" t="n">
        <v>1</v>
      </c>
      <c r="N18" s="5" t="n"/>
      <c r="O18" s="5" t="n">
        <v>6150</v>
      </c>
      <c r="P18" s="5" t="n">
        <v>1</v>
      </c>
      <c r="Q18">
        <f>L18+IF(M18&gt;1,N(N18)*(M18-1),0)</f>
        <v/>
      </c>
      <c r="R18">
        <f>IFERROR(K18*MAX(M18,1)/Q18*P18,0)</f>
        <v/>
      </c>
      <c r="AA18" s="6" t="inlineStr">
        <is>
          <t>^Grenade, ^ShrapnelWeapon, ^TankDestroyerCannon, ^MediumCannon, ^SmallArms, ^Chaingun</t>
        </is>
      </c>
    </row>
    <row r="19">
      <c r="B19" s="6" t="inlineStr">
        <is>
          <t xml:space="preserve">  ↳ FutureEnforcerShotgunE</t>
        </is>
      </c>
      <c r="C19" s="6" t="inlineStr">
        <is>
          <t>Armament@ELITE</t>
        </is>
      </c>
      <c r="K19" s="5" t="n">
        <v>2000</v>
      </c>
      <c r="L19" s="5" t="n">
        <v>40</v>
      </c>
      <c r="M19" s="5" t="n">
        <v>2</v>
      </c>
      <c r="N19" s="5" t="n">
        <v>3</v>
      </c>
      <c r="O19" s="5" t="n">
        <v>4000</v>
      </c>
      <c r="P19" s="5" t="n">
        <v>1</v>
      </c>
      <c r="Q19">
        <f>L19+IF(M19&gt;1,N(N19)*(M19-1),0)</f>
        <v/>
      </c>
      <c r="R19">
        <f>IFERROR(K19*MAX(M19,1)/Q19*P19,0)</f>
        <v/>
      </c>
      <c r="AA19" s="6" t="inlineStr">
        <is>
          <t>^Grenade, ^ShrapnelWeapon, ^TankDestroyerCannon, ^MediumCannon, ^SmallArms, ^Chaingun</t>
        </is>
      </c>
    </row>
    <row r="20">
      <c r="B20" s="6" t="inlineStr">
        <is>
          <t xml:space="preserve">  ↳ FutureEnforcerShotgunDeployedE</t>
        </is>
      </c>
      <c r="C20" s="6" t="inlineStr">
        <is>
          <t>Armament@ELITE2</t>
        </is>
      </c>
      <c r="K20" s="5" t="n">
        <v>2000</v>
      </c>
      <c r="L20" s="5" t="n">
        <v>65</v>
      </c>
      <c r="M20" s="5" t="n">
        <v>2</v>
      </c>
      <c r="N20" s="5" t="n">
        <v>3</v>
      </c>
      <c r="O20" s="5" t="n">
        <v>7150</v>
      </c>
      <c r="P20" s="5" t="n">
        <v>1</v>
      </c>
      <c r="Q20">
        <f>L20+IF(M20&gt;1,N(N20)*(M20-1),0)</f>
        <v/>
      </c>
      <c r="R20">
        <f>IFERROR(K20*MAX(M20,1)/Q20*P20,0)</f>
        <v/>
      </c>
      <c r="AA20" s="6" t="inlineStr">
        <is>
          <t>^Grenade, ^ShrapnelWeapon, ^TankDestroyerCannon, ^MediumCannon, ^SmallArms, ^Chaingun</t>
        </is>
      </c>
    </row>
    <row r="21">
      <c r="B21" s="6" t="inlineStr">
        <is>
          <t xml:space="preserve">  ↳ FutureEnforcerShotgunDeployedE</t>
        </is>
      </c>
      <c r="C21" s="6" t="inlineStr">
        <is>
          <t>Armament@GARRISONEDELITE</t>
        </is>
      </c>
      <c r="K21" s="5" t="n">
        <v>2000</v>
      </c>
      <c r="L21" s="5" t="n">
        <v>65</v>
      </c>
      <c r="M21" s="5" t="n">
        <v>2</v>
      </c>
      <c r="N21" s="5" t="n">
        <v>3</v>
      </c>
      <c r="O21" s="5" t="n">
        <v>7150</v>
      </c>
      <c r="P21" s="5" t="n">
        <v>1</v>
      </c>
      <c r="Q21">
        <f>L21+IF(M21&gt;1,N(N21)*(M21-1),0)</f>
        <v/>
      </c>
      <c r="R21">
        <f>IFERROR(K21*MAX(M21,1)/Q21*P21,0)</f>
        <v/>
      </c>
      <c r="AA21" s="6" t="inlineStr">
        <is>
          <t>^Grenade, ^ShrapnelWeapon, ^TankDestroyerCannon, ^MediumCannon, ^SmallArms, ^Chaingun</t>
        </is>
      </c>
    </row>
    <row r="22">
      <c r="B22" s="6" t="inlineStr">
        <is>
          <t xml:space="preserve">  ↳ aadeploytargeting.8c0</t>
        </is>
      </c>
      <c r="C22" s="6" t="inlineStr">
        <is>
          <t>Armament@BOTAA</t>
        </is>
      </c>
      <c r="K22" s="5" t="n"/>
      <c r="L22" s="5" t="n">
        <v>50</v>
      </c>
      <c r="M22" s="5" t="n">
        <v>1</v>
      </c>
      <c r="N22" s="5" t="n"/>
      <c r="O22" s="5" t="n">
        <v>8000</v>
      </c>
      <c r="P22" s="5" t="n">
        <v>1</v>
      </c>
      <c r="Q22">
        <f>L22+IF(M22&gt;1,N(N22)*(M22-1),0)</f>
        <v/>
      </c>
      <c r="R22">
        <f>IFERROR(K22*MAX(M22,1)/Q22*P22,0)</f>
        <v/>
      </c>
      <c r="AA22" s="6" t="inlineStr">
        <is>
          <t>^aadeploytargeting</t>
        </is>
      </c>
    </row>
    <row r="23">
      <c r="A23" t="inlineStr">
        <is>
          <t>redalert2mod</t>
        </is>
      </c>
      <c r="B23" t="inlineStr">
        <is>
          <t>futuretech_engineer</t>
        </is>
      </c>
      <c r="C23" t="inlineStr">
        <is>
          <t>Engineer</t>
        </is>
      </c>
      <c r="D23" t="inlineStr"/>
      <c r="E23" s="5" t="n">
        <v>5000</v>
      </c>
      <c r="F23" s="5" t="n">
        <v>50</v>
      </c>
      <c r="G23" t="inlineStr">
        <is>
          <t>None</t>
        </is>
      </c>
      <c r="H23" s="5" t="n">
        <v>1</v>
      </c>
      <c r="I23" s="5" t="n">
        <v>1</v>
      </c>
      <c r="J23" s="5" t="n">
        <v>1</v>
      </c>
      <c r="O23">
        <f>MAX(O24,O25)</f>
        <v/>
      </c>
      <c r="R23">
        <f>R24+R25</f>
        <v/>
      </c>
      <c r="S23">
        <f>(E23/100000+F23/100+(O23/1000)*J23/5+R23/200)*200*I23*H23</f>
        <v/>
      </c>
      <c r="T23">
        <f>((E23*F23/25000)+((O23/1000)*J23*R23/2.5))*I23*H23</f>
        <v/>
      </c>
      <c r="U23">
        <f>(E23*F23*(O23/1000)*J23*R23*I23*H23)/12500000</f>
        <v/>
      </c>
      <c r="V23">
        <f>(S23+T23+U23)/3</f>
        <v/>
      </c>
      <c r="W23" s="5" t="n">
        <v>500</v>
      </c>
      <c r="X23">
        <f>IFERROR(V23-W23,"")</f>
        <v/>
      </c>
      <c r="Y23">
        <f>IFERROR(ABS(X23)/MAX(W23,1),"")</f>
        <v/>
      </c>
      <c r="Z23">
        <f>IFERROR((W23-(((E23/100000+F23/100+R23/200)*200*I23*H23)+((E23*F23/25000)*I23*H23))/3)/(((J23/5)*200*I23*H23)+((J23*R23/2.5)*I23*H23)+((E23*F23*J23*R23*I23*H23)/12500000))/3*1000,"")</f>
        <v/>
      </c>
    </row>
    <row r="24">
      <c r="B24" s="6" t="inlineStr">
        <is>
          <t xml:space="preserve">  ↳ DefuseKit</t>
        </is>
      </c>
      <c r="C24" s="6" t="inlineStr">
        <is>
          <t>Armament@defuse</t>
        </is>
      </c>
      <c r="K24" s="5" t="n"/>
      <c r="L24" s="5" t="n">
        <v>20</v>
      </c>
      <c r="M24" s="5" t="n">
        <v>1</v>
      </c>
      <c r="N24" s="5" t="n"/>
      <c r="O24" s="5" t="n">
        <v>1536</v>
      </c>
      <c r="P24" s="5" t="n">
        <v>1</v>
      </c>
      <c r="Q24">
        <f>L24+IF(M24&gt;1,N(N24)*(M24-1),0)</f>
        <v/>
      </c>
      <c r="R24">
        <f>IFERROR(K24*MAX(M24,1)/Q24*P24,0)</f>
        <v/>
      </c>
      <c r="AA24" s="6" t="inlineStr">
        <is>
          <t>^RemovesIvanBombs, ^RemovesTerrorDrone</t>
        </is>
      </c>
    </row>
    <row r="25">
      <c r="B25" s="6" t="inlineStr">
        <is>
          <t xml:space="preserve">  ↳ LeechDisinfect</t>
        </is>
      </c>
      <c r="C25" s="6" t="inlineStr">
        <is>
          <t>Armament@leechdisinfect</t>
        </is>
      </c>
      <c r="K25" s="5" t="n"/>
      <c r="L25" s="5" t="n">
        <v>100</v>
      </c>
      <c r="M25" s="5" t="n">
        <v>1</v>
      </c>
      <c r="N25" s="5" t="n"/>
      <c r="O25" s="5" t="n">
        <v>1536</v>
      </c>
      <c r="P25" s="5" t="n">
        <v>1</v>
      </c>
      <c r="Q25">
        <f>L25+IF(M25&gt;1,N(N25)*(M25-1),0)</f>
        <v/>
      </c>
      <c r="R25">
        <f>IFERROR(K25*MAX(M25,1)/Q25*P25,0)</f>
        <v/>
      </c>
      <c r="AA25" s="6" t="inlineStr"/>
    </row>
    <row r="26">
      <c r="A26" t="inlineStr">
        <is>
          <t>redalert2mod</t>
        </is>
      </c>
      <c r="B26" t="inlineStr">
        <is>
          <t>futuretech_javelinsoldier</t>
        </is>
      </c>
      <c r="C26" t="inlineStr">
        <is>
          <t>Javelin Soldier</t>
        </is>
      </c>
      <c r="D26" t="inlineStr"/>
      <c r="E26" s="5" t="n">
        <v>25000</v>
      </c>
      <c r="F26" s="5" t="n">
        <v>50</v>
      </c>
      <c r="G26" t="inlineStr">
        <is>
          <t>Flak</t>
        </is>
      </c>
      <c r="H26" s="5" t="n">
        <v>1</v>
      </c>
      <c r="I26" s="5" t="n">
        <v>0.5</v>
      </c>
      <c r="J26" s="5" t="n">
        <v>1.25</v>
      </c>
      <c r="O26">
        <f>MAX(O27,O28,O30,O31,O33)</f>
        <v/>
      </c>
      <c r="R26">
        <f>R27+R28+R30+R31+R33</f>
        <v/>
      </c>
      <c r="S26">
        <f>(E26/100000+F26/100+(O26/1000)*J26/5+R26/200)*200*I26*H26</f>
        <v/>
      </c>
      <c r="T26">
        <f>((E26*F26/25000)+((O26/1000)*J26*R26/2.5))*I26*H26</f>
        <v/>
      </c>
      <c r="U26">
        <f>(E26*F26*(O26/1000)*J26*R26*I26*H26)/12500000</f>
        <v/>
      </c>
      <c r="V26">
        <f>(S26+T26+U26)/3</f>
        <v/>
      </c>
      <c r="W26" s="5" t="n">
        <v>400</v>
      </c>
      <c r="X26">
        <f>IFERROR(V26-W26,"")</f>
        <v/>
      </c>
      <c r="Y26">
        <f>IFERROR(ABS(X26)/MAX(W26,1),"")</f>
        <v/>
      </c>
      <c r="Z26">
        <f>IFERROR((W26-(((E26/100000+F26/100+R26/200)*200*I26*H26)+((E26*F26/25000)*I26*H26))/3)/(((J26/5)*200*I26*H26)+((J26*R26/2.5)*I26*H26)+((E26*F26*J26*R26*I26*H26)/12500000))/3*1000,"")</f>
        <v/>
      </c>
    </row>
    <row r="27">
      <c r="B27" s="6" t="inlineStr">
        <is>
          <t xml:space="preserve">  ↳ FutureJavelinRockets</t>
        </is>
      </c>
      <c r="C27" s="6" t="inlineStr">
        <is>
          <t>Armament@PRIMARY</t>
        </is>
      </c>
      <c r="K27" s="5" t="n">
        <v>2000</v>
      </c>
      <c r="L27" s="5" t="n">
        <v>25</v>
      </c>
      <c r="M27" s="5" t="n">
        <v>1</v>
      </c>
      <c r="N27" s="5" t="n"/>
      <c r="O27" s="5" t="n">
        <v>6000</v>
      </c>
      <c r="P27" s="5" t="n">
        <v>1</v>
      </c>
      <c r="Q27">
        <f>L27+IF(M27&gt;1,N(N27)*(M27-1),0)</f>
        <v/>
      </c>
      <c r="R27">
        <f>IFERROR(K27*MAX(M27,1)/Q27*P27,0)</f>
        <v/>
      </c>
      <c r="AA27" s="6" t="inlineStr">
        <is>
          <t>^LightMissile, ^FlakWeapon, ^MediumMissile, ^ShrapnelWeapon, ^D2KRocket</t>
        </is>
      </c>
    </row>
    <row r="28">
      <c r="B28" s="6" t="inlineStr">
        <is>
          <t xml:space="preserve">  ↳ FutureJavelinRocketsDeployed</t>
        </is>
      </c>
      <c r="C28" s="6" t="inlineStr">
        <is>
          <t>Armament@PRIMARY2</t>
        </is>
      </c>
      <c r="K28" s="5" t="n">
        <v>2000</v>
      </c>
      <c r="L28" s="5" t="n">
        <v>25</v>
      </c>
      <c r="M28" s="5" t="n">
        <v>1</v>
      </c>
      <c r="N28" s="5" t="n"/>
      <c r="O28" s="5" t="n">
        <v>7500</v>
      </c>
      <c r="P28" s="5" t="n">
        <v>1</v>
      </c>
      <c r="Q28">
        <f>L28+IF(M28&gt;1,N(N28)*(M28-1),0)</f>
        <v/>
      </c>
      <c r="R28">
        <f>IFERROR(K28*MAX(M28,1)/Q28*P28,0)</f>
        <v/>
      </c>
      <c r="AA28" s="6" t="inlineStr">
        <is>
          <t>^LightMissile, ^FlakWeapon, ^MediumMissile, ^ShrapnelWeapon, ^D2KRocket</t>
        </is>
      </c>
    </row>
    <row r="29">
      <c r="B29" s="6" t="inlineStr">
        <is>
          <t xml:space="preserve">  ↳ FutureJavelinRocketsDeployed</t>
        </is>
      </c>
      <c r="C29" s="6" t="inlineStr">
        <is>
          <t>Armament@GARRISONED</t>
        </is>
      </c>
      <c r="K29" s="5" t="n">
        <v>2000</v>
      </c>
      <c r="L29" s="5" t="n">
        <v>25</v>
      </c>
      <c r="M29" s="5" t="n">
        <v>1</v>
      </c>
      <c r="N29" s="5" t="n"/>
      <c r="O29" s="5" t="n">
        <v>7500</v>
      </c>
      <c r="P29" s="5" t="n">
        <v>1</v>
      </c>
      <c r="Q29">
        <f>L29+IF(M29&gt;1,N(N29)*(M29-1),0)</f>
        <v/>
      </c>
      <c r="R29">
        <f>IFERROR(K29*MAX(M29,1)/Q29*P29,0)</f>
        <v/>
      </c>
      <c r="AA29" s="6" t="inlineStr">
        <is>
          <t>^LightMissile, ^FlakWeapon, ^MediumMissile, ^ShrapnelWeapon, ^D2KRocket</t>
        </is>
      </c>
    </row>
    <row r="30">
      <c r="B30" s="6" t="inlineStr">
        <is>
          <t xml:space="preserve">  ↳ FutureJavelinRocketsE</t>
        </is>
      </c>
      <c r="C30" s="6" t="inlineStr">
        <is>
          <t>Armament@ELITE</t>
        </is>
      </c>
      <c r="K30" s="5" t="n">
        <v>2000</v>
      </c>
      <c r="L30" s="5" t="n">
        <v>25</v>
      </c>
      <c r="M30" s="5" t="n">
        <v>2</v>
      </c>
      <c r="N30" s="5" t="n">
        <v>3</v>
      </c>
      <c r="O30" s="5" t="n">
        <v>7000</v>
      </c>
      <c r="P30" s="5" t="n">
        <v>1</v>
      </c>
      <c r="Q30">
        <f>L30+IF(M30&gt;1,N(N30)*(M30-1),0)</f>
        <v/>
      </c>
      <c r="R30">
        <f>IFERROR(K30*MAX(M30,1)/Q30*P30,0)</f>
        <v/>
      </c>
      <c r="AA30" s="6" t="inlineStr">
        <is>
          <t>^LightMissile, ^FlakWeapon, ^MediumMissile, ^ShrapnelWeapon, ^D2KRocket</t>
        </is>
      </c>
    </row>
    <row r="31">
      <c r="B31" s="6" t="inlineStr">
        <is>
          <t xml:space="preserve">  ↳ FutureJavelinRocketsDeployedE</t>
        </is>
      </c>
      <c r="C31" s="6" t="inlineStr">
        <is>
          <t>Armament@ELITE2</t>
        </is>
      </c>
      <c r="K31" s="5" t="n">
        <v>2000</v>
      </c>
      <c r="L31" s="5" t="n">
        <v>25</v>
      </c>
      <c r="M31" s="5" t="n">
        <v>2</v>
      </c>
      <c r="N31" s="5" t="n">
        <v>3</v>
      </c>
      <c r="O31" s="5" t="n">
        <v>8500</v>
      </c>
      <c r="P31" s="5" t="n">
        <v>1</v>
      </c>
      <c r="Q31">
        <f>L31+IF(M31&gt;1,N(N31)*(M31-1),0)</f>
        <v/>
      </c>
      <c r="R31">
        <f>IFERROR(K31*MAX(M31,1)/Q31*P31,0)</f>
        <v/>
      </c>
      <c r="AA31" s="6" t="inlineStr">
        <is>
          <t>^LightMissile, ^FlakWeapon, ^MediumMissile, ^ShrapnelWeapon, ^D2KRocket</t>
        </is>
      </c>
    </row>
    <row r="32">
      <c r="B32" s="6" t="inlineStr">
        <is>
          <t xml:space="preserve">  ↳ FutureJavelinRocketsDeployedE</t>
        </is>
      </c>
      <c r="C32" s="6" t="inlineStr">
        <is>
          <t>Armament@GARRISONEDELITE</t>
        </is>
      </c>
      <c r="K32" s="5" t="n">
        <v>2000</v>
      </c>
      <c r="L32" s="5" t="n">
        <v>25</v>
      </c>
      <c r="M32" s="5" t="n">
        <v>2</v>
      </c>
      <c r="N32" s="5" t="n">
        <v>3</v>
      </c>
      <c r="O32" s="5" t="n">
        <v>8500</v>
      </c>
      <c r="P32" s="5" t="n">
        <v>1</v>
      </c>
      <c r="Q32">
        <f>L32+IF(M32&gt;1,N(N32)*(M32-1),0)</f>
        <v/>
      </c>
      <c r="R32">
        <f>IFERROR(K32*MAX(M32,1)/Q32*P32,0)</f>
        <v/>
      </c>
      <c r="AA32" s="6" t="inlineStr">
        <is>
          <t>^LightMissile, ^FlakWeapon, ^MediumMissile, ^ShrapnelWeapon, ^D2KRocket</t>
        </is>
      </c>
    </row>
    <row r="33">
      <c r="B33" s="6" t="inlineStr">
        <is>
          <t xml:space="preserve">  ↳ aadeploytargeting.8c0</t>
        </is>
      </c>
      <c r="C33" s="6" t="inlineStr">
        <is>
          <t>Armament@BOTAA</t>
        </is>
      </c>
      <c r="K33" s="5" t="n"/>
      <c r="L33" s="5" t="n">
        <v>50</v>
      </c>
      <c r="M33" s="5" t="n">
        <v>1</v>
      </c>
      <c r="N33" s="5" t="n"/>
      <c r="O33" s="5" t="n">
        <v>8000</v>
      </c>
      <c r="P33" s="5" t="n">
        <v>1</v>
      </c>
      <c r="Q33">
        <f>L33+IF(M33&gt;1,N(N33)*(M33-1),0)</f>
        <v/>
      </c>
      <c r="R33">
        <f>IFERROR(K33*MAX(M33,1)/Q33*P33,0)</f>
        <v/>
      </c>
      <c r="AA33" s="6" t="inlineStr">
        <is>
          <t>^aadeploytargeting</t>
        </is>
      </c>
    </row>
    <row r="34">
      <c r="A34" t="inlineStr">
        <is>
          <t>redalert2mod</t>
        </is>
      </c>
      <c r="B34" t="inlineStr">
        <is>
          <t>futuretech_missiledroid</t>
        </is>
      </c>
      <c r="C34" t="inlineStr">
        <is>
          <t>Missile Droid</t>
        </is>
      </c>
      <c r="D34" t="inlineStr"/>
      <c r="E34" s="5" t="n">
        <v>67500</v>
      </c>
      <c r="F34" s="5" t="n">
        <v>40</v>
      </c>
      <c r="G34" t="inlineStr">
        <is>
          <t>Flak</t>
        </is>
      </c>
      <c r="H34" s="5" t="n">
        <v>1</v>
      </c>
      <c r="I34" s="5" t="n">
        <v>1</v>
      </c>
      <c r="J34" s="5" t="n">
        <v>1</v>
      </c>
      <c r="O34">
        <f>MAX(O35,O36)</f>
        <v/>
      </c>
      <c r="R34">
        <f>R35+R36</f>
        <v/>
      </c>
      <c r="S34">
        <f>(E34/100000+F34/100+(O34/1000)*J34/5+R34/200)*200*I34*H34</f>
        <v/>
      </c>
      <c r="T34">
        <f>((E34*F34/25000)+((O34/1000)*J34*R34/2.5))*I34*H34</f>
        <v/>
      </c>
      <c r="U34">
        <f>(E34*F34*(O34/1000)*J34*R34*I34*H34)/12500000</f>
        <v/>
      </c>
      <c r="V34">
        <f>(S34+T34+U34)/3</f>
        <v/>
      </c>
      <c r="W34" s="5" t="n">
        <v>700</v>
      </c>
      <c r="X34">
        <f>IFERROR(V34-W34,"")</f>
        <v/>
      </c>
      <c r="Y34">
        <f>IFERROR(ABS(X34)/MAX(W34,1),"")</f>
        <v/>
      </c>
      <c r="Z34">
        <f>IFERROR((W34-(((E34/100000+F34/100+R34/200)*200*I34*H34)+((E34*F34/25000)*I34*H34))/3)/(((J34/5)*200*I34*H34)+((J34*R34/2.5)*I34*H34)+((E34*F34*J34*R34*I34*H34)/12500000))/3*1000,"")</f>
        <v/>
      </c>
    </row>
    <row r="35">
      <c r="B35" s="6" t="inlineStr">
        <is>
          <t xml:space="preserve">  ↳ MissileAttackRobotGun</t>
        </is>
      </c>
      <c r="C35" s="6" t="inlineStr">
        <is>
          <t>Armament@PRIMARY</t>
        </is>
      </c>
      <c r="K35" s="5" t="n">
        <v>12000</v>
      </c>
      <c r="L35" s="5" t="n">
        <v>65</v>
      </c>
      <c r="M35" s="5" t="n">
        <v>2</v>
      </c>
      <c r="N35" s="5" t="n">
        <v>5</v>
      </c>
      <c r="O35" s="5" t="n">
        <v>8000</v>
      </c>
      <c r="P35" s="5" t="n">
        <v>1</v>
      </c>
      <c r="Q35">
        <f>L35+IF(M35&gt;1,N(N35)*(M35-1),0)</f>
        <v/>
      </c>
      <c r="R35">
        <f>IFERROR(K35*MAX(M35,1)/Q35*P35,0)</f>
        <v/>
      </c>
      <c r="AA35" s="6" t="inlineStr">
        <is>
          <t>^MediumMissile, ^SteelLightMissile</t>
        </is>
      </c>
    </row>
    <row r="36">
      <c r="B36" s="6" t="inlineStr">
        <is>
          <t xml:space="preserve">  ↳ MissileAttackRobotGunE</t>
        </is>
      </c>
      <c r="C36" s="6" t="inlineStr">
        <is>
          <t>Armament@ELITE</t>
        </is>
      </c>
      <c r="K36" s="5" t="n">
        <v>12000</v>
      </c>
      <c r="L36" s="5" t="n">
        <v>65</v>
      </c>
      <c r="M36" s="5" t="n">
        <v>4</v>
      </c>
      <c r="N36" s="5" t="n">
        <v>5</v>
      </c>
      <c r="O36" s="5" t="n">
        <v>9000</v>
      </c>
      <c r="P36" s="5" t="n">
        <v>1</v>
      </c>
      <c r="Q36">
        <f>L36+IF(M36&gt;1,N(N36)*(M36-1),0)</f>
        <v/>
      </c>
      <c r="R36">
        <f>IFERROR(K36*MAX(M36,1)/Q36*P36,0)</f>
        <v/>
      </c>
      <c r="AA36" s="6" t="inlineStr">
        <is>
          <t>^MediumMissile, ^SteelLightMissile</t>
        </is>
      </c>
    </row>
    <row r="37">
      <c r="A37" t="inlineStr">
        <is>
          <t>redalert2mod</t>
        </is>
      </c>
      <c r="B37" t="inlineStr">
        <is>
          <t>futuretech_repairdroid</t>
        </is>
      </c>
      <c r="C37" t="inlineStr">
        <is>
          <t>Repair Droid</t>
        </is>
      </c>
      <c r="D37" t="inlineStr"/>
      <c r="E37" s="5" t="n">
        <v>50000</v>
      </c>
      <c r="F37" s="5" t="n">
        <v>40</v>
      </c>
      <c r="G37" t="inlineStr">
        <is>
          <t>Plate</t>
        </is>
      </c>
      <c r="H37" s="5" t="n">
        <v>1</v>
      </c>
      <c r="I37" s="5" t="n">
        <v>1</v>
      </c>
      <c r="J37" s="5" t="n">
        <v>1</v>
      </c>
      <c r="O37">
        <f>MAX(O38)</f>
        <v/>
      </c>
      <c r="R37">
        <f>R38</f>
        <v/>
      </c>
      <c r="S37">
        <f>(E37/100000+F37/100+(O37/1000)*J37/5+R37/200)*200*I37*H37</f>
        <v/>
      </c>
      <c r="T37">
        <f>((E37*F37/25000)+((O37/1000)*J37*R37/2.5))*I37*H37</f>
        <v/>
      </c>
      <c r="U37">
        <f>(E37*F37*(O37/1000)*J37*R37*I37*H37)/12500000</f>
        <v/>
      </c>
      <c r="V37">
        <f>(S37+T37+U37)/3</f>
        <v/>
      </c>
      <c r="W37" s="5" t="n">
        <v>800</v>
      </c>
      <c r="X37">
        <f>IFERROR(V37-W37,"")</f>
        <v/>
      </c>
      <c r="Y37">
        <f>IFERROR(ABS(X37)/MAX(W37,1),"")</f>
        <v/>
      </c>
      <c r="Z37">
        <f>IFERROR((W37-(((E37/100000+F37/100+R37/200)*200*I37*H37)+((E37*F37/25000)*I37*H37))/3)/(((J37/5)*200*I37*H37)+((J37*R37/2.5)*I37*H37)+((E37*F37*J37*R37*I37*H37)/12500000))/3*1000,"")</f>
        <v/>
      </c>
    </row>
    <row r="38">
      <c r="B38" s="6" t="inlineStr">
        <is>
          <t xml:space="preserve">  ↳ RA2IFVRepair</t>
        </is>
      </c>
      <c r="C38" s="6" t="inlineStr">
        <is>
          <t>Armament</t>
        </is>
      </c>
      <c r="K38" s="5" t="n">
        <v>-1</v>
      </c>
      <c r="L38" s="5" t="n">
        <v>50</v>
      </c>
      <c r="M38" s="5" t="n">
        <v>10</v>
      </c>
      <c r="N38" s="5" t="n">
        <v>1</v>
      </c>
      <c r="O38" s="5" t="n">
        <v>5000</v>
      </c>
      <c r="P38" s="5" t="n">
        <v>1</v>
      </c>
      <c r="Q38">
        <f>L38+IF(M38&gt;1,N(N38)*(M38-1),0)</f>
        <v/>
      </c>
      <c r="R38">
        <f>IFERROR(K38*MAX(M38,1)/Q38*P38,0)</f>
        <v/>
      </c>
      <c r="AA38" s="6" t="inlineStr">
        <is>
          <t>^RepairWeapon</t>
        </is>
      </c>
    </row>
    <row r="39">
      <c r="A39" t="inlineStr">
        <is>
          <t>redalert2mod</t>
        </is>
      </c>
      <c r="B39" t="inlineStr">
        <is>
          <t>futuretech_scoutdroid</t>
        </is>
      </c>
      <c r="C39" t="inlineStr">
        <is>
          <t>Scout Droid</t>
        </is>
      </c>
      <c r="D39" t="inlineStr"/>
      <c r="E39" s="5" t="n">
        <v>30000</v>
      </c>
      <c r="F39" s="5" t="n">
        <v>70</v>
      </c>
      <c r="G39" t="inlineStr">
        <is>
          <t>None</t>
        </is>
      </c>
      <c r="H39" s="5" t="n">
        <v>1</v>
      </c>
      <c r="I39" s="5" t="n">
        <v>1</v>
      </c>
      <c r="J39" s="5" t="n">
        <v>1</v>
      </c>
      <c r="O39">
        <f>MAX(O40,O41)</f>
        <v/>
      </c>
      <c r="R39">
        <f>R40+R41</f>
        <v/>
      </c>
      <c r="S39">
        <f>(E39/100000+F39/100+(O39/1000)*J39/5+R39/200)*200*I39*H39</f>
        <v/>
      </c>
      <c r="T39">
        <f>((E39*F39/25000)+((O39/1000)*J39*R39/2.5))*I39*H39</f>
        <v/>
      </c>
      <c r="U39">
        <f>(E39*F39*(O39/1000)*J39*R39*I39*H39)/12500000</f>
        <v/>
      </c>
      <c r="V39">
        <f>(S39+T39+U39)/3</f>
        <v/>
      </c>
      <c r="W39" s="5" t="n">
        <v>200</v>
      </c>
      <c r="X39">
        <f>IFERROR(V39-W39,"")</f>
        <v/>
      </c>
      <c r="Y39">
        <f>IFERROR(ABS(X39)/MAX(W39,1),"")</f>
        <v/>
      </c>
      <c r="Z39">
        <f>IFERROR((W39-(((E39/100000+F39/100+R39/200)*200*I39*H39)+((E39*F39/25000)*I39*H39))/3)/(((J39/5)*200*I39*H39)+((J39*R39/2.5)*I39*H39)+((E39*F39*J39*R39*I39*H39)/12500000))/3*1000,"")</f>
        <v/>
      </c>
    </row>
    <row r="40">
      <c r="B40" s="6" t="inlineStr">
        <is>
          <t xml:space="preserve">  ↳ Future_Wheel_MG</t>
        </is>
      </c>
      <c r="C40" s="6" t="inlineStr">
        <is>
          <t>Armament@PRIMARY</t>
        </is>
      </c>
      <c r="K40" s="5" t="n">
        <v>2000</v>
      </c>
      <c r="L40" s="5" t="n">
        <v>40</v>
      </c>
      <c r="M40" s="5" t="n">
        <v>4</v>
      </c>
      <c r="N40" s="5" t="n">
        <v>2</v>
      </c>
      <c r="O40" s="5" t="n">
        <v>5806</v>
      </c>
      <c r="P40" s="5" t="n">
        <v>1</v>
      </c>
      <c r="Q40">
        <f>L40+IF(M40&gt;1,N(N40)*(M40-1),0)</f>
        <v/>
      </c>
      <c r="R40">
        <f>IFERROR(K40*MAX(M40,1)/Q40*P40,0)</f>
        <v/>
      </c>
      <c r="AA40" s="6" t="inlineStr">
        <is>
          <t>^RA2SmallArms, ^RA2Chaingun</t>
        </is>
      </c>
    </row>
    <row r="41">
      <c r="B41" s="6" t="inlineStr">
        <is>
          <t xml:space="preserve">  ↳ Future_Wheel_MGE</t>
        </is>
      </c>
      <c r="C41" s="6" t="inlineStr">
        <is>
          <t>Armament@ELITE</t>
        </is>
      </c>
      <c r="K41" s="5" t="n">
        <v>2000</v>
      </c>
      <c r="L41" s="5" t="n">
        <v>25</v>
      </c>
      <c r="M41" s="5" t="n">
        <v>8</v>
      </c>
      <c r="N41" s="5" t="n">
        <v>2</v>
      </c>
      <c r="O41" s="5" t="n">
        <v>6806</v>
      </c>
      <c r="P41" s="5" t="n">
        <v>1</v>
      </c>
      <c r="Q41">
        <f>L41+IF(M41&gt;1,N(N41)*(M41-1),0)</f>
        <v/>
      </c>
      <c r="R41">
        <f>IFERROR(K41*MAX(M41,1)/Q41*P41,0)</f>
        <v/>
      </c>
      <c r="AA41" s="6" t="inlineStr">
        <is>
          <t>^RA2SmallArms, ^RA2Chaingun, ^SteelChaingun</t>
        </is>
      </c>
    </row>
    <row r="42">
      <c r="A42" t="inlineStr">
        <is>
          <t>redalert2mod</t>
        </is>
      </c>
      <c r="B42" t="inlineStr">
        <is>
          <t>futuretech_shotgundroid</t>
        </is>
      </c>
      <c r="C42" t="inlineStr">
        <is>
          <t>Shotgun Droid</t>
        </is>
      </c>
      <c r="D42" t="inlineStr"/>
      <c r="E42" s="5" t="n">
        <v>55000</v>
      </c>
      <c r="F42" s="5" t="n">
        <v>55</v>
      </c>
      <c r="G42" t="inlineStr">
        <is>
          <t>Plate</t>
        </is>
      </c>
      <c r="H42" s="5" t="n">
        <v>1</v>
      </c>
      <c r="I42" s="5" t="n">
        <v>1</v>
      </c>
      <c r="J42" s="5" t="n">
        <v>1</v>
      </c>
      <c r="O42">
        <f>MAX(O43,O44)</f>
        <v/>
      </c>
      <c r="R42">
        <f>R43+R44</f>
        <v/>
      </c>
      <c r="S42">
        <f>(E42/100000+F42/100+(O42/1000)*J42/5+R42/200)*200*I42*H42</f>
        <v/>
      </c>
      <c r="T42">
        <f>((E42*F42/25000)+((O42/1000)*J42*R42/2.5))*I42*H42</f>
        <v/>
      </c>
      <c r="U42">
        <f>(E42*F42*(O42/1000)*J42*R42*I42*H42)/12500000</f>
        <v/>
      </c>
      <c r="V42">
        <f>(S42+T42+U42)/3</f>
        <v/>
      </c>
      <c r="W42" s="5" t="n">
        <v>400</v>
      </c>
      <c r="X42">
        <f>IFERROR(V42-W42,"")</f>
        <v/>
      </c>
      <c r="Y42">
        <f>IFERROR(ABS(X42)/MAX(W42,1),"")</f>
        <v/>
      </c>
      <c r="Z42">
        <f>IFERROR((W42-(((E42/100000+F42/100+R42/200)*200*I42*H42)+((E42*F42/25000)*I42*H42))/3)/(((J42/5)*200*I42*H42)+((J42*R42/2.5)*I42*H42)+((E42*F42*J42*R42*I42*H42)/12500000))/3*1000,"")</f>
        <v/>
      </c>
    </row>
    <row r="43">
      <c r="B43" s="6" t="inlineStr">
        <is>
          <t xml:space="preserve">  ↳ ShotgunAttackRobotGun</t>
        </is>
      </c>
      <c r="C43" s="6" t="inlineStr">
        <is>
          <t>Armament@PRIMARY</t>
        </is>
      </c>
      <c r="K43" s="5" t="n">
        <v>2000</v>
      </c>
      <c r="L43" s="5" t="n">
        <v>55</v>
      </c>
      <c r="M43" s="5" t="n">
        <v>1</v>
      </c>
      <c r="N43" s="5" t="n"/>
      <c r="O43" s="5" t="n">
        <v>4110</v>
      </c>
      <c r="P43" s="5" t="n">
        <v>1</v>
      </c>
      <c r="Q43">
        <f>L43+IF(M43&gt;1,N(N43)*(M43-1),0)</f>
        <v/>
      </c>
      <c r="R43">
        <f>IFERROR(K43*MAX(M43,1)/Q43*P43,0)</f>
        <v/>
      </c>
      <c r="AA43" s="6" t="inlineStr">
        <is>
          <t>^Grenade, ^ShrapnelWeapon, ^TankDestroyerCannon, ^MediumCannon, ^SmallArms, ^RA2Chaingun</t>
        </is>
      </c>
    </row>
    <row r="44">
      <c r="B44" s="6" t="inlineStr">
        <is>
          <t xml:space="preserve">  ↳ ShotgunAttackRobotGunE</t>
        </is>
      </c>
      <c r="C44" s="6" t="inlineStr">
        <is>
          <t>Armament@ELITE</t>
        </is>
      </c>
      <c r="K44" s="5" t="n">
        <v>2000</v>
      </c>
      <c r="L44" s="5" t="n">
        <v>25</v>
      </c>
      <c r="M44" s="5" t="n">
        <v>2</v>
      </c>
      <c r="N44" s="5" t="n">
        <v>3</v>
      </c>
      <c r="O44" s="5" t="n">
        <v>5110</v>
      </c>
      <c r="P44" s="5" t="n">
        <v>1</v>
      </c>
      <c r="Q44">
        <f>L44+IF(M44&gt;1,N(N44)*(M44-1),0)</f>
        <v/>
      </c>
      <c r="R44">
        <f>IFERROR(K44*MAX(M44,1)/Q44*P44,0)</f>
        <v/>
      </c>
      <c r="AA44" s="6" t="inlineStr">
        <is>
          <t>^Grenade, ^ShrapnelWeapon, ^TankDestroyerCannon, ^MediumCannon, ^SmallArms, ^RA2Chaingun, ^SteelChaingun</t>
        </is>
      </c>
    </row>
    <row r="45">
      <c r="B45" s="6" t="inlineStr">
        <is>
          <t xml:space="preserve">  ↳ ShotgunAttackRobotGun</t>
        </is>
      </c>
      <c r="C45" s="6" t="inlineStr">
        <is>
          <t>Armament@GARRISONED</t>
        </is>
      </c>
      <c r="K45" s="5" t="n">
        <v>2000</v>
      </c>
      <c r="L45" s="5" t="n">
        <v>55</v>
      </c>
      <c r="M45" s="5" t="n">
        <v>1</v>
      </c>
      <c r="N45" s="5" t="n"/>
      <c r="O45" s="5" t="n">
        <v>4110</v>
      </c>
      <c r="P45" s="5" t="n">
        <v>1</v>
      </c>
      <c r="Q45">
        <f>L45+IF(M45&gt;1,N(N45)*(M45-1),0)</f>
        <v/>
      </c>
      <c r="R45">
        <f>IFERROR(K45*MAX(M45,1)/Q45*P45,0)</f>
        <v/>
      </c>
      <c r="AA45" s="6" t="inlineStr">
        <is>
          <t>^Grenade, ^ShrapnelWeapon, ^TankDestroyerCannon, ^MediumCannon, ^SmallArms, ^RA2Chaingun</t>
        </is>
      </c>
    </row>
    <row r="46">
      <c r="B46" s="6" t="inlineStr">
        <is>
          <t xml:space="preserve">  ↳ ShotgunAttackRobotGunE</t>
        </is>
      </c>
      <c r="C46" s="6" t="inlineStr">
        <is>
          <t>Armament@GARRISONEDELITE</t>
        </is>
      </c>
      <c r="K46" s="5" t="n">
        <v>2000</v>
      </c>
      <c r="L46" s="5" t="n">
        <v>25</v>
      </c>
      <c r="M46" s="5" t="n">
        <v>2</v>
      </c>
      <c r="N46" s="5" t="n">
        <v>3</v>
      </c>
      <c r="O46" s="5" t="n">
        <v>5110</v>
      </c>
      <c r="P46" s="5" t="n">
        <v>1</v>
      </c>
      <c r="Q46">
        <f>L46+IF(M46&gt;1,N(N46)*(M46-1),0)</f>
        <v/>
      </c>
      <c r="R46">
        <f>IFERROR(K46*MAX(M46,1)/Q46*P46,0)</f>
        <v/>
      </c>
      <c r="AA46" s="6" t="inlineStr">
        <is>
          <t>^Grenade, ^ShrapnelWeapon, ^TankDestroyerCannon, ^MediumCannon, ^SmallArms, ^RA2Chaingun, ^SteelChaingun</t>
        </is>
      </c>
    </row>
    <row r="47">
      <c r="A47" t="inlineStr">
        <is>
          <t>redalert2mod</t>
        </is>
      </c>
      <c r="B47" t="inlineStr">
        <is>
          <t>futuretech_spyfutu</t>
        </is>
      </c>
      <c r="C47" t="inlineStr">
        <is>
          <t>Infiltrator</t>
        </is>
      </c>
      <c r="D47" t="inlineStr"/>
      <c r="E47" s="5" t="n">
        <v>5000</v>
      </c>
      <c r="F47" s="5" t="n">
        <v>60</v>
      </c>
      <c r="G47" t="inlineStr">
        <is>
          <t>None</t>
        </is>
      </c>
      <c r="H47" s="5" t="n">
        <v>1</v>
      </c>
      <c r="I47" s="5" t="n">
        <v>1</v>
      </c>
      <c r="J47" s="5" t="n">
        <v>1</v>
      </c>
      <c r="W47" s="5" t="n">
        <v>1000</v>
      </c>
    </row>
    <row r="48">
      <c r="A48" s="3" t="inlineStr">
        <is>
          <t>VEHICLES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>
      <c r="A49" t="inlineStr">
        <is>
          <t>redalert2mod</t>
        </is>
      </c>
      <c r="B49" t="inlineStr">
        <is>
          <t>futuretech_athenacannon</t>
        </is>
      </c>
      <c r="C49" t="inlineStr">
        <is>
          <t>Athena Cannon</t>
        </is>
      </c>
      <c r="D49" t="inlineStr"/>
      <c r="E49" s="5" t="n">
        <v>62500</v>
      </c>
      <c r="F49" s="5" t="n">
        <v>60</v>
      </c>
      <c r="G49" t="inlineStr">
        <is>
          <t>Medium</t>
        </is>
      </c>
      <c r="H49" s="5" t="n">
        <v>1</v>
      </c>
      <c r="I49" s="5" t="n">
        <v>0.5</v>
      </c>
      <c r="J49" s="5" t="n">
        <v>1</v>
      </c>
      <c r="O49">
        <f>MAX(O50,O51)</f>
        <v/>
      </c>
      <c r="R49">
        <f>R50+R51</f>
        <v/>
      </c>
      <c r="S49">
        <f>(E49/100000+F49/100+(O49/1000)*J49/5+R49/200)*200*I49*H49</f>
        <v/>
      </c>
      <c r="T49">
        <f>((E49*F49/25000)+((O49/1000)*J49*R49/2.5))*I49*H49</f>
        <v/>
      </c>
      <c r="U49">
        <f>(E49*F49*(O49/1000)*J49*R49*I49*H49)/12500000</f>
        <v/>
      </c>
      <c r="V49">
        <f>(S49+T49+U49)/3</f>
        <v/>
      </c>
      <c r="W49" s="5" t="n">
        <v>2200</v>
      </c>
      <c r="X49">
        <f>IFERROR(V49-W49,"")</f>
        <v/>
      </c>
      <c r="Y49">
        <f>IFERROR(ABS(X49)/MAX(W49,1),"")</f>
        <v/>
      </c>
      <c r="Z49">
        <f>IFERROR((W49-(((E49/100000+F49/100+R49/200)*200*I49*H49)+((E49*F49/25000)*I49*H49))/3)/(((J49/5)*200*I49*H49)+((J49*R49/2.5)*I49*H49)+((E49*F49*J49*R49*I49*H49)/12500000))/3*1000,"")</f>
        <v/>
      </c>
    </row>
    <row r="50">
      <c r="B50" s="6" t="inlineStr">
        <is>
          <t xml:space="preserve">  ↳ AthenaLaser</t>
        </is>
      </c>
      <c r="C50" s="6" t="inlineStr">
        <is>
          <t>Armament@AG</t>
        </is>
      </c>
      <c r="K50" s="5" t="n">
        <v>32000</v>
      </c>
      <c r="L50" s="5" t="n">
        <v>1</v>
      </c>
      <c r="M50" s="5" t="n">
        <v>1</v>
      </c>
      <c r="N50" s="5" t="n"/>
      <c r="O50" s="5" t="n">
        <v>16000</v>
      </c>
      <c r="P50" s="5" t="n">
        <v>1</v>
      </c>
      <c r="Q50">
        <f>L50+IF(M50&gt;1,N(N50)*(M50-1),0)</f>
        <v/>
      </c>
      <c r="R50">
        <f>IFERROR(K50*MAX(M50,1)/Q50*P50,0)</f>
        <v/>
      </c>
      <c r="AA50" s="6" t="inlineStr">
        <is>
          <t>^LightMissile, ^SmallArms, ^Chaingun, ^FlakWeapon, ^TeslaWeapon, ^LaserWeapon</t>
        </is>
      </c>
    </row>
    <row r="51">
      <c r="B51" s="6" t="inlineStr">
        <is>
          <t xml:space="preserve">  ↳ AthenaVisualLaser</t>
        </is>
      </c>
      <c r="C51" s="6" t="inlineStr">
        <is>
          <t>Armament@VISUAL</t>
        </is>
      </c>
      <c r="K51" s="5" t="n"/>
      <c r="L51" s="5" t="n">
        <v>4</v>
      </c>
      <c r="M51" s="5" t="n">
        <v>1</v>
      </c>
      <c r="N51" s="5" t="n"/>
      <c r="O51" s="5" t="n">
        <v>16000</v>
      </c>
      <c r="P51" s="5" t="n">
        <v>1</v>
      </c>
      <c r="Q51">
        <f>L51+IF(M51&gt;1,N(N51)*(M51-1),0)</f>
        <v/>
      </c>
      <c r="R51">
        <f>IFERROR(K51*MAX(M51,1)/Q51*P51,0)</f>
        <v/>
      </c>
      <c r="AA51" s="6" t="inlineStr"/>
    </row>
    <row r="52">
      <c r="A52" t="inlineStr">
        <is>
          <t>redalert2mod</t>
        </is>
      </c>
      <c r="B52" t="inlineStr">
        <is>
          <t>futuretech_beehivedronecarrier</t>
        </is>
      </c>
      <c r="C52" t="inlineStr">
        <is>
          <t>Beehive Drone Carrier</t>
        </is>
      </c>
      <c r="D52" t="inlineStr"/>
      <c r="E52" s="5" t="n">
        <v>125000</v>
      </c>
      <c r="F52" s="5" t="n">
        <v>45</v>
      </c>
      <c r="G52" t="inlineStr">
        <is>
          <t>Heavy</t>
        </is>
      </c>
      <c r="H52" s="5" t="n">
        <v>1</v>
      </c>
      <c r="I52" s="5" t="n">
        <v>1</v>
      </c>
      <c r="J52" s="5" t="n">
        <v>1</v>
      </c>
      <c r="O52">
        <f>MAX(O53)</f>
        <v/>
      </c>
      <c r="R52">
        <f>R53</f>
        <v/>
      </c>
      <c r="S52">
        <f>(E52/100000+F52/100+(O52/1000)*J52/5+R52/200)*200*I52*H52</f>
        <v/>
      </c>
      <c r="T52">
        <f>((E52*F52/25000)+((O52/1000)*J52*R52/2.5))*I52*H52</f>
        <v/>
      </c>
      <c r="U52">
        <f>(E52*F52*(O52/1000)*J52*R52*I52*H52)/12500000</f>
        <v/>
      </c>
      <c r="V52">
        <f>(S52+T52+U52)/3</f>
        <v/>
      </c>
      <c r="W52" s="5" t="n">
        <v>2100</v>
      </c>
      <c r="X52">
        <f>IFERROR(V52-W52,"")</f>
        <v/>
      </c>
      <c r="Y52">
        <f>IFERROR(ABS(X52)/MAX(W52,1),"")</f>
        <v/>
      </c>
      <c r="Z52">
        <f>IFERROR((W52-(((E52/100000+F52/100+R52/200)*200*I52*H52)+((E52*F52/25000)*I52*H52))/3)/(((J52/5)*200*I52*H52)+((J52*R52/2.5)*I52*H52)+((E52*F52*J52*R52*I52*H52)/12500000))/3*1000,"")</f>
        <v/>
      </c>
    </row>
    <row r="53">
      <c r="B53" s="6" t="inlineStr">
        <is>
          <t xml:space="preserve">  ↳ BeehiveCarrierTarget</t>
        </is>
      </c>
      <c r="C53" s="6" t="inlineStr">
        <is>
          <t>Armament@PRIMARY</t>
        </is>
      </c>
      <c r="K53" s="5" t="n"/>
      <c r="L53" s="5" t="n">
        <v>150</v>
      </c>
      <c r="M53" s="5" t="n">
        <v>1</v>
      </c>
      <c r="N53" s="5" t="n"/>
      <c r="O53" s="5" t="n">
        <v>17500</v>
      </c>
      <c r="P53" s="5" t="n">
        <v>1</v>
      </c>
      <c r="Q53">
        <f>L53+IF(M53&gt;1,N(N53)*(M53-1),0)</f>
        <v/>
      </c>
      <c r="R53">
        <f>IFERROR(K53*MAX(M53,1)/Q53*P53,0)</f>
        <v/>
      </c>
      <c r="AA53" s="6" t="inlineStr">
        <is>
          <t>RA2CarrierTarget</t>
        </is>
      </c>
    </row>
    <row r="54">
      <c r="A54" t="inlineStr">
        <is>
          <t>redalert2mod</t>
        </is>
      </c>
      <c r="B54" t="inlineStr">
        <is>
          <t>futuretech_energizer</t>
        </is>
      </c>
      <c r="C54" t="inlineStr">
        <is>
          <t>Energizer</t>
        </is>
      </c>
      <c r="D54" t="inlineStr"/>
      <c r="E54" s="5" t="n">
        <v>50000</v>
      </c>
      <c r="F54" s="5" t="n">
        <v>50</v>
      </c>
      <c r="G54" t="inlineStr">
        <is>
          <t>Light</t>
        </is>
      </c>
      <c r="H54" s="5" t="n">
        <v>1</v>
      </c>
      <c r="I54" s="5" t="n">
        <v>1</v>
      </c>
      <c r="J54" s="5" t="n">
        <v>1</v>
      </c>
      <c r="O54">
        <f>MAX(O55,O56)</f>
        <v/>
      </c>
      <c r="R54">
        <f>R55+R56</f>
        <v/>
      </c>
      <c r="S54">
        <f>(E54/100000+F54/100+(O54/1000)*J54/5+R54/200)*200*I54*H54</f>
        <v/>
      </c>
      <c r="T54">
        <f>((E54*F54/25000)+((O54/1000)*J54*R54/2.5))*I54*H54</f>
        <v/>
      </c>
      <c r="U54">
        <f>(E54*F54*(O54/1000)*J54*R54*I54*H54)/12500000</f>
        <v/>
      </c>
      <c r="V54">
        <f>(S54+T54+U54)/3</f>
        <v/>
      </c>
      <c r="W54" s="5" t="n">
        <v>1000</v>
      </c>
      <c r="X54">
        <f>IFERROR(V54-W54,"")</f>
        <v/>
      </c>
      <c r="Y54">
        <f>IFERROR(ABS(X54)/MAX(W54,1),"")</f>
        <v/>
      </c>
      <c r="Z54">
        <f>IFERROR((W54-(((E54/100000+F54/100+R54/200)*200*I54*H54)+((E54*F54/25000)*I54*H54))/3)/(((J54/5)*200*I54*H54)+((J54*R54/2.5)*I54*H54)+((E54*F54*J54*R54*I54*H54)/12500000))/3*1000,"")</f>
        <v/>
      </c>
    </row>
    <row r="55">
      <c r="B55" s="6" t="inlineStr">
        <is>
          <t xml:space="preserve">  ↳ Future_CoilerAgressive</t>
        </is>
      </c>
      <c r="C55" s="6" t="inlineStr">
        <is>
          <t>Armament@Agressive</t>
        </is>
      </c>
      <c r="K55" s="5" t="n">
        <v>50000</v>
      </c>
      <c r="L55" s="5" t="n">
        <v>125</v>
      </c>
      <c r="M55" s="5" t="n">
        <v>1</v>
      </c>
      <c r="N55" s="5" t="n"/>
      <c r="O55" s="5" t="n">
        <v>7500</v>
      </c>
      <c r="P55" s="5" t="n">
        <v>1</v>
      </c>
      <c r="Q55">
        <f>L55+IF(M55&gt;1,N(N55)*(M55-1),0)</f>
        <v/>
      </c>
      <c r="R55">
        <f>IFERROR(K55*MAX(M55,1)/Q55*P55,0)</f>
        <v/>
      </c>
      <c r="AA55" s="6" t="inlineStr">
        <is>
          <t>^TeslaWeapon</t>
        </is>
      </c>
    </row>
    <row r="56">
      <c r="B56" s="6" t="inlineStr">
        <is>
          <t xml:space="preserve">  ↳ Future_CoilerFriendMain</t>
        </is>
      </c>
      <c r="C56" s="6" t="inlineStr">
        <is>
          <t>Armament@Support</t>
        </is>
      </c>
      <c r="K56" s="5" t="n"/>
      <c r="L56" s="5" t="n">
        <v>125</v>
      </c>
      <c r="M56" s="5" t="n">
        <v>1</v>
      </c>
      <c r="N56" s="5" t="n"/>
      <c r="O56" s="5" t="n">
        <v>7500</v>
      </c>
      <c r="P56" s="5" t="n">
        <v>1</v>
      </c>
      <c r="Q56">
        <f>L56+IF(M56&gt;1,N(N56)*(M56-1),0)</f>
        <v/>
      </c>
      <c r="R56">
        <f>IFERROR(K56*MAX(M56,1)/Q56*P56,0)</f>
        <v/>
      </c>
      <c r="AA56" s="6" t="inlineStr">
        <is>
          <t>Future_CoilerFriend</t>
        </is>
      </c>
    </row>
    <row r="57">
      <c r="A57" t="inlineStr">
        <is>
          <t>redalert2mod</t>
        </is>
      </c>
      <c r="B57" t="inlineStr">
        <is>
          <t>futuretech_futuretank</t>
        </is>
      </c>
      <c r="C57" t="inlineStr">
        <is>
          <t>Future Tank</t>
        </is>
      </c>
      <c r="D57" t="inlineStr"/>
      <c r="E57" s="5" t="n">
        <v>650000</v>
      </c>
      <c r="F57" s="5" t="n">
        <v>45</v>
      </c>
      <c r="G57" t="inlineStr">
        <is>
          <t>Heavy</t>
        </is>
      </c>
      <c r="H57" s="5" t="n">
        <v>0.75</v>
      </c>
      <c r="I57" s="5" t="n">
        <v>0.4</v>
      </c>
      <c r="J57" s="5" t="n">
        <v>1</v>
      </c>
      <c r="O57">
        <f>MAX(O58,O59)</f>
        <v/>
      </c>
      <c r="R57">
        <f>R58+R59</f>
        <v/>
      </c>
      <c r="S57">
        <f>(E57/100000+F57/100+(O57/1000)*J57/5+R57/200)*200*I57*H57</f>
        <v/>
      </c>
      <c r="T57">
        <f>((E57*F57/25000)+((O57/1000)*J57*R57/2.5))*I57*H57</f>
        <v/>
      </c>
      <c r="U57">
        <f>(E57*F57*(O57/1000)*J57*R57*I57*H57)/12500000</f>
        <v/>
      </c>
      <c r="V57">
        <f>(S57+T57+U57)/3</f>
        <v/>
      </c>
      <c r="W57" s="5" t="n">
        <v>10000</v>
      </c>
      <c r="X57">
        <f>IFERROR(V57-W57,"")</f>
        <v/>
      </c>
      <c r="Y57">
        <f>IFERROR(ABS(X57)/MAX(W57,1),"")</f>
        <v/>
      </c>
      <c r="Z57">
        <f>IFERROR((W57-(((E57/100000+F57/100+R57/200)*200*I57*H57)+((E57*F57/25000)*I57*H57))/3)/(((J57/5)*200*I57*H57)+((J57*R57/2.5)*I57*H57)+((E57*F57*J57*R57*I57*H57)/12500000))/3*1000,"")</f>
        <v/>
      </c>
    </row>
    <row r="58">
      <c r="B58" s="6" t="inlineStr">
        <is>
          <t xml:space="preserve">  ↳ FutureTankCannons</t>
        </is>
      </c>
      <c r="C58" s="6" t="inlineStr">
        <is>
          <t>Armament</t>
        </is>
      </c>
      <c r="K58" s="5" t="n">
        <v>100000</v>
      </c>
      <c r="L58" s="5" t="n">
        <v>65</v>
      </c>
      <c r="M58" s="5" t="n">
        <v>2</v>
      </c>
      <c r="N58" s="5" t="n">
        <v>10</v>
      </c>
      <c r="O58" s="5" t="n">
        <v>7500</v>
      </c>
      <c r="P58" s="5" t="n">
        <v>1</v>
      </c>
      <c r="Q58">
        <f>L58+IF(M58&gt;1,N(N58)*(M58-1),0)</f>
        <v/>
      </c>
      <c r="R58">
        <f>IFERROR(K58*MAX(M58,1)/Q58*P58,0)</f>
        <v/>
      </c>
      <c r="AA58" s="6" t="inlineStr">
        <is>
          <t>^MediumFlameWeapon, ^MediumChemicalWeapon, ^ShrapnelWeapon, ^TeslaWeapon, ^MagicWeapon, ^SteelHeavyCannon</t>
        </is>
      </c>
    </row>
    <row r="59">
      <c r="B59" s="6" t="inlineStr">
        <is>
          <t xml:space="preserve">  ↳ FutureTankCannonsE</t>
        </is>
      </c>
      <c r="C59" s="6" t="inlineStr">
        <is>
          <t>Armament@elite</t>
        </is>
      </c>
      <c r="K59" s="5" t="n">
        <v>100000</v>
      </c>
      <c r="L59" s="5" t="n">
        <v>65</v>
      </c>
      <c r="M59" s="5" t="n">
        <v>4</v>
      </c>
      <c r="N59" s="5" t="n">
        <v>5</v>
      </c>
      <c r="O59" s="5" t="n">
        <v>8500</v>
      </c>
      <c r="P59" s="5" t="n">
        <v>1</v>
      </c>
      <c r="Q59">
        <f>L59+IF(M59&gt;1,N(N59)*(M59-1),0)</f>
        <v/>
      </c>
      <c r="R59">
        <f>IFERROR(K59*MAX(M59,1)/Q59*P59,0)</f>
        <v/>
      </c>
      <c r="AA59" s="6" t="inlineStr">
        <is>
          <t>^MediumFlameWeapon, ^MediumChemicalWeapon, ^ShrapnelWeapon, ^TeslaWeapon, ^MagicWeapon, ^SteelHeavyCannon</t>
        </is>
      </c>
    </row>
    <row r="60">
      <c r="A60" t="inlineStr">
        <is>
          <t>redalert2mod</t>
        </is>
      </c>
      <c r="B60" t="inlineStr">
        <is>
          <t>futuretech_guardiantank</t>
        </is>
      </c>
      <c r="C60" t="inlineStr">
        <is>
          <t>Guardian Tank</t>
        </is>
      </c>
      <c r="D60" t="inlineStr"/>
      <c r="E60" s="5" t="n">
        <v>115000</v>
      </c>
      <c r="F60" s="5" t="n">
        <v>85</v>
      </c>
      <c r="G60" t="inlineStr">
        <is>
          <t>Medium</t>
        </is>
      </c>
      <c r="H60" s="5" t="n">
        <v>1</v>
      </c>
      <c r="I60" s="5" t="n">
        <v>1</v>
      </c>
      <c r="J60" s="5" t="n">
        <v>1</v>
      </c>
      <c r="O60">
        <f>MAX(O61,O62,O63,O64)</f>
        <v/>
      </c>
      <c r="R60">
        <f>R61+R62+R63+R64</f>
        <v/>
      </c>
      <c r="S60">
        <f>(E60/100000+F60/100+(O60/1000)*J60/5+R60/200)*200*I60*H60</f>
        <v/>
      </c>
      <c r="T60">
        <f>((E60*F60/25000)+((O60/1000)*J60*R60/2.5))*I60*H60</f>
        <v/>
      </c>
      <c r="U60">
        <f>(E60*F60*(O60/1000)*J60*R60*I60*H60)/12500000</f>
        <v/>
      </c>
      <c r="V60">
        <f>(S60+T60+U60)/3</f>
        <v/>
      </c>
      <c r="W60" s="5" t="n">
        <v>850</v>
      </c>
      <c r="X60">
        <f>IFERROR(V60-W60,"")</f>
        <v/>
      </c>
      <c r="Y60">
        <f>IFERROR(ABS(X60)/MAX(W60,1),"")</f>
        <v/>
      </c>
      <c r="Z60">
        <f>IFERROR((W60-(((E60/100000+F60/100+R60/200)*200*I60*H60)+((E60*F60/25000)*I60*H60))/3)/(((J60/5)*200*I60*H60)+((J60*R60/2.5)*I60*H60)+((E60*F60*J60*R60*I60*H60)/12500000))/3*1000,"")</f>
        <v/>
      </c>
    </row>
    <row r="61">
      <c r="B61" s="6" t="inlineStr">
        <is>
          <t xml:space="preserve">  ↳ GuardianTankCannon</t>
        </is>
      </c>
      <c r="C61" s="6" t="inlineStr">
        <is>
          <t>Armament</t>
        </is>
      </c>
      <c r="K61" s="5" t="n">
        <v>12000</v>
      </c>
      <c r="L61" s="5" t="n">
        <v>85</v>
      </c>
      <c r="M61" s="5" t="n">
        <v>1</v>
      </c>
      <c r="N61" s="5" t="n"/>
      <c r="O61" s="5" t="n">
        <v>7820</v>
      </c>
      <c r="P61" s="5" t="n">
        <v>1</v>
      </c>
      <c r="Q61">
        <f>L61+IF(M61&gt;1,N(N61)*(M61-1),0)</f>
        <v/>
      </c>
      <c r="R61">
        <f>IFERROR(K61*MAX(M61,1)/Q61*P61,0)</f>
        <v/>
      </c>
      <c r="AA61" s="6" t="inlineStr">
        <is>
          <t>^RA2MediumCannon</t>
        </is>
      </c>
    </row>
    <row r="62">
      <c r="B62" s="6" t="inlineStr">
        <is>
          <t xml:space="preserve">  ↳ GuardianTankCannonE</t>
        </is>
      </c>
      <c r="C62" s="6" t="inlineStr">
        <is>
          <t>Armament@elite</t>
        </is>
      </c>
      <c r="K62" s="5" t="n">
        <v>12000</v>
      </c>
      <c r="L62" s="5" t="n">
        <v>85</v>
      </c>
      <c r="M62" s="5" t="n">
        <v>2</v>
      </c>
      <c r="N62" s="5" t="n">
        <v>3</v>
      </c>
      <c r="O62" s="5" t="n">
        <v>8820</v>
      </c>
      <c r="P62" s="5" t="n">
        <v>1</v>
      </c>
      <c r="Q62">
        <f>L62+IF(M62&gt;1,N(N62)*(M62-1),0)</f>
        <v/>
      </c>
      <c r="R62">
        <f>IFERROR(K62*MAX(M62,1)/Q62*P62,0)</f>
        <v/>
      </c>
      <c r="AA62" s="6" t="inlineStr">
        <is>
          <t>^RA2MediumCannon, ^RA2EliteEffects</t>
        </is>
      </c>
    </row>
    <row r="63">
      <c r="B63" s="6" t="inlineStr">
        <is>
          <t xml:space="preserve">  ↳ Future_MBT_DebuffLaser</t>
        </is>
      </c>
      <c r="C63" s="6" t="inlineStr">
        <is>
          <t>Armament@debuff</t>
        </is>
      </c>
      <c r="K63" s="5" t="n"/>
      <c r="L63" s="5" t="n">
        <v>4</v>
      </c>
      <c r="M63" s="5" t="n">
        <v>1</v>
      </c>
      <c r="N63" s="5" t="n"/>
      <c r="O63" s="5" t="n">
        <v>7820</v>
      </c>
      <c r="P63" s="5" t="n">
        <v>1</v>
      </c>
      <c r="Q63">
        <f>L63+IF(M63&gt;1,N(N63)*(M63-1),0)</f>
        <v/>
      </c>
      <c r="R63">
        <f>IFERROR(K63*MAX(M63,1)/Q63*P63,0)</f>
        <v/>
      </c>
      <c r="AA63" s="6" t="inlineStr"/>
    </row>
    <row r="64">
      <c r="B64" s="6" t="inlineStr">
        <is>
          <t xml:space="preserve">  ↳ Future_MBT_DebuffLaserE</t>
        </is>
      </c>
      <c r="C64" s="6" t="inlineStr">
        <is>
          <t>Armament@debuffelite</t>
        </is>
      </c>
      <c r="K64" s="5" t="n"/>
      <c r="L64" s="5" t="n">
        <v>4</v>
      </c>
      <c r="M64" s="5" t="n">
        <v>1</v>
      </c>
      <c r="N64" s="5" t="n"/>
      <c r="O64" s="5" t="n">
        <v>8820</v>
      </c>
      <c r="P64" s="5" t="n">
        <v>1</v>
      </c>
      <c r="Q64">
        <f>L64+IF(M64&gt;1,N(N64)*(M64-1),0)</f>
        <v/>
      </c>
      <c r="R64">
        <f>IFERROR(K64*MAX(M64,1)/Q64*P64,0)</f>
        <v/>
      </c>
      <c r="AA64" s="6" t="inlineStr">
        <is>
          <t>Future_MBT_DebuffLaser</t>
        </is>
      </c>
    </row>
    <row r="65">
      <c r="A65" t="inlineStr">
        <is>
          <t>redalert2mod</t>
        </is>
      </c>
      <c r="B65" t="inlineStr">
        <is>
          <t>futuretech_gunstrider</t>
        </is>
      </c>
      <c r="C65" t="inlineStr">
        <is>
          <t>Gun Strider</t>
        </is>
      </c>
      <c r="D65" t="inlineStr"/>
      <c r="E65" s="5" t="n">
        <v>320000</v>
      </c>
      <c r="F65" s="5" t="n">
        <v>35</v>
      </c>
      <c r="G65" t="inlineStr">
        <is>
          <t>Heavy</t>
        </is>
      </c>
      <c r="H65" s="5" t="n">
        <v>1</v>
      </c>
      <c r="I65" s="5" t="n">
        <v>1</v>
      </c>
      <c r="J65" s="5" t="n">
        <v>1</v>
      </c>
      <c r="O65">
        <f>MAX(O66)</f>
        <v/>
      </c>
      <c r="R65">
        <f>R66</f>
        <v/>
      </c>
      <c r="S65">
        <f>(E65/100000+F65/100+(O65/1000)*J65/5+R65/200)*200*I65*H65</f>
        <v/>
      </c>
      <c r="T65">
        <f>((E65*F65/25000)+((O65/1000)*J65*R65/2.5))*I65*H65</f>
        <v/>
      </c>
      <c r="U65">
        <f>(E65*F65*(O65/1000)*J65*R65*I65*H65)/12500000</f>
        <v/>
      </c>
      <c r="V65">
        <f>(S65+T65+U65)/3</f>
        <v/>
      </c>
      <c r="W65" s="5" t="n">
        <v>2500</v>
      </c>
      <c r="X65">
        <f>IFERROR(V65-W65,"")</f>
        <v/>
      </c>
      <c r="Y65">
        <f>IFERROR(ABS(X65)/MAX(W65,1),"")</f>
        <v/>
      </c>
      <c r="Z65">
        <f>IFERROR((W65-(((E65/100000+F65/100+R65/200)*200*I65*H65)+((E65*F65/25000)*I65*H65))/3)/(((J65/5)*200*I65*H65)+((J65*R65/2.5)*I65*H65)+((E65*F65*J65*R65*I65*H65)/12500000))/3*1000,"")</f>
        <v/>
      </c>
    </row>
    <row r="66">
      <c r="B66" s="6" t="inlineStr">
        <is>
          <t xml:space="preserve">  ↳ FutureMechGatling</t>
        </is>
      </c>
      <c r="C66" s="6" t="inlineStr">
        <is>
          <t>Armament</t>
        </is>
      </c>
      <c r="K66" s="5" t="n">
        <v>2000</v>
      </c>
      <c r="L66" s="5" t="n">
        <v>12</v>
      </c>
      <c r="M66" s="5" t="n">
        <v>1</v>
      </c>
      <c r="N66" s="5" t="n"/>
      <c r="O66" s="5" t="n">
        <v>8300</v>
      </c>
      <c r="P66" s="5" t="n">
        <v>1</v>
      </c>
      <c r="Q66">
        <f>L66+IF(M66&gt;1,N(N66)*(M66-1),0)</f>
        <v/>
      </c>
      <c r="R66">
        <f>IFERROR(K66*MAX(M66,1)/Q66*P66,0)</f>
        <v/>
      </c>
      <c r="AA66" s="6" t="inlineStr">
        <is>
          <t>^TankDestroyerCannon, ^LightMissile, ^FlakWeapon, ^RA2Chaingun</t>
        </is>
      </c>
    </row>
    <row r="67">
      <c r="A67" t="inlineStr">
        <is>
          <t>redalert2mod</t>
        </is>
      </c>
      <c r="B67" t="inlineStr">
        <is>
          <t>futuretech_mobileconstructionvehicle</t>
        </is>
      </c>
      <c r="C67" t="inlineStr">
        <is>
          <t>FutureTech Mobile Construction Vehicle</t>
        </is>
      </c>
      <c r="D67" t="inlineStr"/>
      <c r="E67" s="5" t="n">
        <v>300000</v>
      </c>
      <c r="F67" s="5" t="n">
        <v>75</v>
      </c>
      <c r="G67" t="inlineStr">
        <is>
          <t>Medium</t>
        </is>
      </c>
      <c r="H67" s="5" t="n">
        <v>1</v>
      </c>
      <c r="I67" s="5" t="n">
        <v>1</v>
      </c>
      <c r="J67" s="5" t="n">
        <v>1</v>
      </c>
      <c r="W67" s="5" t="n">
        <v>5000</v>
      </c>
    </row>
    <row r="68">
      <c r="A68" t="inlineStr">
        <is>
          <t>redalert2mod</t>
        </is>
      </c>
      <c r="B68" t="inlineStr">
        <is>
          <t>futuretech_oriontank</t>
        </is>
      </c>
      <c r="C68" t="inlineStr">
        <is>
          <t>Orion Tank</t>
        </is>
      </c>
      <c r="D68" t="inlineStr"/>
      <c r="E68" s="5" t="n">
        <v>180000</v>
      </c>
      <c r="F68" s="5" t="n">
        <v>60</v>
      </c>
      <c r="G68" t="inlineStr">
        <is>
          <t>Heavy</t>
        </is>
      </c>
      <c r="H68" s="5" t="n">
        <v>0.75</v>
      </c>
      <c r="I68" s="5" t="n">
        <v>1</v>
      </c>
      <c r="J68" s="5" t="n">
        <v>1</v>
      </c>
      <c r="O68">
        <f>MAX(O69,O70)</f>
        <v/>
      </c>
      <c r="R68">
        <f>R69+R70</f>
        <v/>
      </c>
      <c r="S68">
        <f>(E68/100000+F68/100+(O68/1000)*J68/5+R68/200)*200*I68*H68</f>
        <v/>
      </c>
      <c r="T68">
        <f>((E68*F68/25000)+((O68/1000)*J68*R68/2.5))*I68*H68</f>
        <v/>
      </c>
      <c r="U68">
        <f>(E68*F68*(O68/1000)*J68*R68*I68*H68)/12500000</f>
        <v/>
      </c>
      <c r="V68">
        <f>(S68+T68+U68)/3</f>
        <v/>
      </c>
      <c r="W68" s="5" t="n">
        <v>2400</v>
      </c>
      <c r="X68">
        <f>IFERROR(V68-W68,"")</f>
        <v/>
      </c>
      <c r="Y68">
        <f>IFERROR(ABS(X68)/MAX(W68,1),"")</f>
        <v/>
      </c>
      <c r="Z68">
        <f>IFERROR((W68-(((E68/100000+F68/100+R68/200)*200*I68*H68)+((E68*F68/25000)*I68*H68))/3)/(((J68/5)*200*I68*H68)+((J68*R68/2.5)*I68*H68)+((E68*F68*J68*R68*I68*H68)/12500000))/3*1000,"")</f>
        <v/>
      </c>
    </row>
    <row r="69">
      <c r="B69" s="6" t="inlineStr">
        <is>
          <t xml:space="preserve">  ↳ OrionRailgun</t>
        </is>
      </c>
      <c r="C69" s="6" t="inlineStr">
        <is>
          <t>Armament</t>
        </is>
      </c>
      <c r="K69" s="5" t="n">
        <v>30000</v>
      </c>
      <c r="L69" s="5" t="n">
        <v>60</v>
      </c>
      <c r="M69" s="5" t="n">
        <v>1</v>
      </c>
      <c r="N69" s="5" t="n"/>
      <c r="O69" s="5" t="n">
        <v>7500</v>
      </c>
      <c r="P69" s="5" t="n">
        <v>1</v>
      </c>
      <c r="Q69">
        <f>L69+IF(M69&gt;1,N(N69)*(M69-1),0)</f>
        <v/>
      </c>
      <c r="R69">
        <f>IFERROR(K69*MAX(M69,1)/Q69*P69,0)</f>
        <v/>
      </c>
      <c r="AA69" s="6" t="inlineStr">
        <is>
          <t>^RailgunWeapon, ^RA2HeavyCannon</t>
        </is>
      </c>
    </row>
    <row r="70">
      <c r="B70" s="6" t="inlineStr">
        <is>
          <t xml:space="preserve">  ↳ OrionRailgunE</t>
        </is>
      </c>
      <c r="C70" s="6" t="inlineStr">
        <is>
          <t>Armament@elite</t>
        </is>
      </c>
      <c r="K70" s="5" t="n">
        <v>60000</v>
      </c>
      <c r="L70" s="5" t="n">
        <v>60</v>
      </c>
      <c r="M70" s="5" t="n">
        <v>1</v>
      </c>
      <c r="N70" s="5" t="n"/>
      <c r="O70" s="5" t="n">
        <v>9000</v>
      </c>
      <c r="P70" s="5" t="n">
        <v>1</v>
      </c>
      <c r="Q70">
        <f>L70+IF(M70&gt;1,N(N70)*(M70-1),0)</f>
        <v/>
      </c>
      <c r="R70">
        <f>IFERROR(K70*MAX(M70,1)/Q70*P70,0)</f>
        <v/>
      </c>
      <c r="AA70" s="6" t="inlineStr">
        <is>
          <t>^RailgunWeapon, ^RA2HeavyCannon, ^RA2EliteEffects</t>
        </is>
      </c>
    </row>
    <row r="71">
      <c r="A71" t="inlineStr">
        <is>
          <t>redalert2mod</t>
        </is>
      </c>
      <c r="B71" t="inlineStr">
        <is>
          <t>futuretech_phalanxwip</t>
        </is>
      </c>
      <c r="C71" t="inlineStr">
        <is>
          <t>Phalanx (WIP)</t>
        </is>
      </c>
      <c r="D71" t="inlineStr"/>
      <c r="E71" s="5" t="n">
        <v>75000</v>
      </c>
      <c r="F71" s="5" t="n">
        <v>90</v>
      </c>
      <c r="G71" t="inlineStr">
        <is>
          <t>Medium</t>
        </is>
      </c>
      <c r="H71" s="5" t="n">
        <v>1</v>
      </c>
      <c r="I71" s="5" t="n">
        <v>1</v>
      </c>
      <c r="J71" s="5" t="n">
        <v>1</v>
      </c>
      <c r="O71">
        <f>MAX(O72,O73,O74)</f>
        <v/>
      </c>
      <c r="R71">
        <f>R72+R73+R74</f>
        <v/>
      </c>
      <c r="S71">
        <f>(E71/100000+F71/100+(O71/1000)*J71/5+R71/200)*200*I71*H71</f>
        <v/>
      </c>
      <c r="T71">
        <f>((E71*F71/25000)+((O71/1000)*J71*R71/2.5))*I71*H71</f>
        <v/>
      </c>
      <c r="U71">
        <f>(E71*F71*(O71/1000)*J71*R71*I71*H71)/12500000</f>
        <v/>
      </c>
      <c r="V71">
        <f>(S71+T71+U71)/3</f>
        <v/>
      </c>
      <c r="W71" s="5" t="n">
        <v>2500</v>
      </c>
      <c r="X71">
        <f>IFERROR(V71-W71,"")</f>
        <v/>
      </c>
      <c r="Y71">
        <f>IFERROR(ABS(X71)/MAX(W71,1),"")</f>
        <v/>
      </c>
      <c r="Z71">
        <f>IFERROR((W71-(((E71/100000+F71/100+R71/200)*200*I71*H71)+((E71*F71/25000)*I71*H71))/3)/(((J71/5)*200*I71*H71)+((J71*R71/2.5)*I71*H71)+((E71*F71*J71*R71*I71*H71)/12500000))/3*1000,"")</f>
        <v/>
      </c>
    </row>
    <row r="72">
      <c r="B72" s="6" t="inlineStr">
        <is>
          <t xml:space="preserve">  ↳ RA2RTruckRocket</t>
        </is>
      </c>
      <c r="C72" s="6" t="inlineStr">
        <is>
          <t>Armament</t>
        </is>
      </c>
      <c r="K72" s="5" t="n">
        <v>2000</v>
      </c>
      <c r="L72" s="5" t="n">
        <v>108</v>
      </c>
      <c r="M72" s="5" t="n">
        <v>8</v>
      </c>
      <c r="N72" s="5" t="n">
        <v>3</v>
      </c>
      <c r="O72" s="5" t="n">
        <v>7777</v>
      </c>
      <c r="P72" s="5" t="n">
        <v>1</v>
      </c>
      <c r="Q72">
        <f>L72+IF(M72&gt;1,N(N72)*(M72-1),0)</f>
        <v/>
      </c>
      <c r="R72">
        <f>IFERROR(K72*MAX(M72,1)/Q72*P72,0)</f>
        <v/>
      </c>
      <c r="AA72" s="6" t="inlineStr">
        <is>
          <t>^RA2Grenade, ^LightFlameWeapon, ^ShrapnelWeapon, ^RA2MediumMissile</t>
        </is>
      </c>
    </row>
    <row r="73">
      <c r="B73" s="6" t="inlineStr">
        <is>
          <t xml:space="preserve">  ↳ RA2RTruckRocket</t>
        </is>
      </c>
      <c r="C73" s="6" t="inlineStr">
        <is>
          <t>Armament@PRIMARYELITE</t>
        </is>
      </c>
      <c r="K73" s="5" t="n">
        <v>2000</v>
      </c>
      <c r="L73" s="5" t="n">
        <v>108</v>
      </c>
      <c r="M73" s="5" t="n">
        <v>8</v>
      </c>
      <c r="N73" s="5" t="n">
        <v>3</v>
      </c>
      <c r="O73" s="5" t="n">
        <v>7777</v>
      </c>
      <c r="P73" s="5" t="n">
        <v>1</v>
      </c>
      <c r="Q73">
        <f>L73+IF(M73&gt;1,N(N73)*(M73-1),0)</f>
        <v/>
      </c>
      <c r="R73">
        <f>IFERROR(K73*MAX(M73,1)/Q73*P73,0)</f>
        <v/>
      </c>
      <c r="AA73" s="6" t="inlineStr">
        <is>
          <t>^RA2Grenade, ^LightFlameWeapon, ^ShrapnelWeapon, ^RA2MediumMissile</t>
        </is>
      </c>
    </row>
    <row r="74">
      <c r="B74" s="6" t="inlineStr">
        <is>
          <t xml:space="preserve">  ↳ FutureMicrotorpedos</t>
        </is>
      </c>
      <c r="C74" s="6" t="inlineStr">
        <is>
          <t>Armament@WATER</t>
        </is>
      </c>
      <c r="K74" s="5" t="n">
        <v>6000</v>
      </c>
      <c r="L74" s="5" t="n">
        <v>240</v>
      </c>
      <c r="M74" s="5" t="n">
        <v>4</v>
      </c>
      <c r="N74" s="5" t="n">
        <v>8</v>
      </c>
      <c r="O74" s="5" t="n">
        <v>12000</v>
      </c>
      <c r="P74" s="5" t="n">
        <v>1</v>
      </c>
      <c r="Q74">
        <f>L74+IF(M74&gt;1,N(N74)*(M74-1),0)</f>
        <v/>
      </c>
      <c r="R74">
        <f>IFERROR(K74*MAX(M74,1)/Q74*P74,0)</f>
        <v/>
      </c>
      <c r="AA74" s="6" t="inlineStr">
        <is>
          <t>^RA2Grenade, ^RA2HeavyMissile</t>
        </is>
      </c>
    </row>
    <row r="75">
      <c r="A75" t="inlineStr">
        <is>
          <t>redalert2mod</t>
        </is>
      </c>
      <c r="B75" t="inlineStr">
        <is>
          <t>futuretech_plasmastrider</t>
        </is>
      </c>
      <c r="C75" t="inlineStr">
        <is>
          <t>Plasma Strider</t>
        </is>
      </c>
      <c r="D75" t="inlineStr"/>
      <c r="E75" s="5" t="n">
        <v>240000</v>
      </c>
      <c r="F75" s="5" t="n">
        <v>40</v>
      </c>
      <c r="G75" t="inlineStr">
        <is>
          <t>Heavy</t>
        </is>
      </c>
      <c r="H75" s="5" t="n">
        <v>1</v>
      </c>
      <c r="I75" s="5" t="n">
        <v>1</v>
      </c>
      <c r="J75" s="5" t="n">
        <v>1</v>
      </c>
      <c r="O75">
        <f>MAX(O76,O77)</f>
        <v/>
      </c>
      <c r="R75">
        <f>R76+R77</f>
        <v/>
      </c>
      <c r="S75">
        <f>(E75/100000+F75/100+(O75/1000)*J75/5+R75/200)*200*I75*H75</f>
        <v/>
      </c>
      <c r="T75">
        <f>((E75*F75/25000)+((O75/1000)*J75*R75/2.5))*I75*H75</f>
        <v/>
      </c>
      <c r="U75">
        <f>(E75*F75*(O75/1000)*J75*R75*I75*H75)/12500000</f>
        <v/>
      </c>
      <c r="V75">
        <f>(S75+T75+U75)/3</f>
        <v/>
      </c>
      <c r="W75" s="5" t="n">
        <v>2600</v>
      </c>
      <c r="X75">
        <f>IFERROR(V75-W75,"")</f>
        <v/>
      </c>
      <c r="Y75">
        <f>IFERROR(ABS(X75)/MAX(W75,1),"")</f>
        <v/>
      </c>
      <c r="Z75">
        <f>IFERROR((W75-(((E75/100000+F75/100+R75/200)*200*I75*H75)+((E75*F75/25000)*I75*H75))/3)/(((J75/5)*200*I75*H75)+((J75*R75/2.5)*I75*H75)+((E75*F75*J75*R75*I75*H75)/12500000))/3*1000,"")</f>
        <v/>
      </c>
    </row>
    <row r="76">
      <c r="B76" s="6" t="inlineStr">
        <is>
          <t xml:space="preserve">  ↳ FutureMechPlasma</t>
        </is>
      </c>
      <c r="C76" s="6" t="inlineStr">
        <is>
          <t>Armament@PRIMARY</t>
        </is>
      </c>
      <c r="K76" s="5" t="n">
        <v>10000</v>
      </c>
      <c r="L76" s="5" t="n">
        <v>50</v>
      </c>
      <c r="M76" s="5" t="n">
        <v>2</v>
      </c>
      <c r="N76" s="5" t="n">
        <v>10</v>
      </c>
      <c r="O76" s="5" t="n">
        <v>7000</v>
      </c>
      <c r="P76" s="5" t="n">
        <v>1</v>
      </c>
      <c r="Q76">
        <f>L76+IF(M76&gt;1,N(N76)*(M76-1),0)</f>
        <v/>
      </c>
      <c r="R76">
        <f>IFERROR(K76*MAX(M76,1)/Q76*P76,0)</f>
        <v/>
      </c>
      <c r="AA76" s="6" t="inlineStr">
        <is>
          <t>^Grenade, ^MediumChemicalWeapon, ^SteelHeavyCannon</t>
        </is>
      </c>
    </row>
    <row r="77">
      <c r="B77" s="6" t="inlineStr">
        <is>
          <t xml:space="preserve">  ↳ FutureMechPlasmaE</t>
        </is>
      </c>
      <c r="C77" s="6" t="inlineStr">
        <is>
          <t>Armament@ELITE</t>
        </is>
      </c>
      <c r="K77" s="5" t="n">
        <v>10000</v>
      </c>
      <c r="L77" s="5" t="n">
        <v>50</v>
      </c>
      <c r="M77" s="5" t="n">
        <v>4</v>
      </c>
      <c r="N77" s="5" t="n">
        <v>5</v>
      </c>
      <c r="O77" s="5" t="n">
        <v>8000</v>
      </c>
      <c r="P77" s="5" t="n">
        <v>1</v>
      </c>
      <c r="Q77">
        <f>L77+IF(M77&gt;1,N(N77)*(M77-1),0)</f>
        <v/>
      </c>
      <c r="R77">
        <f>IFERROR(K77*MAX(M77,1)/Q77*P77,0)</f>
        <v/>
      </c>
      <c r="AA77" s="6" t="inlineStr">
        <is>
          <t>^Grenade, ^MediumChemicalWeapon, ^SteelHeavyCannon</t>
        </is>
      </c>
    </row>
    <row r="78">
      <c r="A78" t="inlineStr">
        <is>
          <t>redalert2mod</t>
        </is>
      </c>
      <c r="B78" t="inlineStr">
        <is>
          <t>futuretech_prospector</t>
        </is>
      </c>
      <c r="C78" t="inlineStr">
        <is>
          <t>Prospector</t>
        </is>
      </c>
      <c r="D78" t="inlineStr"/>
      <c r="E78" s="5" t="n">
        <v>100000</v>
      </c>
      <c r="F78" s="5" t="n">
        <v>100</v>
      </c>
      <c r="G78" t="inlineStr">
        <is>
          <t>Medium</t>
        </is>
      </c>
      <c r="H78" s="5" t="n">
        <v>1</v>
      </c>
      <c r="I78" s="5" t="n">
        <v>1</v>
      </c>
      <c r="J78" s="5" t="n">
        <v>1</v>
      </c>
      <c r="W78" s="5" t="n">
        <v>1000</v>
      </c>
    </row>
    <row r="79">
      <c r="A79" t="inlineStr">
        <is>
          <t>redalert2mod</t>
        </is>
      </c>
      <c r="B79" t="inlineStr">
        <is>
          <t>futuretech_prospectormk2</t>
        </is>
      </c>
      <c r="C79" t="inlineStr">
        <is>
          <t>Prospector MK2</t>
        </is>
      </c>
      <c r="D79" t="inlineStr"/>
      <c r="E79" s="5" t="n">
        <v>120000</v>
      </c>
      <c r="F79" s="5" t="n">
        <v>120</v>
      </c>
      <c r="G79" t="inlineStr">
        <is>
          <t>Medium</t>
        </is>
      </c>
      <c r="H79" s="5" t="n">
        <v>1</v>
      </c>
      <c r="I79" s="5" t="n">
        <v>1</v>
      </c>
      <c r="J79" s="5" t="n">
        <v>1</v>
      </c>
      <c r="W79" s="5" t="n">
        <v>1200</v>
      </c>
    </row>
    <row r="80">
      <c r="A80" t="inlineStr">
        <is>
          <t>redalert2mod</t>
        </is>
      </c>
      <c r="B80" t="inlineStr">
        <is>
          <t>futuretech_riptideacv</t>
        </is>
      </c>
      <c r="C80" t="inlineStr">
        <is>
          <t>Riptide ACV</t>
        </is>
      </c>
      <c r="D80" t="inlineStr"/>
      <c r="E80" s="5" t="n">
        <v>65000</v>
      </c>
      <c r="F80" s="5" t="n">
        <v>105</v>
      </c>
      <c r="G80" t="inlineStr">
        <is>
          <t>Light</t>
        </is>
      </c>
      <c r="H80" s="5" t="n">
        <v>1</v>
      </c>
      <c r="I80" s="5" t="n">
        <v>1.25</v>
      </c>
      <c r="J80" s="5" t="n">
        <v>1</v>
      </c>
      <c r="O80">
        <f>MAX(O81,O82)</f>
        <v/>
      </c>
      <c r="R80">
        <f>R81+R82</f>
        <v/>
      </c>
      <c r="S80">
        <f>(E80/100000+F80/100+(O80/1000)*J80/5+R80/200)*200*I80*H80</f>
        <v/>
      </c>
      <c r="T80">
        <f>((E80*F80/25000)+((O80/1000)*J80*R80/2.5))*I80*H80</f>
        <v/>
      </c>
      <c r="U80">
        <f>(E80*F80*(O80/1000)*J80*R80*I80*H80)/12500000</f>
        <v/>
      </c>
      <c r="V80">
        <f>(S80+T80+U80)/3</f>
        <v/>
      </c>
      <c r="W80" s="5" t="n">
        <v>1700</v>
      </c>
      <c r="X80">
        <f>IFERROR(V80-W80,"")</f>
        <v/>
      </c>
      <c r="Y80">
        <f>IFERROR(ABS(X80)/MAX(W80,1),"")</f>
        <v/>
      </c>
      <c r="Z80">
        <f>IFERROR((W80-(((E80/100000+F80/100+R80/200)*200*I80*H80)+((E80*F80/25000)*I80*H80))/3)/(((J80/5)*200*I80*H80)+((J80*R80/2.5)*I80*H80)+((E80*F80*J80*R80*I80*H80)/12500000))/3*1000,"")</f>
        <v/>
      </c>
    </row>
    <row r="81">
      <c r="B81" s="6" t="inlineStr">
        <is>
          <t xml:space="preserve">  ↳ ACV_Machinegun</t>
        </is>
      </c>
      <c r="C81" s="6" t="inlineStr">
        <is>
          <t>Armament@AG</t>
        </is>
      </c>
      <c r="K81" s="5" t="n">
        <v>2000</v>
      </c>
      <c r="L81" s="5" t="n">
        <v>21</v>
      </c>
      <c r="M81" s="5" t="n">
        <v>4</v>
      </c>
      <c r="N81" s="5" t="n">
        <v>2</v>
      </c>
      <c r="O81" s="5" t="n">
        <v>5555</v>
      </c>
      <c r="P81" s="5" t="n">
        <v>1</v>
      </c>
      <c r="Q81">
        <f>L81+IF(M81&gt;1,N(N81)*(M81-1),0)</f>
        <v/>
      </c>
      <c r="R81">
        <f>IFERROR(K81*MAX(M81,1)/Q81*P81,0)</f>
        <v/>
      </c>
      <c r="AA81" s="6" t="inlineStr">
        <is>
          <t>^RA2SmallArms, ^RA2Chaingun</t>
        </is>
      </c>
    </row>
    <row r="82">
      <c r="B82" s="6" t="inlineStr">
        <is>
          <t xml:space="preserve">  ↳ FutureMicrotorpedos</t>
        </is>
      </c>
      <c r="C82" s="6" t="inlineStr">
        <is>
          <t>Armament@WATER</t>
        </is>
      </c>
      <c r="K82" s="5" t="n">
        <v>6000</v>
      </c>
      <c r="L82" s="5" t="n">
        <v>240</v>
      </c>
      <c r="M82" s="5" t="n">
        <v>4</v>
      </c>
      <c r="N82" s="5" t="n">
        <v>8</v>
      </c>
      <c r="O82" s="5" t="n">
        <v>12000</v>
      </c>
      <c r="P82" s="5" t="n">
        <v>1</v>
      </c>
      <c r="Q82">
        <f>L82+IF(M82&gt;1,N(N82)*(M82-1),0)</f>
        <v/>
      </c>
      <c r="R82">
        <f>IFERROR(K82*MAX(M82,1)/Q82*P82,0)</f>
        <v/>
      </c>
      <c r="AA82" s="6" t="inlineStr">
        <is>
          <t>^RA2Grenade, ^RA2HeavyMissile</t>
        </is>
      </c>
    </row>
    <row r="83">
      <c r="A83" t="inlineStr">
        <is>
          <t>redalert2mod</t>
        </is>
      </c>
      <c r="B83" t="inlineStr">
        <is>
          <t>futuretech_robottank</t>
        </is>
      </c>
      <c r="C83" t="inlineStr">
        <is>
          <t>Robot Tank</t>
        </is>
      </c>
      <c r="D83" t="inlineStr"/>
      <c r="E83" s="5" t="n">
        <v>50000</v>
      </c>
      <c r="F83" s="5" t="n">
        <v>130</v>
      </c>
      <c r="G83" t="inlineStr">
        <is>
          <t>Medium</t>
        </is>
      </c>
      <c r="H83" s="5" t="n">
        <v>1</v>
      </c>
      <c r="I83" s="5" t="n">
        <v>1</v>
      </c>
      <c r="J83" s="5" t="n">
        <v>1</v>
      </c>
      <c r="O83">
        <f>MAX(O84,O85)</f>
        <v/>
      </c>
      <c r="R83">
        <f>R84+R85</f>
        <v/>
      </c>
      <c r="S83">
        <f>(E83/100000+F83/100+(O83/1000)*J83/5+R83/200)*200*I83*H83</f>
        <v/>
      </c>
      <c r="T83">
        <f>((E83*F83/25000)+((O83/1000)*J83*R83/2.5))*I83*H83</f>
        <v/>
      </c>
      <c r="U83">
        <f>(E83*F83*(O83/1000)*J83*R83*I83*H83)/12500000</f>
        <v/>
      </c>
      <c r="V83">
        <f>(S83+T83+U83)/3</f>
        <v/>
      </c>
      <c r="W83" s="5" t="n">
        <v>1600</v>
      </c>
      <c r="X83">
        <f>IFERROR(V83-W83,"")</f>
        <v/>
      </c>
      <c r="Y83">
        <f>IFERROR(ABS(X83)/MAX(W83,1),"")</f>
        <v/>
      </c>
      <c r="Z83">
        <f>IFERROR((W83-(((E83/100000+F83/100+R83/200)*200*I83*H83)+((E83*F83/25000)*I83*H83))/3)/(((J83/5)*200*I83*H83)+((J83*R83/2.5)*I83*H83)+((E83*F83*J83*R83*I83*H83)/12500000))/3*1000,"")</f>
        <v/>
      </c>
    </row>
    <row r="84">
      <c r="B84" s="6" t="inlineStr">
        <is>
          <t xml:space="preserve">  ↳ RA2Robotmm</t>
        </is>
      </c>
      <c r="C84" s="6" t="inlineStr">
        <is>
          <t>Armament</t>
        </is>
      </c>
      <c r="K84" s="5" t="n">
        <v>8000</v>
      </c>
      <c r="L84" s="5" t="n">
        <v>48</v>
      </c>
      <c r="M84" s="5" t="n">
        <v>1</v>
      </c>
      <c r="N84" s="5" t="n"/>
      <c r="O84" s="5" t="n">
        <v>5780</v>
      </c>
      <c r="P84" s="5" t="n">
        <v>1</v>
      </c>
      <c r="Q84">
        <f>L84+IF(M84&gt;1,N(N84)*(M84-1),0)</f>
        <v/>
      </c>
      <c r="R84">
        <f>IFERROR(K84*MAX(M84,1)/Q84*P84,0)</f>
        <v/>
      </c>
      <c r="AA84" s="6" t="inlineStr">
        <is>
          <t>^TeslaWeapon, ^LaserWeapon, ^RA2RailgunWeapon</t>
        </is>
      </c>
    </row>
    <row r="85">
      <c r="B85" s="6" t="inlineStr">
        <is>
          <t xml:space="preserve">  ↳ RA2Robotmm_elite</t>
        </is>
      </c>
      <c r="C85" s="6" t="inlineStr">
        <is>
          <t>Armament@elite</t>
        </is>
      </c>
      <c r="K85" s="5" t="n">
        <v>8000</v>
      </c>
      <c r="L85" s="5" t="n">
        <v>48</v>
      </c>
      <c r="M85" s="5" t="n">
        <v>1</v>
      </c>
      <c r="N85" s="5" t="n"/>
      <c r="O85" s="5" t="n">
        <v>6780</v>
      </c>
      <c r="P85" s="5" t="n">
        <v>1</v>
      </c>
      <c r="Q85">
        <f>L85+IF(M85&gt;1,N(N85)*(M85-1),0)</f>
        <v/>
      </c>
      <c r="R85">
        <f>IFERROR(K85*MAX(M85,1)/Q85*P85,0)</f>
        <v/>
      </c>
      <c r="AA85" s="6" t="inlineStr">
        <is>
          <t>^TeslaWeapon, ^LaserWeapon, ^RA2RailgunWeapon</t>
        </is>
      </c>
    </row>
    <row r="86">
      <c r="A86" t="inlineStr">
        <is>
          <t>redalert2mod</t>
        </is>
      </c>
      <c r="B86" t="inlineStr">
        <is>
          <t>futuretech_salamanderifv</t>
        </is>
      </c>
      <c r="C86" t="inlineStr">
        <is>
          <t>Salamander IFV</t>
        </is>
      </c>
      <c r="D86" t="inlineStr"/>
      <c r="E86" s="5" t="n">
        <v>50000</v>
      </c>
      <c r="F86" s="5" t="n">
        <v>150</v>
      </c>
      <c r="G86" t="inlineStr">
        <is>
          <t>Scout</t>
        </is>
      </c>
      <c r="H86" s="5" t="n">
        <v>1</v>
      </c>
      <c r="I86" s="5" t="n">
        <v>0.333</v>
      </c>
      <c r="J86" s="5" t="n">
        <v>1</v>
      </c>
      <c r="O86">
        <f>MAX(O87,O88,O89,O90,O91,O92,O93,O94,O95,O96,O97,O98,O99,O100,O101,O102,O103,O104,O105,O106,O107,O108,O109,O110,O111,O112,O113,O114,O115,O116,O117,O118,O119,O120,O121,O122,O123,O124,O125,O126,O127,O128)</f>
        <v/>
      </c>
      <c r="R86">
        <f>R87+R88+R89+R90+R91+R92+R93+R94+R95+R96+R97+R98+R99+R100+R101+R102+R103+R104+R105+R106+R107+R108+R109+R110+R111+R112+R113+R114+R115+R116+R117+R118+R119+R120+R121+R122+R123+R124+R125+R126+R127+R128</f>
        <v/>
      </c>
      <c r="S86">
        <f>(E86/100000+F86/100+(O86/1000)*J86/5+R86/200)*200*I86*H86</f>
        <v/>
      </c>
      <c r="T86">
        <f>((E86*F86/25000)+((O86/1000)*J86*R86/2.5))*I86*H86</f>
        <v/>
      </c>
      <c r="U86">
        <f>(E86*F86*(O86/1000)*J86*R86*I86*H86)/12500000</f>
        <v/>
      </c>
      <c r="V86">
        <f>(S86+T86+U86)/3</f>
        <v/>
      </c>
      <c r="W86" s="5" t="n">
        <v>950</v>
      </c>
      <c r="X86">
        <f>IFERROR(V86-W86,"")</f>
        <v/>
      </c>
      <c r="Y86">
        <f>IFERROR(ABS(X86)/MAX(W86,1),"")</f>
        <v/>
      </c>
      <c r="Z86">
        <f>IFERROR((W86-(((E86/100000+F86/100+R86/200)*200*I86*H86)+((E86*F86/25000)*I86*H86))/3)/(((J86/5)*200*I86*H86)+((J86*R86/2.5)*I86*H86)+((E86*F86*J86*R86*I86*H86)/12500000))/3*1000,"")</f>
        <v/>
      </c>
    </row>
    <row r="87">
      <c r="B87" s="6" t="inlineStr">
        <is>
          <t xml:space="preserve">  ↳ RA2CRM60</t>
        </is>
      </c>
      <c r="C87" s="6" t="inlineStr">
        <is>
          <t>Armament@mg</t>
        </is>
      </c>
      <c r="K87" s="5" t="n">
        <v>2000</v>
      </c>
      <c r="L87" s="5" t="n">
        <v>14</v>
      </c>
      <c r="M87" s="5" t="n">
        <v>4</v>
      </c>
      <c r="N87" s="5" t="n">
        <v>2</v>
      </c>
      <c r="O87" s="5" t="n">
        <v>5660</v>
      </c>
      <c r="P87" s="5" t="n">
        <v>1</v>
      </c>
      <c r="Q87">
        <f>L87+IF(M87&gt;1,N(N87)*(M87-1),0)</f>
        <v/>
      </c>
      <c r="R87">
        <f>IFERROR(K87*MAX(M87,1)/Q87*P87,0)</f>
        <v/>
      </c>
      <c r="AA87" s="6" t="inlineStr">
        <is>
          <t>^RA2SmallArms, ^RA2Chaingun</t>
        </is>
      </c>
    </row>
    <row r="88">
      <c r="B88" s="6" t="inlineStr">
        <is>
          <t xml:space="preserve">  ↳ RA2CRM60H</t>
        </is>
      </c>
      <c r="C88" s="6" t="inlineStr">
        <is>
          <t>Armament@hmg</t>
        </is>
      </c>
      <c r="K88" s="5" t="n">
        <v>2000</v>
      </c>
      <c r="L88" s="5" t="n">
        <v>10</v>
      </c>
      <c r="M88" s="5" t="n">
        <v>6</v>
      </c>
      <c r="N88" s="5" t="n">
        <v>2</v>
      </c>
      <c r="O88" s="5" t="n">
        <v>4692</v>
      </c>
      <c r="P88" s="5" t="n">
        <v>1</v>
      </c>
      <c r="Q88">
        <f>L88+IF(M88&gt;1,N(N88)*(M88-1),0)</f>
        <v/>
      </c>
      <c r="R88">
        <f>IFERROR(K88*MAX(M88,1)/Q88*P88,0)</f>
        <v/>
      </c>
      <c r="AA88" s="6" t="inlineStr">
        <is>
          <t>^HeavyCannon, ^RA2Chaingun, ^SniperWeapon</t>
        </is>
      </c>
    </row>
    <row r="89">
      <c r="B89" s="6" t="inlineStr">
        <is>
          <t xml:space="preserve">  ↳ wc_tower_fire</t>
        </is>
      </c>
      <c r="C89" s="6" t="inlineStr">
        <is>
          <t>Armament@archer</t>
        </is>
      </c>
      <c r="K89" s="5" t="n">
        <v>2500</v>
      </c>
      <c r="L89" s="5" t="n">
        <v>40</v>
      </c>
      <c r="M89" s="5" t="n">
        <v>1</v>
      </c>
      <c r="N89" s="5" t="n"/>
      <c r="O89" s="5" t="n">
        <v>8704</v>
      </c>
      <c r="P89" s="5" t="n">
        <v>1</v>
      </c>
      <c r="Q89">
        <f>L89+IF(M89&gt;1,N(N89)*(M89-1),0)</f>
        <v/>
      </c>
      <c r="R89">
        <f>IFERROR(K89*MAX(M89,1)/Q89*P89,0)</f>
        <v/>
      </c>
      <c r="AA89" s="6" t="inlineStr">
        <is>
          <t>bowFire</t>
        </is>
      </c>
    </row>
    <row r="90">
      <c r="B90" s="6" t="inlineStr">
        <is>
          <t xml:space="preserve">  ↳ RA2IFVRepair</t>
        </is>
      </c>
      <c r="C90" s="6" t="inlineStr">
        <is>
          <t>Armament@repair</t>
        </is>
      </c>
      <c r="K90" s="5" t="n">
        <v>-1</v>
      </c>
      <c r="L90" s="5" t="n">
        <v>50</v>
      </c>
      <c r="M90" s="5" t="n">
        <v>10</v>
      </c>
      <c r="N90" s="5" t="n">
        <v>1</v>
      </c>
      <c r="O90" s="5" t="n">
        <v>5000</v>
      </c>
      <c r="P90" s="5" t="n">
        <v>1</v>
      </c>
      <c r="Q90">
        <f>L90+IF(M90&gt;1,N(N90)*(M90-1),0)</f>
        <v/>
      </c>
      <c r="R90">
        <f>IFERROR(K90*MAX(M90,1)/Q90*P90,0)</f>
        <v/>
      </c>
      <c r="AA90" s="6" t="inlineStr">
        <is>
          <t>^RepairWeapon</t>
        </is>
      </c>
    </row>
    <row r="91">
      <c r="B91" s="6" t="inlineStr">
        <is>
          <t xml:space="preserve">  ↳ LightSniper</t>
        </is>
      </c>
      <c r="C91" s="6" t="inlineStr">
        <is>
          <t>Armament@lightsniper</t>
        </is>
      </c>
      <c r="K91" s="5" t="n">
        <v>30000</v>
      </c>
      <c r="L91" s="5" t="n">
        <v>100</v>
      </c>
      <c r="M91" s="5" t="n">
        <v>1</v>
      </c>
      <c r="N91" s="5" t="n"/>
      <c r="O91" s="5" t="n">
        <v>9153</v>
      </c>
      <c r="P91" s="5" t="n">
        <v>1</v>
      </c>
      <c r="Q91">
        <f>L91+IF(M91&gt;1,N(N91)*(M91-1),0)</f>
        <v/>
      </c>
      <c r="R91">
        <f>IFERROR(K91*MAX(M91,1)/Q91*P91,0)</f>
        <v/>
      </c>
      <c r="AA91" s="6" t="inlineStr">
        <is>
          <t>^SniperWeapon</t>
        </is>
      </c>
    </row>
    <row r="92">
      <c r="B92" s="6" t="inlineStr">
        <is>
          <t xml:space="preserve">  ↳ RA2DoublePistolsIFV</t>
        </is>
      </c>
      <c r="C92" s="6" t="inlineStr">
        <is>
          <t>Armament@hero</t>
        </is>
      </c>
      <c r="K92" s="5" t="n">
        <v>14000</v>
      </c>
      <c r="L92" s="5" t="n">
        <v>12</v>
      </c>
      <c r="M92" s="5" t="n">
        <v>2</v>
      </c>
      <c r="N92" s="5" t="n">
        <v>3</v>
      </c>
      <c r="O92" s="5" t="n">
        <v>8000</v>
      </c>
      <c r="P92" s="5" t="n">
        <v>1</v>
      </c>
      <c r="Q92">
        <f>L92+IF(M92&gt;1,N(N92)*(M92-1),0)</f>
        <v/>
      </c>
      <c r="R92">
        <f>IFERROR(K92*MAX(M92,1)/Q92*P92,0)</f>
        <v/>
      </c>
      <c r="AA92" s="6" t="inlineStr">
        <is>
          <t>^SniperWeapon</t>
        </is>
      </c>
    </row>
    <row r="93">
      <c r="B93" s="6" t="inlineStr">
        <is>
          <t xml:space="preserve">  ↳ TTankZap</t>
        </is>
      </c>
      <c r="C93" s="6" t="inlineStr">
        <is>
          <t>Armament@tesla</t>
        </is>
      </c>
      <c r="K93" s="5" t="n">
        <v>40000</v>
      </c>
      <c r="L93" s="5" t="n">
        <v>80</v>
      </c>
      <c r="M93" s="5" t="n">
        <v>1</v>
      </c>
      <c r="N93" s="5" t="n"/>
      <c r="O93" s="5" t="n">
        <v>7300</v>
      </c>
      <c r="P93" s="5" t="n">
        <v>1</v>
      </c>
      <c r="Q93">
        <f>L93+IF(M93&gt;1,N(N93)*(M93-1),0)</f>
        <v/>
      </c>
      <c r="R93">
        <f>IFERROR(K93*MAX(M93,1)/Q93*P93,0)</f>
        <v/>
      </c>
      <c r="AA93" s="6" t="inlineStr">
        <is>
          <t>^TeslaWeapon</t>
        </is>
      </c>
    </row>
    <row r="94">
      <c r="B94" s="6" t="inlineStr">
        <is>
          <t xml:space="preserve">  ↳ DragunovSniper</t>
        </is>
      </c>
      <c r="C94" s="6" t="inlineStr">
        <is>
          <t>Armament@flak</t>
        </is>
      </c>
      <c r="K94" s="5" t="n">
        <v>8000</v>
      </c>
      <c r="L94" s="5" t="n">
        <v>85</v>
      </c>
      <c r="M94" s="5" t="n">
        <v>1</v>
      </c>
      <c r="N94" s="5" t="n"/>
      <c r="O94" s="5" t="n">
        <v>6880</v>
      </c>
      <c r="P94" s="5" t="n">
        <v>1</v>
      </c>
      <c r="Q94">
        <f>L94+IF(M94&gt;1,N(N94)*(M94-1),0)</f>
        <v/>
      </c>
      <c r="R94">
        <f>IFERROR(K94*MAX(M94,1)/Q94*P94,0)</f>
        <v/>
      </c>
      <c r="AA94" s="6" t="inlineStr">
        <is>
          <t>^TankDestroyerCannon, ^RailgunWeapon, ^LightMissile, ^HeavyCannon, ^FlakWeapon</t>
        </is>
      </c>
    </row>
    <row r="95">
      <c r="B95" s="6" t="inlineStr">
        <is>
          <t xml:space="preserve">  ↳ RA2MirageGun</t>
        </is>
      </c>
      <c r="C95" s="6" t="inlineStr">
        <is>
          <t>Armament@cannon</t>
        </is>
      </c>
      <c r="K95" s="5" t="n">
        <v>8000</v>
      </c>
      <c r="L95" s="5" t="n">
        <v>39</v>
      </c>
      <c r="M95" s="5" t="n">
        <v>1</v>
      </c>
      <c r="N95" s="5" t="n"/>
      <c r="O95" s="5" t="n">
        <v>6031</v>
      </c>
      <c r="P95" s="5" t="n">
        <v>1</v>
      </c>
      <c r="Q95">
        <f>L95+IF(M95&gt;1,N(N95)*(M95-1),0)</f>
        <v/>
      </c>
      <c r="R95">
        <f>IFERROR(K95*MAX(M95,1)/Q95*P95,0)</f>
        <v/>
      </c>
      <c r="AA95" s="6" t="inlineStr">
        <is>
          <t>^RailgunWeapon, ^MediumChemicalWeapon, ^RA2TankDestroyerCannon</t>
        </is>
      </c>
    </row>
    <row r="96">
      <c r="B96" s="6" t="inlineStr">
        <is>
          <t xml:space="preserve">  ↳ Grenade</t>
        </is>
      </c>
      <c r="C96" s="6" t="inlineStr">
        <is>
          <t>Armament@grenade</t>
        </is>
      </c>
      <c r="K96" s="5" t="n">
        <v>16000</v>
      </c>
      <c r="L96" s="5" t="n">
        <v>42</v>
      </c>
      <c r="M96" s="5" t="n">
        <v>1</v>
      </c>
      <c r="N96" s="5" t="n"/>
      <c r="O96" s="5" t="n">
        <v>6097</v>
      </c>
      <c r="P96" s="5" t="n">
        <v>1</v>
      </c>
      <c r="Q96">
        <f>L96+IF(M96&gt;1,N(N96)*(M96-1),0)</f>
        <v/>
      </c>
      <c r="R96">
        <f>IFERROR(K96*MAX(M96,1)/Q96*P96,0)</f>
        <v/>
      </c>
      <c r="AA96" s="6" t="inlineStr">
        <is>
          <t>^Grenade</t>
        </is>
      </c>
    </row>
    <row r="97">
      <c r="B97" s="6" t="inlineStr">
        <is>
          <t xml:space="preserve">  ↳ DRPlasmaTankWeapon</t>
        </is>
      </c>
      <c r="C97" s="6" t="inlineStr">
        <is>
          <t>Armament@plasma</t>
        </is>
      </c>
      <c r="K97" s="5" t="n">
        <v>3750</v>
      </c>
      <c r="L97" s="5" t="n">
        <v>21</v>
      </c>
      <c r="M97" s="5" t="n">
        <v>1</v>
      </c>
      <c r="N97" s="5" t="n"/>
      <c r="O97" s="5" t="n">
        <v>5120</v>
      </c>
      <c r="P97" s="5" t="n">
        <v>1</v>
      </c>
      <c r="Q97">
        <f>L97+IF(M97&gt;1,N(N97)*(M97-1),0)</f>
        <v/>
      </c>
      <c r="R97">
        <f>IFERROR(K97*MAX(M97,1)/Q97*P97,0)</f>
        <v/>
      </c>
      <c r="AA97" s="6" t="inlineStr">
        <is>
          <t>^DRPlasmaWeapon</t>
        </is>
      </c>
    </row>
    <row r="98">
      <c r="B98" s="6" t="inlineStr">
        <is>
          <t xml:space="preserve">  ↳ SWLaserG</t>
        </is>
      </c>
      <c r="C98" s="6" t="inlineStr">
        <is>
          <t>Armament@litlaser</t>
        </is>
      </c>
      <c r="K98" s="5" t="n">
        <v>2000</v>
      </c>
      <c r="L98" s="5" t="n">
        <v>30</v>
      </c>
      <c r="M98" s="5" t="n">
        <v>6</v>
      </c>
      <c r="N98" s="5" t="n"/>
      <c r="O98" s="5" t="n">
        <v>6144</v>
      </c>
      <c r="P98" s="5" t="n">
        <v>1</v>
      </c>
      <c r="Q98">
        <f>L98+IF(M98&gt;1,N(N98)*(M98-1),0)</f>
        <v/>
      </c>
      <c r="R98">
        <f>IFERROR(K98*MAX(M98,1)/Q98*P98,0)</f>
        <v/>
      </c>
      <c r="AA98" s="6" t="inlineStr">
        <is>
          <t>^LightMG</t>
        </is>
      </c>
    </row>
    <row r="99">
      <c r="B99" s="6" t="inlineStr">
        <is>
          <t xml:space="preserve">  ↳ USALaserCannonAG</t>
        </is>
      </c>
      <c r="C99" s="6" t="inlineStr">
        <is>
          <t>Armament@medlaser</t>
        </is>
      </c>
      <c r="K99" s="5" t="n">
        <v>4000</v>
      </c>
      <c r="L99" s="5" t="n">
        <v>50</v>
      </c>
      <c r="M99" s="5" t="n">
        <v>3</v>
      </c>
      <c r="N99" s="5" t="n">
        <v>6</v>
      </c>
      <c r="O99" s="5" t="n">
        <v>7168</v>
      </c>
      <c r="P99" s="5" t="n">
        <v>1</v>
      </c>
      <c r="Q99">
        <f>L99+IF(M99&gt;1,N(N99)*(M99-1),0)</f>
        <v/>
      </c>
      <c r="R99">
        <f>IFERROR(K99*MAX(M99,1)/Q99*P99,0)</f>
        <v/>
      </c>
      <c r="AA99" s="6" t="inlineStr">
        <is>
          <t>^AntiGroundMissile</t>
        </is>
      </c>
    </row>
    <row r="100">
      <c r="B100" s="6" t="inlineStr">
        <is>
          <t xml:space="preserve">  ↳ SWGreenLaserG</t>
        </is>
      </c>
      <c r="C100" s="6" t="inlineStr">
        <is>
          <t>Armament@greenlaser</t>
        </is>
      </c>
      <c r="K100" s="5" t="n">
        <v>5000</v>
      </c>
      <c r="L100" s="5" t="n">
        <v>75</v>
      </c>
      <c r="M100" s="5" t="n">
        <v>1</v>
      </c>
      <c r="N100" s="5" t="n"/>
      <c r="O100" s="5" t="n">
        <v>7168</v>
      </c>
      <c r="P100" s="5" t="n">
        <v>1</v>
      </c>
      <c r="Q100">
        <f>L100+IF(M100&gt;1,N(N100)*(M100-1),0)</f>
        <v/>
      </c>
      <c r="R100">
        <f>IFERROR(K100*MAX(M100,1)/Q100*P100,0)</f>
        <v/>
      </c>
      <c r="AA100" s="6" t="inlineStr">
        <is>
          <t>^MissileWeapon</t>
        </is>
      </c>
    </row>
    <row r="101">
      <c r="B101" s="6" t="inlineStr">
        <is>
          <t xml:space="preserve">  ↳ SWGBigRedLaserG</t>
        </is>
      </c>
      <c r="C101" s="6" t="inlineStr">
        <is>
          <t>Armament@misslaser</t>
        </is>
      </c>
      <c r="K101" s="5" t="n">
        <v>4000</v>
      </c>
      <c r="L101" s="5" t="n">
        <v>75</v>
      </c>
      <c r="M101" s="5" t="n">
        <v>1</v>
      </c>
      <c r="N101" s="5" t="n"/>
      <c r="O101" s="5" t="n">
        <v>8192</v>
      </c>
      <c r="P101" s="5" t="n">
        <v>1</v>
      </c>
      <c r="Q101">
        <f>L101+IF(M101&gt;1,N(N101)*(M101-1),0)</f>
        <v/>
      </c>
      <c r="R101">
        <f>IFERROR(K101*MAX(M101,1)/Q101*P101,0)</f>
        <v/>
      </c>
      <c r="AA101" s="6" t="inlineStr">
        <is>
          <t>^MissileWeapon</t>
        </is>
      </c>
    </row>
    <row r="102">
      <c r="B102" s="6" t="inlineStr">
        <is>
          <t xml:space="preserve">  ↳ BigFlamer</t>
        </is>
      </c>
      <c r="C102" s="6" t="inlineStr">
        <is>
          <t>Armament@fire</t>
        </is>
      </c>
      <c r="K102" s="5" t="n">
        <v>14000</v>
      </c>
      <c r="L102" s="5" t="n">
        <v>50</v>
      </c>
      <c r="M102" s="5" t="n">
        <v>2</v>
      </c>
      <c r="N102" s="5" t="n">
        <v>10</v>
      </c>
      <c r="O102" s="5" t="n">
        <v>2390</v>
      </c>
      <c r="P102" s="5" t="n">
        <v>1</v>
      </c>
      <c r="Q102">
        <f>L102+IF(M102&gt;1,N(N102)*(M102-1),0)</f>
        <v/>
      </c>
      <c r="R102">
        <f>IFERROR(K102*MAX(M102,1)/Q102*P102,0)</f>
        <v/>
      </c>
      <c r="AA102" s="6" t="inlineStr">
        <is>
          <t>^MediumFlameWeapon</t>
        </is>
      </c>
    </row>
    <row r="103">
      <c r="B103" s="6" t="inlineStr">
        <is>
          <t xml:space="preserve">  ↳ RA2RadBeamWeapon</t>
        </is>
      </c>
      <c r="C103" s="6" t="inlineStr">
        <is>
          <t>Armament@chem</t>
        </is>
      </c>
      <c r="K103" s="5" t="n">
        <v>30000</v>
      </c>
      <c r="L103" s="5" t="n">
        <v>45</v>
      </c>
      <c r="M103" s="5" t="n">
        <v>1</v>
      </c>
      <c r="N103" s="5" t="n"/>
      <c r="O103" s="5" t="n">
        <v>6444</v>
      </c>
      <c r="P103" s="5" t="n">
        <v>1</v>
      </c>
      <c r="Q103">
        <f>L103+IF(M103&gt;1,N(N103)*(M103-1),0)</f>
        <v/>
      </c>
      <c r="R103">
        <f>IFERROR(K103*MAX(M103,1)/Q103*P103,0)</f>
        <v/>
      </c>
      <c r="AA103" s="6" t="inlineStr">
        <is>
          <t>^MediumChemicalWeapon</t>
        </is>
      </c>
    </row>
    <row r="104">
      <c r="B104" s="6" t="inlineStr">
        <is>
          <t xml:space="preserve">  ↳ RA2RadBeamWeapon</t>
        </is>
      </c>
      <c r="C104" s="6" t="inlineStr">
        <is>
          <t>Armament@thrax</t>
        </is>
      </c>
      <c r="K104" s="5" t="n">
        <v>30000</v>
      </c>
      <c r="L104" s="5" t="n">
        <v>45</v>
      </c>
      <c r="M104" s="5" t="n">
        <v>1</v>
      </c>
      <c r="N104" s="5" t="n"/>
      <c r="O104" s="5" t="n">
        <v>6444</v>
      </c>
      <c r="P104" s="5" t="n">
        <v>1</v>
      </c>
      <c r="Q104">
        <f>L104+IF(M104&gt;1,N(N104)*(M104-1),0)</f>
        <v/>
      </c>
      <c r="R104">
        <f>IFERROR(K104*MAX(M104,1)/Q104*P104,0)</f>
        <v/>
      </c>
      <c r="AA104" s="6" t="inlineStr">
        <is>
          <t>^MediumChemicalWeapon</t>
        </is>
      </c>
    </row>
    <row r="105">
      <c r="B105" s="6" t="inlineStr">
        <is>
          <t xml:space="preserve">  ↳ RA2MultiHoverMissile</t>
        </is>
      </c>
      <c r="C105" s="6" t="inlineStr">
        <is>
          <t>Armament@missile</t>
        </is>
      </c>
      <c r="K105" s="5" t="n">
        <v>2000</v>
      </c>
      <c r="L105" s="5" t="n">
        <v>20</v>
      </c>
      <c r="M105" s="5" t="n">
        <v>4</v>
      </c>
      <c r="N105" s="5" t="n">
        <v>4</v>
      </c>
      <c r="O105" s="5" t="n">
        <v>6170</v>
      </c>
      <c r="P105" s="5" t="n">
        <v>1</v>
      </c>
      <c r="Q105">
        <f>L105+IF(M105&gt;1,N(N105)*(M105-1),0)</f>
        <v/>
      </c>
      <c r="R105">
        <f>IFERROR(K105*MAX(M105,1)/Q105*P105,0)</f>
        <v/>
      </c>
      <c r="AA105" s="6" t="inlineStr">
        <is>
          <t>^MediumCannon, ^MediumChemicalWeapon, ^ArrowWeapon, ^RA2LightMissile</t>
        </is>
      </c>
    </row>
    <row r="106">
      <c r="B106" s="6" t="inlineStr">
        <is>
          <t xml:space="preserve">  ↳ IFVChronoBeam</t>
        </is>
      </c>
      <c r="C106" s="6" t="inlineStr">
        <is>
          <t>Armament@chrono</t>
        </is>
      </c>
      <c r="K106" s="5" t="n"/>
      <c r="L106" s="5" t="n">
        <v>1</v>
      </c>
      <c r="M106" s="5" t="n">
        <v>1</v>
      </c>
      <c r="N106" s="5" t="n"/>
      <c r="O106" s="5" t="n">
        <v>7500</v>
      </c>
      <c r="P106" s="5" t="n">
        <v>1</v>
      </c>
      <c r="Q106">
        <f>L106+IF(M106&gt;1,N(N106)*(M106-1),0)</f>
        <v/>
      </c>
      <c r="R106">
        <f>IFERROR(K106*MAX(M106,1)/Q106*P106,0)</f>
        <v/>
      </c>
      <c r="AA106" s="6" t="inlineStr">
        <is>
          <t>ChronoBeam</t>
        </is>
      </c>
    </row>
    <row r="107">
      <c r="B107" s="6" t="inlineStr">
        <is>
          <t xml:space="preserve">  ↳ IFVChronoSound</t>
        </is>
      </c>
      <c r="C107" s="6" t="inlineStr">
        <is>
          <t>Armament@chronosound</t>
        </is>
      </c>
      <c r="K107" s="5" t="n"/>
      <c r="L107" s="5" t="n">
        <v>180</v>
      </c>
      <c r="M107" s="5" t="n">
        <v>1</v>
      </c>
      <c r="N107" s="5" t="n"/>
      <c r="O107" s="5" t="n">
        <v>8000</v>
      </c>
      <c r="P107" s="5" t="n">
        <v>1</v>
      </c>
      <c r="Q107">
        <f>L107+IF(M107&gt;1,N(N107)*(M107-1),0)</f>
        <v/>
      </c>
      <c r="R107">
        <f>IFERROR(K107*MAX(M107,1)/Q107*P107,0)</f>
        <v/>
      </c>
      <c r="AA107" s="6" t="inlineStr">
        <is>
          <t>RA2ChronoTele</t>
        </is>
      </c>
    </row>
    <row r="108">
      <c r="B108" s="6" t="inlineStr">
        <is>
          <t xml:space="preserve">  ↳ DemoTruckTargeting</t>
        </is>
      </c>
      <c r="C108" s="6" t="inlineStr">
        <is>
          <t>Armament@ivan</t>
        </is>
      </c>
      <c r="K108" s="5" t="n"/>
      <c r="L108" s="5" t="n"/>
      <c r="M108" s="5" t="n">
        <v>1</v>
      </c>
      <c r="N108" s="5" t="n"/>
      <c r="O108" s="5" t="n">
        <v>2000</v>
      </c>
      <c r="P108" s="5" t="n">
        <v>1</v>
      </c>
      <c r="Q108">
        <f>L108+IF(M108&gt;1,N(N108)*(M108-1),0)</f>
        <v/>
      </c>
      <c r="R108">
        <f>IFERROR(K108*MAX(M108,1)/Q108*P108,0)</f>
        <v/>
      </c>
      <c r="AA108" s="6" t="inlineStr"/>
    </row>
    <row r="109">
      <c r="B109" s="6" t="inlineStr">
        <is>
          <t xml:space="preserve">  ↳ Fremen_L</t>
        </is>
      </c>
      <c r="C109" s="6" t="inlineStr">
        <is>
          <t>Armament@fremen</t>
        </is>
      </c>
      <c r="K109" s="5" t="n">
        <v>3000</v>
      </c>
      <c r="L109" s="5" t="n">
        <v>25</v>
      </c>
      <c r="M109" s="5" t="n">
        <v>1</v>
      </c>
      <c r="N109" s="5" t="n"/>
      <c r="O109" s="5" t="n">
        <v>2560</v>
      </c>
      <c r="P109" s="5" t="n">
        <v>1</v>
      </c>
      <c r="Q109">
        <f>L109+IF(M109&gt;1,N(N109)*(M109-1),0)</f>
        <v/>
      </c>
      <c r="R109">
        <f>IFERROR(K109*MAX(M109,1)/Q109*P109,0)</f>
        <v/>
      </c>
      <c r="AA109" s="6" t="inlineStr">
        <is>
          <t>^MG</t>
        </is>
      </c>
    </row>
    <row r="110">
      <c r="B110" s="6" t="inlineStr">
        <is>
          <t xml:space="preserve">  ↳ TSSonicZap</t>
        </is>
      </c>
      <c r="C110" s="6" t="inlineStr">
        <is>
          <t>Armament@sonic</t>
        </is>
      </c>
      <c r="K110" s="5" t="n">
        <v>4000</v>
      </c>
      <c r="L110" s="5" t="n">
        <v>60</v>
      </c>
      <c r="M110" s="5" t="n">
        <v>1</v>
      </c>
      <c r="N110" s="5" t="n"/>
      <c r="O110" s="5" t="n">
        <v>6144</v>
      </c>
      <c r="P110" s="5" t="n">
        <v>1</v>
      </c>
      <c r="Q110">
        <f>L110+IF(M110&gt;1,N(N110)*(M110-1),0)</f>
        <v/>
      </c>
      <c r="R110">
        <f>IFERROR(K110*MAX(M110,1)/Q110*P110,0)</f>
        <v/>
      </c>
      <c r="AA110" s="6" t="inlineStr"/>
    </row>
    <row r="111">
      <c r="B111" s="6" t="inlineStr">
        <is>
          <t xml:space="preserve">  ↳ MedicHeal</t>
        </is>
      </c>
      <c r="C111" s="6" t="inlineStr">
        <is>
          <t>Armament@heal</t>
        </is>
      </c>
      <c r="K111" s="5" t="n">
        <v>-1</v>
      </c>
      <c r="L111" s="5" t="n">
        <v>10</v>
      </c>
      <c r="M111" s="5" t="n">
        <v>1</v>
      </c>
      <c r="N111" s="5" t="n"/>
      <c r="O111" s="5" t="n">
        <v>6000</v>
      </c>
      <c r="P111" s="5" t="n">
        <v>1</v>
      </c>
      <c r="Q111">
        <f>L111+IF(M111&gt;1,N(N111)*(M111-1),0)</f>
        <v/>
      </c>
      <c r="R111">
        <f>IFERROR(K111*MAX(M111,1)/Q111*P111,0)</f>
        <v/>
      </c>
      <c r="AA111" s="6" t="inlineStr">
        <is>
          <t>^HealingWeapon</t>
        </is>
      </c>
    </row>
    <row r="112">
      <c r="B112" s="6" t="inlineStr">
        <is>
          <t xml:space="preserve">  ↳ RA2HoverMissile</t>
        </is>
      </c>
      <c r="C112" s="6" t="inlineStr">
        <is>
          <t>Armament@primary</t>
        </is>
      </c>
      <c r="K112" s="5" t="n">
        <v>6000</v>
      </c>
      <c r="L112" s="5" t="n">
        <v>28</v>
      </c>
      <c r="M112" s="5" t="n">
        <v>2</v>
      </c>
      <c r="N112" s="5" t="n">
        <v>4</v>
      </c>
      <c r="O112" s="5" t="n">
        <v>5760</v>
      </c>
      <c r="P112" s="5" t="n">
        <v>1</v>
      </c>
      <c r="Q112">
        <f>L112+IF(M112&gt;1,N(N112)*(M112-1),0)</f>
        <v/>
      </c>
      <c r="R112">
        <f>IFERROR(K112*MAX(M112,1)/Q112*P112,0)</f>
        <v/>
      </c>
      <c r="AA112" s="6" t="inlineStr">
        <is>
          <t>^ArrowWeapon, ^RA2LightMissile</t>
        </is>
      </c>
    </row>
    <row r="113">
      <c r="B113" s="6" t="inlineStr">
        <is>
          <t xml:space="preserve">  ↳ RA2HoverMissile_elite</t>
        </is>
      </c>
      <c r="C113" s="6" t="inlineStr">
        <is>
          <t>Armament@primaryelite</t>
        </is>
      </c>
      <c r="K113" s="5" t="n">
        <v>6000</v>
      </c>
      <c r="L113" s="5" t="n">
        <v>28</v>
      </c>
      <c r="M113" s="5" t="n">
        <v>4</v>
      </c>
      <c r="N113" s="5" t="n">
        <v>4</v>
      </c>
      <c r="O113" s="5" t="n">
        <v>6760</v>
      </c>
      <c r="P113" s="5" t="n">
        <v>1</v>
      </c>
      <c r="Q113">
        <f>L113+IF(M113&gt;1,N(N113)*(M113-1),0)</f>
        <v/>
      </c>
      <c r="R113">
        <f>IFERROR(K113*MAX(M113,1)/Q113*P113,0)</f>
        <v/>
      </c>
      <c r="AA113" s="6" t="inlineStr">
        <is>
          <t>^ArrowWeapon, ^RA2LightMissile</t>
        </is>
      </c>
    </row>
    <row r="114">
      <c r="B114" s="6" t="inlineStr">
        <is>
          <t xml:space="preserve">  ↳ RA2HoverMissileAA</t>
        </is>
      </c>
      <c r="C114" s="6" t="inlineStr">
        <is>
          <t>Armament@primaryAA</t>
        </is>
      </c>
      <c r="K114" s="5" t="n">
        <v>6000</v>
      </c>
      <c r="L114" s="5" t="n">
        <v>28</v>
      </c>
      <c r="M114" s="5" t="n">
        <v>2</v>
      </c>
      <c r="N114" s="5" t="n">
        <v>4</v>
      </c>
      <c r="O114" s="5" t="n">
        <v>8640</v>
      </c>
      <c r="P114" s="5" t="n">
        <v>1</v>
      </c>
      <c r="Q114">
        <f>L114+IF(M114&gt;1,N(N114)*(M114-1),0)</f>
        <v/>
      </c>
      <c r="R114">
        <f>IFERROR(K114*MAX(M114,1)/Q114*P114,0)</f>
        <v/>
      </c>
      <c r="AA114" s="6" t="inlineStr">
        <is>
          <t>^ArrowWeapon, ^RA2LightMissile</t>
        </is>
      </c>
    </row>
    <row r="115">
      <c r="B115" s="6" t="inlineStr">
        <is>
          <t xml:space="preserve">  ↳ RA2HoverMissileAA_elite</t>
        </is>
      </c>
      <c r="C115" s="6" t="inlineStr">
        <is>
          <t>Armament@primaryeliteAA</t>
        </is>
      </c>
      <c r="K115" s="5" t="n">
        <v>6000</v>
      </c>
      <c r="L115" s="5" t="n">
        <v>28</v>
      </c>
      <c r="M115" s="5" t="n">
        <v>4</v>
      </c>
      <c r="N115" s="5" t="n">
        <v>4</v>
      </c>
      <c r="O115" s="5" t="n">
        <v>9640</v>
      </c>
      <c r="P115" s="5" t="n">
        <v>1</v>
      </c>
      <c r="Q115">
        <f>L115+IF(M115&gt;1,N(N115)*(M115-1),0)</f>
        <v/>
      </c>
      <c r="R115">
        <f>IFERROR(K115*MAX(M115,1)/Q115*P115,0)</f>
        <v/>
      </c>
      <c r="AA115" s="6" t="inlineStr">
        <is>
          <t>^ArrowWeapon, ^RA2LightMissile</t>
        </is>
      </c>
    </row>
    <row r="116">
      <c r="B116" s="6" t="inlineStr">
        <is>
          <t xml:space="preserve">  ↳ RA2ThunderboltMissile</t>
        </is>
      </c>
      <c r="C116" s="6" t="inlineStr">
        <is>
          <t>Armament@primaryThunderbolt</t>
        </is>
      </c>
      <c r="K116" s="5" t="n">
        <v>2000</v>
      </c>
      <c r="L116" s="5" t="n">
        <v>28</v>
      </c>
      <c r="M116" s="5" t="n">
        <v>2</v>
      </c>
      <c r="N116" s="5" t="n">
        <v>4</v>
      </c>
      <c r="O116" s="5" t="n">
        <v>5760</v>
      </c>
      <c r="P116" s="5" t="n">
        <v>1</v>
      </c>
      <c r="Q116">
        <f>L116+IF(M116&gt;1,N(N116)*(M116-1),0)</f>
        <v/>
      </c>
      <c r="R116">
        <f>IFERROR(K116*MAX(M116,1)/Q116*P116,0)</f>
        <v/>
      </c>
      <c r="AA116" s="6" t="inlineStr">
        <is>
          <t>^HeavyMissile, ^HeavyAAWeapon, ^MediumMissile, ^FlakWeapon, ^ArrowWeapon, ^RA2LightMissile</t>
        </is>
      </c>
    </row>
    <row r="117">
      <c r="B117" s="6" t="inlineStr">
        <is>
          <t xml:space="preserve">  ↳ RA2ThunderboltMissile_elite</t>
        </is>
      </c>
      <c r="C117" s="6" t="inlineStr">
        <is>
          <t>Armament@primaryeliteThunderbolt</t>
        </is>
      </c>
      <c r="K117" s="5" t="n">
        <v>2000</v>
      </c>
      <c r="L117" s="5" t="n">
        <v>28</v>
      </c>
      <c r="M117" s="5" t="n">
        <v>4</v>
      </c>
      <c r="N117" s="5" t="n">
        <v>4</v>
      </c>
      <c r="O117" s="5" t="n">
        <v>6760</v>
      </c>
      <c r="P117" s="5" t="n">
        <v>1</v>
      </c>
      <c r="Q117">
        <f>L117+IF(M117&gt;1,N(N117)*(M117-1),0)</f>
        <v/>
      </c>
      <c r="R117">
        <f>IFERROR(K117*MAX(M117,1)/Q117*P117,0)</f>
        <v/>
      </c>
      <c r="AA117" s="6" t="inlineStr">
        <is>
          <t>^HeavyMissile, ^HeavyAAWeapon, ^MediumMissile, ^FlakWeapon, ^ArrowWeapon, ^RA2LightMissile</t>
        </is>
      </c>
    </row>
    <row r="118">
      <c r="B118" s="6" t="inlineStr">
        <is>
          <t xml:space="preserve">  ↳ RA2ThunderboltMissileAA</t>
        </is>
      </c>
      <c r="C118" s="6" t="inlineStr">
        <is>
          <t>Armament@primaryAAThunderbolt</t>
        </is>
      </c>
      <c r="K118" s="5" t="n">
        <v>2000</v>
      </c>
      <c r="L118" s="5" t="n">
        <v>28</v>
      </c>
      <c r="M118" s="5" t="n">
        <v>2</v>
      </c>
      <c r="N118" s="5" t="n">
        <v>4</v>
      </c>
      <c r="O118" s="5" t="n">
        <v>8640</v>
      </c>
      <c r="P118" s="5" t="n">
        <v>1</v>
      </c>
      <c r="Q118">
        <f>L118+IF(M118&gt;1,N(N118)*(M118-1),0)</f>
        <v/>
      </c>
      <c r="R118">
        <f>IFERROR(K118*MAX(M118,1)/Q118*P118,0)</f>
        <v/>
      </c>
      <c r="AA118" s="6" t="inlineStr">
        <is>
          <t>^HeavyMissile, ^HeavyAAWeapon, ^MediumMissile, ^FlakWeapon, ^ArrowWeapon, ^RA2LightMissile</t>
        </is>
      </c>
    </row>
    <row r="119">
      <c r="B119" s="6" t="inlineStr">
        <is>
          <t xml:space="preserve">  ↳ RA2ThunderboltMissileAA_elite</t>
        </is>
      </c>
      <c r="C119" s="6" t="inlineStr">
        <is>
          <t>Armament@primaryeliteAAThunderbolt</t>
        </is>
      </c>
      <c r="K119" s="5" t="n">
        <v>2000</v>
      </c>
      <c r="L119" s="5" t="n">
        <v>28</v>
      </c>
      <c r="M119" s="5" t="n">
        <v>4</v>
      </c>
      <c r="N119" s="5" t="n">
        <v>4</v>
      </c>
      <c r="O119" s="5" t="n">
        <v>9640</v>
      </c>
      <c r="P119" s="5" t="n">
        <v>1</v>
      </c>
      <c r="Q119">
        <f>L119+IF(M119&gt;1,N(N119)*(M119-1),0)</f>
        <v/>
      </c>
      <c r="R119">
        <f>IFERROR(K119*MAX(M119,1)/Q119*P119,0)</f>
        <v/>
      </c>
      <c r="AA119" s="6" t="inlineStr">
        <is>
          <t>^HeavyMissile, ^HeavyAAWeapon, ^MediumMissile, ^FlakWeapon, ^ArrowWeapon, ^RA2LightMissile</t>
        </is>
      </c>
    </row>
    <row r="120">
      <c r="B120" s="6" t="inlineStr">
        <is>
          <t xml:space="preserve">  ↳ RA2MultiHoverMissile_elite</t>
        </is>
      </c>
      <c r="C120" s="6" t="inlineStr">
        <is>
          <t>Armament@missileelite</t>
        </is>
      </c>
      <c r="K120" s="5" t="n">
        <v>2000</v>
      </c>
      <c r="L120" s="5" t="n">
        <v>20</v>
      </c>
      <c r="M120" s="5" t="n">
        <v>4</v>
      </c>
      <c r="N120" s="5" t="n">
        <v>4</v>
      </c>
      <c r="O120" s="5" t="n">
        <v>7170</v>
      </c>
      <c r="P120" s="5" t="n">
        <v>1</v>
      </c>
      <c r="Q120">
        <f>L120+IF(M120&gt;1,N(N120)*(M120-1),0)</f>
        <v/>
      </c>
      <c r="R120">
        <f>IFERROR(K120*MAX(M120,1)/Q120*P120,0)</f>
        <v/>
      </c>
      <c r="AA120" s="6" t="inlineStr">
        <is>
          <t>^MediumCannon, ^MediumChemicalWeapon, ^ArrowWeapon, ^RA2LightMissile</t>
        </is>
      </c>
    </row>
    <row r="121">
      <c r="B121" s="6" t="inlineStr">
        <is>
          <t xml:space="preserve">  ↳ RA2MultiHoverMissileAA</t>
        </is>
      </c>
      <c r="C121" s="6" t="inlineStr">
        <is>
          <t>Armament@missileAA</t>
        </is>
      </c>
      <c r="K121" s="5" t="n">
        <v>2000</v>
      </c>
      <c r="L121" s="5" t="n">
        <v>20</v>
      </c>
      <c r="M121" s="5" t="n">
        <v>4</v>
      </c>
      <c r="N121" s="5" t="n">
        <v>4</v>
      </c>
      <c r="O121" s="5" t="n">
        <v>9255</v>
      </c>
      <c r="P121" s="5" t="n">
        <v>1</v>
      </c>
      <c r="Q121">
        <f>L121+IF(M121&gt;1,N(N121)*(M121-1),0)</f>
        <v/>
      </c>
      <c r="R121">
        <f>IFERROR(K121*MAX(M121,1)/Q121*P121,0)</f>
        <v/>
      </c>
      <c r="AA121" s="6" t="inlineStr">
        <is>
          <t>^MediumCannon, ^MediumChemicalWeapon, ^ArrowWeapon, ^RA2LightMissile</t>
        </is>
      </c>
    </row>
    <row r="122">
      <c r="B122" s="6" t="inlineStr">
        <is>
          <t xml:space="preserve">  ↳ RA2MultiHoverMissileAA_elite</t>
        </is>
      </c>
      <c r="C122" s="6" t="inlineStr">
        <is>
          <t>Armament@missileeliteAA</t>
        </is>
      </c>
      <c r="K122" s="5" t="n">
        <v>2000</v>
      </c>
      <c r="L122" s="5" t="n">
        <v>20</v>
      </c>
      <c r="M122" s="5" t="n">
        <v>4</v>
      </c>
      <c r="N122" s="5" t="n">
        <v>4</v>
      </c>
      <c r="O122" s="5" t="n">
        <v>10255</v>
      </c>
      <c r="P122" s="5" t="n">
        <v>1</v>
      </c>
      <c r="Q122">
        <f>L122+IF(M122&gt;1,N(N122)*(M122-1),0)</f>
        <v/>
      </c>
      <c r="R122">
        <f>IFERROR(K122*MAX(M122,1)/Q122*P122,0)</f>
        <v/>
      </c>
      <c r="AA122" s="6" t="inlineStr">
        <is>
          <t>^MediumCannon, ^MediumChemicalWeapon, ^ArrowWeapon, ^RA2LightMissile</t>
        </is>
      </c>
    </row>
    <row r="123">
      <c r="B123" s="6" t="inlineStr">
        <is>
          <t xml:space="preserve">  ↳ RA2MultiThunderboltMissile</t>
        </is>
      </c>
      <c r="C123" s="6" t="inlineStr">
        <is>
          <t>Armament@missileThunderbolt</t>
        </is>
      </c>
      <c r="K123" s="5" t="n">
        <v>2000</v>
      </c>
      <c r="L123" s="5" t="n">
        <v>20</v>
      </c>
      <c r="M123" s="5" t="n">
        <v>4</v>
      </c>
      <c r="N123" s="5" t="n">
        <v>4</v>
      </c>
      <c r="O123" s="5" t="n">
        <v>6170</v>
      </c>
      <c r="P123" s="5" t="n">
        <v>1</v>
      </c>
      <c r="Q123">
        <f>L123+IF(M123&gt;1,N(N123)*(M123-1),0)</f>
        <v/>
      </c>
      <c r="R123">
        <f>IFERROR(K123*MAX(M123,1)/Q123*P123,0)</f>
        <v/>
      </c>
      <c r="AA123" s="6" t="inlineStr">
        <is>
          <t>^HeavyMissile, ^HeavyAAWeapon, ^MediumMissile, ^FlakWeapon, ^MediumCannon, ^MediumChemicalWeapon, ^ArrowWeapon, ^RA2LightMissile</t>
        </is>
      </c>
    </row>
    <row r="124">
      <c r="B124" s="6" t="inlineStr">
        <is>
          <t xml:space="preserve">  ↳ RA2MultiThunderboltMissile_elite</t>
        </is>
      </c>
      <c r="C124" s="6" t="inlineStr">
        <is>
          <t>Armament@missileeliteThunderbolt</t>
        </is>
      </c>
      <c r="K124" s="5" t="n">
        <v>2000</v>
      </c>
      <c r="L124" s="5" t="n">
        <v>20</v>
      </c>
      <c r="M124" s="5" t="n">
        <v>4</v>
      </c>
      <c r="N124" s="5" t="n">
        <v>4</v>
      </c>
      <c r="O124" s="5" t="n">
        <v>7170</v>
      </c>
      <c r="P124" s="5" t="n">
        <v>1</v>
      </c>
      <c r="Q124">
        <f>L124+IF(M124&gt;1,N(N124)*(M124-1),0)</f>
        <v/>
      </c>
      <c r="R124">
        <f>IFERROR(K124*MAX(M124,1)/Q124*P124,0)</f>
        <v/>
      </c>
      <c r="AA124" s="6" t="inlineStr">
        <is>
          <t>^HeavyMissile, ^HeavyAAWeapon, ^MediumMissile, ^FlakWeapon, ^MediumCannon, ^MediumChemicalWeapon, ^ArrowWeapon, ^RA2LightMissile</t>
        </is>
      </c>
    </row>
    <row r="125">
      <c r="B125" s="6" t="inlineStr">
        <is>
          <t xml:space="preserve">  ↳ RA2MultiThunderboltMissileAA</t>
        </is>
      </c>
      <c r="C125" s="6" t="inlineStr">
        <is>
          <t>Armament@missileAAThunderbolt</t>
        </is>
      </c>
      <c r="K125" s="5" t="n">
        <v>2000</v>
      </c>
      <c r="L125" s="5" t="n">
        <v>20</v>
      </c>
      <c r="M125" s="5" t="n">
        <v>4</v>
      </c>
      <c r="N125" s="5" t="n">
        <v>4</v>
      </c>
      <c r="O125" s="5" t="n">
        <v>9255</v>
      </c>
      <c r="P125" s="5" t="n">
        <v>1</v>
      </c>
      <c r="Q125">
        <f>L125+IF(M125&gt;1,N(N125)*(M125-1),0)</f>
        <v/>
      </c>
      <c r="R125">
        <f>IFERROR(K125*MAX(M125,1)/Q125*P125,0)</f>
        <v/>
      </c>
      <c r="AA125" s="6" t="inlineStr">
        <is>
          <t>^HeavyMissile, ^HeavyAAWeapon, ^MediumMissile, ^FlakWeapon, ^MediumCannon, ^MediumChemicalWeapon, ^ArrowWeapon, ^RA2LightMissile</t>
        </is>
      </c>
    </row>
    <row r="126">
      <c r="B126" s="6" t="inlineStr">
        <is>
          <t xml:space="preserve">  ↳ RA2MultiThunderboltMissileAA_elite</t>
        </is>
      </c>
      <c r="C126" s="6" t="inlineStr">
        <is>
          <t>Armament@missileeliteAAThunderbolt</t>
        </is>
      </c>
      <c r="K126" s="5" t="n">
        <v>2000</v>
      </c>
      <c r="L126" s="5" t="n">
        <v>20</v>
      </c>
      <c r="M126" s="5" t="n">
        <v>4</v>
      </c>
      <c r="N126" s="5" t="n">
        <v>4</v>
      </c>
      <c r="O126" s="5" t="n">
        <v>10255</v>
      </c>
      <c r="P126" s="5" t="n">
        <v>1</v>
      </c>
      <c r="Q126">
        <f>L126+IF(M126&gt;1,N(N126)*(M126-1),0)</f>
        <v/>
      </c>
      <c r="R126">
        <f>IFERROR(K126*MAX(M126,1)/Q126*P126,0)</f>
        <v/>
      </c>
      <c r="AA126" s="6" t="inlineStr">
        <is>
          <t>^HeavyMissile, ^HeavyAAWeapon, ^MediumMissile, ^FlakWeapon, ^MediumCannon, ^MediumChemicalWeapon, ^ArrowWeapon, ^RA2LightMissile</t>
        </is>
      </c>
    </row>
    <row r="127">
      <c r="B127" s="6" t="inlineStr">
        <is>
          <t xml:space="preserve">  ↳ MedicHeal</t>
        </is>
      </c>
      <c r="C127" s="6" t="inlineStr">
        <is>
          <t>Armament@healer</t>
        </is>
      </c>
      <c r="K127" s="5" t="n">
        <v>-1</v>
      </c>
      <c r="L127" s="5" t="n">
        <v>10</v>
      </c>
      <c r="M127" s="5" t="n">
        <v>1</v>
      </c>
      <c r="N127" s="5" t="n"/>
      <c r="O127" s="5" t="n">
        <v>6000</v>
      </c>
      <c r="P127" s="5" t="n">
        <v>1</v>
      </c>
      <c r="Q127">
        <f>L127+IF(M127&gt;1,N(N127)*(M127-1),0)</f>
        <v/>
      </c>
      <c r="R127">
        <f>IFERROR(K127*MAX(M127,1)/Q127*P127,0)</f>
        <v/>
      </c>
      <c r="AA127" s="6" t="inlineStr">
        <is>
          <t>^HealingWeapon</t>
        </is>
      </c>
    </row>
    <row r="128">
      <c r="B128" s="6" t="inlineStr">
        <is>
          <t xml:space="preserve">  ↳ RA2AWP</t>
        </is>
      </c>
      <c r="C128" s="6" t="inlineStr">
        <is>
          <t>Armament@ra1_allies_alliedsniper</t>
        </is>
      </c>
      <c r="K128" s="5" t="n">
        <v>44000</v>
      </c>
      <c r="L128" s="5" t="n">
        <v>54</v>
      </c>
      <c r="M128" s="5" t="n">
        <v>1</v>
      </c>
      <c r="N128" s="5" t="n"/>
      <c r="O128" s="5" t="n">
        <v>10000</v>
      </c>
      <c r="P128" s="5" t="n">
        <v>1</v>
      </c>
      <c r="Q128">
        <f>L128+IF(M128&gt;1,N(N128)*(M128-1),0)</f>
        <v/>
      </c>
      <c r="R128">
        <f>IFERROR(K128*MAX(M128,1)/Q128*P128,0)</f>
        <v/>
      </c>
      <c r="AA128" s="6" t="inlineStr">
        <is>
          <t>^SniperWeapon</t>
        </is>
      </c>
    </row>
    <row r="129">
      <c r="A129" s="3" t="inlineStr">
        <is>
          <t>AIRCRAFT</t>
        </is>
      </c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</row>
    <row r="130">
      <c r="A130" t="inlineStr">
        <is>
          <t>redalert2mod</t>
        </is>
      </c>
      <c r="B130" t="inlineStr">
        <is>
          <t>futuretech_cryocopter</t>
        </is>
      </c>
      <c r="C130" t="inlineStr">
        <is>
          <t>Cryocopter</t>
        </is>
      </c>
      <c r="D130" t="inlineStr"/>
      <c r="E130" s="5" t="n">
        <v>90000</v>
      </c>
      <c r="F130" s="5" t="n">
        <v>125</v>
      </c>
      <c r="G130" t="inlineStr">
        <is>
          <t>Helicopter</t>
        </is>
      </c>
      <c r="H130" s="5" t="n">
        <v>0.75</v>
      </c>
      <c r="I130" s="5" t="n">
        <v>1</v>
      </c>
      <c r="J130" s="5" t="n">
        <v>1.5</v>
      </c>
      <c r="O130">
        <f>MAX(O131,O132)</f>
        <v/>
      </c>
      <c r="R130">
        <f>R131+R132</f>
        <v/>
      </c>
      <c r="S130">
        <f>(E130/100000+F130/100+(O130/1000)*J130/5+R130/200)*200*I130*H130</f>
        <v/>
      </c>
      <c r="T130">
        <f>((E130*F130/25000)+((O130/1000)*J130*R130/2.5))*I130*H130</f>
        <v/>
      </c>
      <c r="U130">
        <f>(E130*F130*(O130/1000)*J130*R130*I130*H130)/12500000</f>
        <v/>
      </c>
      <c r="V130">
        <f>(S130+T130+U130)/3</f>
        <v/>
      </c>
      <c r="W130" s="5" t="n">
        <v>900</v>
      </c>
      <c r="X130">
        <f>IFERROR(V130-W130,"")</f>
        <v/>
      </c>
      <c r="Y130">
        <f>IFERROR(ABS(X130)/MAX(W130,1),"")</f>
        <v/>
      </c>
      <c r="Z130">
        <f>IFERROR((W130-(((E130/100000+F130/100+R130/200)*200*I130*H130)+((E130*F130/25000)*I130*H130))/3)/(((J130/5)*200*I130*H130)+((J130*R130/2.5)*I130*H130)+((E130*F130*J130*R130*I130*H130)/12500000))/3*1000,"")</f>
        <v/>
      </c>
    </row>
    <row r="131">
      <c r="B131" s="6" t="inlineStr">
        <is>
          <t xml:space="preserve">  ↳ Future_Cryocopter_Rocket</t>
        </is>
      </c>
      <c r="C131" s="6" t="inlineStr">
        <is>
          <t>Armament@Rocket</t>
        </is>
      </c>
      <c r="K131" s="5" t="n">
        <v>16000</v>
      </c>
      <c r="L131" s="5" t="n">
        <v>60</v>
      </c>
      <c r="M131" s="5" t="n">
        <v>2</v>
      </c>
      <c r="N131" s="5" t="n">
        <v>4</v>
      </c>
      <c r="O131" s="5" t="n">
        <v>5200</v>
      </c>
      <c r="P131" s="5" t="n">
        <v>1</v>
      </c>
      <c r="Q131">
        <f>L131+IF(M131&gt;1,N(N131)*(M131-1),0)</f>
        <v/>
      </c>
      <c r="R131">
        <f>IFERROR(K131*MAX(M131,1)/Q131*P131,0)</f>
        <v/>
      </c>
      <c r="AA131" s="6" t="inlineStr">
        <is>
          <t>^Grenade, ^D2KRocket, ^SteelMediumMissile</t>
        </is>
      </c>
    </row>
    <row r="132">
      <c r="B132" s="6" t="inlineStr">
        <is>
          <t xml:space="preserve">  ↳ Future_Cryocopter_Cryo</t>
        </is>
      </c>
      <c r="C132" s="6" t="inlineStr">
        <is>
          <t>Armament@PRIMARY</t>
        </is>
      </c>
      <c r="K132" s="5" t="n">
        <v>2000</v>
      </c>
      <c r="L132" s="5" t="n">
        <v>8</v>
      </c>
      <c r="M132" s="5" t="n">
        <v>1</v>
      </c>
      <c r="N132" s="5" t="n"/>
      <c r="O132" s="5" t="n">
        <v>5200</v>
      </c>
      <c r="P132" s="5" t="n">
        <v>1</v>
      </c>
      <c r="Q132">
        <f>L132+IF(M132&gt;1,N(N132)*(M132-1),0)</f>
        <v/>
      </c>
      <c r="R132">
        <f>IFERROR(K132*MAX(M132,1)/Q132*P132,0)</f>
        <v/>
      </c>
      <c r="AA132" s="6" t="inlineStr">
        <is>
          <t>^LightMissile, ^SmallArms, ^Chaingun, ^FlakWeapon, ^TeslaWeapon, ^LaserWeapon</t>
        </is>
      </c>
    </row>
    <row r="133">
      <c r="A133" t="inlineStr">
        <is>
          <t>redalert2mod</t>
        </is>
      </c>
      <c r="B133" t="inlineStr">
        <is>
          <t>futuretech_harbingergunship</t>
        </is>
      </c>
      <c r="C133" t="inlineStr">
        <is>
          <t>Harbinger Gunship</t>
        </is>
      </c>
      <c r="D133" t="inlineStr"/>
      <c r="E133" s="5" t="n">
        <v>400000</v>
      </c>
      <c r="F133" s="5" t="n">
        <v>125</v>
      </c>
      <c r="G133" t="inlineStr">
        <is>
          <t>Spaceship</t>
        </is>
      </c>
      <c r="H133" s="5" t="n">
        <v>1</v>
      </c>
      <c r="I133" s="5" t="n">
        <v>1</v>
      </c>
      <c r="J133" s="5" t="n">
        <v>1</v>
      </c>
      <c r="O133">
        <f>MAX(O134,O135,O136,O137)</f>
        <v/>
      </c>
      <c r="R133">
        <f>R134+R135+R136+R137</f>
        <v/>
      </c>
      <c r="S133">
        <f>(E133/100000+F133/100+(O133/1000)*J133/5+R133/200)*200*I133*H133</f>
        <v/>
      </c>
      <c r="T133">
        <f>((E133*F133/25000)+((O133/1000)*J133*R133/2.5))*I133*H133</f>
        <v/>
      </c>
      <c r="U133">
        <f>(E133*F133*(O133/1000)*J133*R133*I133*H133)/12500000</f>
        <v/>
      </c>
      <c r="V133">
        <f>(S133+T133+U133)/3</f>
        <v/>
      </c>
      <c r="W133" s="5" t="n">
        <v>10000</v>
      </c>
      <c r="X133">
        <f>IFERROR(V133-W133,"")</f>
        <v/>
      </c>
      <c r="Y133">
        <f>IFERROR(ABS(X133)/MAX(W133,1),"")</f>
        <v/>
      </c>
      <c r="Z133">
        <f>IFERROR((W133-(((E133/100000+F133/100+R133/200)*200*I133*H133)+((E133*F133/25000)*I133*H133))/3)/(((J133/5)*200*I133*H133)+((J133*R133/2.5)*I133*H133)+((E133*F133*J133*R133*I133*H133)/12500000))/3*1000,"")</f>
        <v/>
      </c>
    </row>
    <row r="134">
      <c r="B134" s="6" t="inlineStr">
        <is>
          <t xml:space="preserve">  ↳ FutureHarbingerCannon</t>
        </is>
      </c>
      <c r="C134" s="6" t="inlineStr">
        <is>
          <t>Armament@PRIMARY</t>
        </is>
      </c>
      <c r="K134" s="5" t="n">
        <v>4000</v>
      </c>
      <c r="L134" s="5" t="n">
        <v>70</v>
      </c>
      <c r="M134" s="5" t="n">
        <v>2</v>
      </c>
      <c r="N134" s="5" t="n">
        <v>5</v>
      </c>
      <c r="O134" s="5" t="n">
        <v>6030</v>
      </c>
      <c r="P134" s="5" t="n">
        <v>1</v>
      </c>
      <c r="Q134">
        <f>L134+IF(M134&gt;1,N(N134)*(M134-1),0)</f>
        <v/>
      </c>
      <c r="R134">
        <f>IFERROR(K134*MAX(M134,1)/Q134*P134,0)</f>
        <v/>
      </c>
      <c r="AA134" s="6" t="inlineStr">
        <is>
          <t>^HeavyChemicalWeapon, ^HeavyFlameWeapon, ^HeavyBomb, ^TeslaChargedWeapon, ^TeslaWeapon, ^MagicWeapon, ^LaserWeapon, ^RailgunWeapon, ^HeavyMissile, ^HeavyCannon</t>
        </is>
      </c>
    </row>
    <row r="135">
      <c r="B135" s="6" t="inlineStr">
        <is>
          <t xml:space="preserve">  ↳ FutureHarbingerCannonE</t>
        </is>
      </c>
      <c r="C135" s="6" t="inlineStr">
        <is>
          <t>Armament@PRIMARYELITE</t>
        </is>
      </c>
      <c r="K135" s="5" t="n">
        <v>4000</v>
      </c>
      <c r="L135" s="5" t="n">
        <v>70</v>
      </c>
      <c r="M135" s="5" t="n">
        <v>4</v>
      </c>
      <c r="N135" s="5" t="n">
        <v>5</v>
      </c>
      <c r="O135" s="5" t="n">
        <v>7030</v>
      </c>
      <c r="P135" s="5" t="n">
        <v>1</v>
      </c>
      <c r="Q135">
        <f>L135+IF(M135&gt;1,N(N135)*(M135-1),0)</f>
        <v/>
      </c>
      <c r="R135">
        <f>IFERROR(K135*MAX(M135,1)/Q135*P135,0)</f>
        <v/>
      </c>
      <c r="AA135" s="6" t="inlineStr">
        <is>
          <t>^HeavyChemicalWeapon, ^HeavyFlameWeapon, ^HeavyBomb, ^TeslaChargedWeapon, ^TeslaWeapon, ^MagicWeapon, ^LaserWeapon, ^RailgunWeapon, ^HeavyMissile, ^HeavyCannon</t>
        </is>
      </c>
    </row>
    <row r="136">
      <c r="B136" s="6" t="inlineStr">
        <is>
          <t xml:space="preserve">  ↳ HarbingerChainguns</t>
        </is>
      </c>
      <c r="C136" s="6" t="inlineStr">
        <is>
          <t>Armament@AA</t>
        </is>
      </c>
      <c r="K136" s="5" t="n">
        <v>12000</v>
      </c>
      <c r="L136" s="5" t="n">
        <v>9</v>
      </c>
      <c r="M136" s="5" t="n">
        <v>1</v>
      </c>
      <c r="N136" s="5" t="n"/>
      <c r="O136" s="5" t="n">
        <v>6030</v>
      </c>
      <c r="P136" s="5" t="n">
        <v>1</v>
      </c>
      <c r="Q136">
        <f>L136+IF(M136&gt;1,N(N136)*(M136-1),0)</f>
        <v/>
      </c>
      <c r="R136">
        <f>IFERROR(K136*MAX(M136,1)/Q136*P136,0)</f>
        <v/>
      </c>
      <c r="AA136" s="6" t="inlineStr">
        <is>
          <t>^FlakWeapon</t>
        </is>
      </c>
    </row>
    <row r="137">
      <c r="B137" s="6" t="inlineStr">
        <is>
          <t xml:space="preserve">  ↳ HarbingerChaingunsE</t>
        </is>
      </c>
      <c r="C137" s="6" t="inlineStr">
        <is>
          <t>Armament@AAELITE</t>
        </is>
      </c>
      <c r="K137" s="5" t="n">
        <v>12000</v>
      </c>
      <c r="L137" s="5" t="n">
        <v>9</v>
      </c>
      <c r="M137" s="5" t="n">
        <v>2</v>
      </c>
      <c r="N137" s="5" t="n">
        <v>1</v>
      </c>
      <c r="O137" s="5" t="n">
        <v>7030</v>
      </c>
      <c r="P137" s="5" t="n">
        <v>1</v>
      </c>
      <c r="Q137">
        <f>L137+IF(M137&gt;1,N(N137)*(M137-1),0)</f>
        <v/>
      </c>
      <c r="R137">
        <f>IFERROR(K137*MAX(M137,1)/Q137*P137,0)</f>
        <v/>
      </c>
      <c r="AA137" s="6" t="inlineStr">
        <is>
          <t>^FlakWeapon</t>
        </is>
      </c>
    </row>
    <row r="138">
      <c r="A138" t="inlineStr">
        <is>
          <t>redalert2mod</t>
        </is>
      </c>
      <c r="B138" t="inlineStr">
        <is>
          <t>futuretech_twister</t>
        </is>
      </c>
      <c r="C138" t="inlineStr">
        <is>
          <t>Twister</t>
        </is>
      </c>
      <c r="D138" t="inlineStr"/>
      <c r="E138" s="5" t="n">
        <v>50000</v>
      </c>
      <c r="F138" s="5" t="n">
        <v>150</v>
      </c>
      <c r="G138" t="inlineStr">
        <is>
          <t>Fighter</t>
        </is>
      </c>
      <c r="H138" s="5" t="n">
        <v>1</v>
      </c>
      <c r="I138" s="5" t="n">
        <v>1</v>
      </c>
      <c r="J138" s="5" t="n">
        <v>1</v>
      </c>
      <c r="O138">
        <f>MAX(O139,O140)</f>
        <v/>
      </c>
      <c r="R138">
        <f>R139+R140</f>
        <v/>
      </c>
      <c r="S138">
        <f>(E138/100000+F138/100+(O138/1000)*J138/5+R138/200)*200*I138*H138</f>
        <v/>
      </c>
      <c r="T138">
        <f>((E138*F138/25000)+((O138/1000)*J138*R138/2.5))*I138*H138</f>
        <v/>
      </c>
      <c r="U138">
        <f>(E138*F138*(O138/1000)*J138*R138*I138*H138)/12500000</f>
        <v/>
      </c>
      <c r="V138">
        <f>(S138+T138+U138)/3</f>
        <v/>
      </c>
      <c r="W138" s="5" t="n">
        <v>1000</v>
      </c>
      <c r="X138">
        <f>IFERROR(V138-W138,"")</f>
        <v/>
      </c>
      <c r="Y138">
        <f>IFERROR(ABS(X138)/MAX(W138,1),"")</f>
        <v/>
      </c>
      <c r="Z138">
        <f>IFERROR((W138-(((E138/100000+F138/100+R138/200)*200*I138*H138)+((E138*F138/25000)*I138*H138))/3)/(((J138/5)*200*I138*H138)+((J138*R138/2.5)*I138*H138)+((E138*F138*J138*R138*I138*H138)/12500000))/3*1000,"")</f>
        <v/>
      </c>
    </row>
    <row r="139">
      <c r="B139" s="6" t="inlineStr">
        <is>
          <t xml:space="preserve">  ↳ SteelTwisterMissiles</t>
        </is>
      </c>
      <c r="C139" s="6" t="inlineStr">
        <is>
          <t>Armament@PRIMARY</t>
        </is>
      </c>
      <c r="K139" s="5" t="n">
        <v>2000</v>
      </c>
      <c r="L139" s="5" t="n">
        <v>105</v>
      </c>
      <c r="M139" s="5" t="n">
        <v>5</v>
      </c>
      <c r="N139" s="5" t="n">
        <v>5</v>
      </c>
      <c r="O139" s="5" t="n">
        <v>5000</v>
      </c>
      <c r="P139" s="5" t="n">
        <v>1</v>
      </c>
      <c r="Q139">
        <f>L139+IF(M139&gt;1,N(N139)*(M139-1),0)</f>
        <v/>
      </c>
      <c r="R139">
        <f>IFERROR(K139*MAX(M139,1)/Q139*P139,0)</f>
        <v/>
      </c>
      <c r="AA139" s="6" t="inlineStr">
        <is>
          <t>^Grenade, ^MediumFlameWeapon, ^FlakWeapon, ^HeavyAAWeapon, ^SteelMediumMissile</t>
        </is>
      </c>
    </row>
    <row r="140">
      <c r="B140" s="6" t="inlineStr">
        <is>
          <t xml:space="preserve">  ↳ SteelTwisterMissilesE</t>
        </is>
      </c>
      <c r="C140" s="6" t="inlineStr">
        <is>
          <t>Armament@PRIMARYELITE</t>
        </is>
      </c>
      <c r="K140" s="5" t="n">
        <v>2000</v>
      </c>
      <c r="L140" s="5" t="n">
        <v>105</v>
      </c>
      <c r="M140" s="5" t="n">
        <v>10</v>
      </c>
      <c r="N140" s="5" t="n">
        <v>5</v>
      </c>
      <c r="O140" s="5" t="n">
        <v>6000</v>
      </c>
      <c r="P140" s="5" t="n">
        <v>1</v>
      </c>
      <c r="Q140">
        <f>L140+IF(M140&gt;1,N(N140)*(M140-1),0)</f>
        <v/>
      </c>
      <c r="R140">
        <f>IFERROR(K140*MAX(M140,1)/Q140*P140,0)</f>
        <v/>
      </c>
      <c r="AA140" s="6" t="inlineStr">
        <is>
          <t>^Grenade, ^MediumFlameWeapon, ^FlakWeapon, ^HeavyAAWeapon, ^SteelMediumMissile</t>
        </is>
      </c>
    </row>
    <row r="141">
      <c r="A141" t="inlineStr">
        <is>
          <t>redalert2mod</t>
        </is>
      </c>
      <c r="B141" t="inlineStr">
        <is>
          <t>landcarr_drone.futu</t>
        </is>
      </c>
      <c r="C141" t="inlineStr">
        <is>
          <t>Hornet</t>
        </is>
      </c>
      <c r="D141" t="inlineStr"/>
      <c r="E141" s="5" t="n">
        <v>10000</v>
      </c>
      <c r="F141" s="5" t="n">
        <v>225</v>
      </c>
      <c r="G141" t="inlineStr">
        <is>
          <t>Bomber</t>
        </is>
      </c>
      <c r="H141" s="5" t="n">
        <v>1</v>
      </c>
      <c r="I141" s="5" t="n">
        <v>1</v>
      </c>
      <c r="J141" s="5" t="n">
        <v>1</v>
      </c>
      <c r="O141">
        <f>MAX(O142)</f>
        <v/>
      </c>
      <c r="R141">
        <f>R142</f>
        <v/>
      </c>
      <c r="S141">
        <f>(E141/100000+F141/100+(O141/1000)*J141/5+R141/200)*200*I141*H141</f>
        <v/>
      </c>
      <c r="T141">
        <f>((E141*F141/25000)+((O141/1000)*J141*R141/2.5))*I141*H141</f>
        <v/>
      </c>
      <c r="U141">
        <f>(E141*F141*(O141/1000)*J141*R141*I141*H141)/12500000</f>
        <v/>
      </c>
      <c r="V141">
        <f>(S141+T141+U141)/3</f>
        <v/>
      </c>
      <c r="W141" s="5" t="n">
        <v>1250</v>
      </c>
      <c r="X141">
        <f>IFERROR(V141-W141,"")</f>
        <v/>
      </c>
      <c r="Y141">
        <f>IFERROR(ABS(X141)/MAX(W141,1),"")</f>
        <v/>
      </c>
      <c r="Z141">
        <f>IFERROR((W141-(((E141/100000+F141/100+R141/200)*200*I141*H141)+((E141*F141/25000)*I141*H141))/3)/(((J141/5)*200*I141*H141)+((J141*R141/2.5)*I141*H141)+((E141*F141*J141*R141*I141*H141)/12500000))/3*1000,"")</f>
        <v/>
      </c>
    </row>
    <row r="142">
      <c r="B142" s="6" t="inlineStr">
        <is>
          <t xml:space="preserve">  ↳ RA2HornetMissile</t>
        </is>
      </c>
      <c r="C142" s="6" t="inlineStr">
        <is>
          <t>Armament@PRIMARY</t>
        </is>
      </c>
      <c r="K142" s="5" t="n">
        <v>2000</v>
      </c>
      <c r="L142" s="5" t="n">
        <v>3</v>
      </c>
      <c r="M142" s="5" t="n">
        <v>1</v>
      </c>
      <c r="N142" s="5" t="n"/>
      <c r="O142" s="5" t="n">
        <v>5000</v>
      </c>
      <c r="P142" s="5" t="n">
        <v>1</v>
      </c>
      <c r="Q142">
        <f>L142+IF(M142&gt;1,N(N142)*(M142-1),0)</f>
        <v/>
      </c>
      <c r="R142">
        <f>IFERROR(K142*MAX(M142,1)/Q142*P142,0)</f>
        <v/>
      </c>
      <c r="AA142" s="6" t="inlineStr">
        <is>
          <t>^Grenade, ^HeavyBomb, ^RA2MediumMissile</t>
        </is>
      </c>
    </row>
    <row r="143">
      <c r="A143" s="3" t="inlineStr">
        <is>
          <t>BUILDINGS</t>
        </is>
      </c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</row>
    <row r="144">
      <c r="A144" t="inlineStr">
        <is>
          <t>redalert2mod</t>
        </is>
      </c>
      <c r="B144" t="inlineStr">
        <is>
          <t>futuretech_battlelab</t>
        </is>
      </c>
      <c r="C144" t="inlineStr">
        <is>
          <t>FutureTech Battle Lab</t>
        </is>
      </c>
      <c r="D144" t="inlineStr"/>
      <c r="E144" s="5" t="n">
        <v>500000</v>
      </c>
      <c r="F144" s="5" t="n"/>
      <c r="G144" t="inlineStr">
        <is>
          <t>Concrete</t>
        </is>
      </c>
      <c r="H144" s="5" t="n">
        <v>1</v>
      </c>
      <c r="I144" s="5" t="n">
        <v>1</v>
      </c>
      <c r="J144" s="5" t="n">
        <v>1</v>
      </c>
      <c r="W144" s="5" t="n">
        <v>5000</v>
      </c>
    </row>
    <row r="145">
      <c r="A145" t="inlineStr">
        <is>
          <t>redalert2mod</t>
        </is>
      </c>
      <c r="B145" t="inlineStr">
        <is>
          <t>futuretech_constructionyard</t>
        </is>
      </c>
      <c r="C145" t="inlineStr">
        <is>
          <t>FutureTech Construction Yard</t>
        </is>
      </c>
      <c r="D145" t="inlineStr"/>
      <c r="E145" s="5" t="n">
        <v>1000000</v>
      </c>
      <c r="F145" s="5" t="n"/>
      <c r="G145" t="inlineStr">
        <is>
          <t>Concrete</t>
        </is>
      </c>
      <c r="H145" s="5" t="n">
        <v>1</v>
      </c>
      <c r="I145" s="5" t="n">
        <v>1</v>
      </c>
      <c r="J145" s="5" t="n">
        <v>1</v>
      </c>
      <c r="W145" s="5" t="n">
        <v>5000</v>
      </c>
    </row>
    <row r="146">
      <c r="A146" t="inlineStr">
        <is>
          <t>redalert2mod</t>
        </is>
      </c>
      <c r="B146" t="inlineStr">
        <is>
          <t>futuretech_frostbiteturret</t>
        </is>
      </c>
      <c r="C146" t="inlineStr">
        <is>
          <t>Frostbite Turret</t>
        </is>
      </c>
      <c r="D146" t="inlineStr"/>
      <c r="E146" s="5" t="n">
        <v>120000</v>
      </c>
      <c r="F146" s="5" t="n"/>
      <c r="G146" t="inlineStr">
        <is>
          <t>Steel</t>
        </is>
      </c>
      <c r="H146" s="5" t="n">
        <v>1</v>
      </c>
      <c r="I146" s="5" t="n">
        <v>1</v>
      </c>
      <c r="J146" s="5" t="n">
        <v>1</v>
      </c>
      <c r="W146" s="5" t="n">
        <v>1500</v>
      </c>
    </row>
    <row r="147">
      <c r="B147" s="6" t="inlineStr">
        <is>
          <t xml:space="preserve">  ↳ Future_Turret_Cryo</t>
        </is>
      </c>
      <c r="C147" s="6" t="inlineStr">
        <is>
          <t>Armament</t>
        </is>
      </c>
      <c r="K147" s="5" t="n">
        <v>2000</v>
      </c>
      <c r="L147" s="5" t="n">
        <v>8</v>
      </c>
      <c r="M147" s="5" t="n">
        <v>1</v>
      </c>
      <c r="N147" s="5" t="n"/>
      <c r="O147" s="5" t="n">
        <v>7124</v>
      </c>
      <c r="P147" s="5" t="n">
        <v>1</v>
      </c>
      <c r="Q147">
        <f>L147+IF(M147&gt;1,N(N147)*(M147-1),0)</f>
        <v/>
      </c>
      <c r="R147">
        <f>IFERROR(K147*MAX(M147,1)/Q147*P147,0)</f>
        <v/>
      </c>
      <c r="AA147" s="6" t="inlineStr">
        <is>
          <t>^LightMissile, ^SmallArms, ^Chaingun, ^FlakWeapon, ^TeslaWeapon, ^LaserWeapon</t>
        </is>
      </c>
    </row>
    <row r="148">
      <c r="A148" t="inlineStr">
        <is>
          <t>redalert2mod</t>
        </is>
      </c>
      <c r="B148" t="inlineStr">
        <is>
          <t>futuretech_hypercore</t>
        </is>
      </c>
      <c r="C148" t="inlineStr">
        <is>
          <t>Hypercore</t>
        </is>
      </c>
      <c r="D148" t="inlineStr"/>
      <c r="E148" s="5" t="n">
        <v>750000</v>
      </c>
      <c r="F148" s="5" t="n"/>
      <c r="G148" t="inlineStr">
        <is>
          <t>Concrete</t>
        </is>
      </c>
      <c r="H148" s="5" t="n">
        <v>1</v>
      </c>
      <c r="I148" s="5" t="n">
        <v>1</v>
      </c>
      <c r="J148" s="5" t="n">
        <v>1</v>
      </c>
      <c r="W148" s="5" t="n">
        <v>7500</v>
      </c>
    </row>
    <row r="149">
      <c r="A149" t="inlineStr">
        <is>
          <t>redalert2mod</t>
        </is>
      </c>
      <c r="B149" t="inlineStr">
        <is>
          <t>futuretech_launchpad</t>
        </is>
      </c>
      <c r="C149" t="inlineStr">
        <is>
          <t>FutureTech Launch Pad</t>
        </is>
      </c>
      <c r="D149" t="inlineStr"/>
      <c r="E149" s="5" t="n">
        <v>300000</v>
      </c>
      <c r="F149" s="5" t="n"/>
      <c r="G149" t="inlineStr">
        <is>
          <t>Wood</t>
        </is>
      </c>
      <c r="H149" s="5" t="n">
        <v>1</v>
      </c>
      <c r="I149" s="5" t="n">
        <v>1</v>
      </c>
      <c r="J149" s="5" t="n">
        <v>1</v>
      </c>
      <c r="W149" s="5" t="n">
        <v>1500</v>
      </c>
    </row>
    <row r="150">
      <c r="A150" t="inlineStr">
        <is>
          <t>redalert2mod</t>
        </is>
      </c>
      <c r="B150" t="inlineStr">
        <is>
          <t>futuretech_multiturretsystem</t>
        </is>
      </c>
      <c r="C150" t="inlineStr">
        <is>
          <t>Multi Turret System</t>
        </is>
      </c>
      <c r="D150" t="inlineStr"/>
      <c r="E150" s="5" t="n">
        <v>105000</v>
      </c>
      <c r="F150" s="5" t="n"/>
      <c r="G150" t="inlineStr">
        <is>
          <t>Concrete</t>
        </is>
      </c>
      <c r="H150" s="5" t="n">
        <v>1</v>
      </c>
      <c r="I150" s="5" t="n">
        <v>1</v>
      </c>
      <c r="J150" s="5" t="n">
        <v>1</v>
      </c>
      <c r="W150" s="5" t="n">
        <v>800</v>
      </c>
    </row>
    <row r="151">
      <c r="B151" s="6" t="inlineStr">
        <is>
          <t xml:space="preserve">  ↳ Future_MultiMissile</t>
        </is>
      </c>
      <c r="C151" s="6" t="inlineStr">
        <is>
          <t>Armament@primary</t>
        </is>
      </c>
      <c r="K151" s="5" t="n">
        <v>4000</v>
      </c>
      <c r="L151" s="5" t="n">
        <v>24</v>
      </c>
      <c r="M151" s="5" t="n">
        <v>3</v>
      </c>
      <c r="N151" s="5" t="n">
        <v>4</v>
      </c>
      <c r="O151" s="5" t="n">
        <v>7410</v>
      </c>
      <c r="P151" s="5" t="n">
        <v>1</v>
      </c>
      <c r="Q151">
        <f>L151+IF(M151&gt;1,N(N151)*(M151-1),0)</f>
        <v/>
      </c>
      <c r="R151">
        <f>IFERROR(K151*MAX(M151,1)/Q151*P151,0)</f>
        <v/>
      </c>
      <c r="AA151" s="6" t="inlineStr">
        <is>
          <t>^ArrowWeapon, ^RA2LightMissile</t>
        </is>
      </c>
    </row>
    <row r="152">
      <c r="B152" s="6" t="inlineStr">
        <is>
          <t xml:space="preserve">  ↳ Future_MultiMissile_Javelin</t>
        </is>
      </c>
      <c r="C152" s="6" t="inlineStr">
        <is>
          <t>Armament@MISS</t>
        </is>
      </c>
      <c r="K152" s="5" t="n">
        <v>2000</v>
      </c>
      <c r="L152" s="5" t="n">
        <v>32</v>
      </c>
      <c r="M152" s="5" t="n">
        <v>3</v>
      </c>
      <c r="N152" s="5" t="n">
        <v>4</v>
      </c>
      <c r="O152" s="5" t="n">
        <v>9000</v>
      </c>
      <c r="P152" s="5" t="n">
        <v>1</v>
      </c>
      <c r="Q152">
        <f>L152+IF(M152&gt;1,N(N152)*(M152-1),0)</f>
        <v/>
      </c>
      <c r="R152">
        <f>IFERROR(K152*MAX(M152,1)/Q152*P152,0)</f>
        <v/>
      </c>
      <c r="AA152" s="6" t="inlineStr">
        <is>
          <t>^LightMissile, ^FlakWeapon, ^MediumMissile, ^ShrapnelWeapon, ^D2KRocket</t>
        </is>
      </c>
    </row>
    <row r="153">
      <c r="B153" s="6" t="inlineStr">
        <is>
          <t xml:space="preserve">  ↳ Future_MultiMissile_Frag</t>
        </is>
      </c>
      <c r="C153" s="6" t="inlineStr">
        <is>
          <t>Armament@FRAG</t>
        </is>
      </c>
      <c r="K153" s="5" t="n">
        <v>4000</v>
      </c>
      <c r="L153" s="5" t="n">
        <v>56</v>
      </c>
      <c r="M153" s="5" t="n">
        <v>3</v>
      </c>
      <c r="N153" s="5" t="n">
        <v>4</v>
      </c>
      <c r="O153" s="5" t="n">
        <v>8300</v>
      </c>
      <c r="P153" s="5" t="n">
        <v>1</v>
      </c>
      <c r="Q153">
        <f>L153+IF(M153&gt;1,N(N153)*(M153-1),0)</f>
        <v/>
      </c>
      <c r="R153">
        <f>IFERROR(K153*MAX(M153,1)/Q153*P153,0)</f>
        <v/>
      </c>
      <c r="AA153" s="6" t="inlineStr">
        <is>
          <t>^ShrapnelWeapon, ^MediumFlameWeapon, ^LightChemicalWeapon, ^LightMissile</t>
        </is>
      </c>
    </row>
    <row r="154">
      <c r="B154" s="6" t="inlineStr">
        <is>
          <t xml:space="preserve">  ↳ Future_MultiMissile_Sigma</t>
        </is>
      </c>
      <c r="C154" s="6" t="inlineStr">
        <is>
          <t>Armament@Sigma</t>
        </is>
      </c>
      <c r="K154" s="5" t="n">
        <v>10000</v>
      </c>
      <c r="L154" s="5" t="n">
        <v>50</v>
      </c>
      <c r="M154" s="5" t="n">
        <v>3</v>
      </c>
      <c r="N154" s="5" t="n">
        <v>6</v>
      </c>
      <c r="O154" s="5" t="n">
        <v>9000</v>
      </c>
      <c r="P154" s="5" t="n">
        <v>1</v>
      </c>
      <c r="Q154">
        <f>L154+IF(M154&gt;1,N(N154)*(M154-1),0)</f>
        <v/>
      </c>
      <c r="R154">
        <f>IFERROR(K154*MAX(M154,1)/Q154*P154,0)</f>
        <v/>
      </c>
      <c r="AA154" s="6" t="inlineStr">
        <is>
          <t>^TeslaChargedWeapon, ^MagicWeapon, ^FlakWeapon, ^ShrapnelWeapon, ^MediumMissile</t>
        </is>
      </c>
    </row>
    <row r="155">
      <c r="A155" t="inlineStr">
        <is>
          <t>redalert2mod</t>
        </is>
      </c>
      <c r="B155" t="inlineStr">
        <is>
          <t>futuretech_refinery</t>
        </is>
      </c>
      <c r="C155" t="inlineStr">
        <is>
          <t>FutureTech Refinery</t>
        </is>
      </c>
      <c r="D155" t="inlineStr"/>
      <c r="E155" s="5" t="n">
        <v>300000</v>
      </c>
      <c r="F155" s="5" t="n"/>
      <c r="G155" t="inlineStr">
        <is>
          <t>Concrete</t>
        </is>
      </c>
      <c r="H155" s="5" t="n">
        <v>1</v>
      </c>
      <c r="I155" s="5" t="n">
        <v>1</v>
      </c>
      <c r="J155" s="5" t="n">
        <v>1</v>
      </c>
      <c r="W155" s="5" t="n">
        <v>3000</v>
      </c>
    </row>
    <row r="156">
      <c r="A156" t="inlineStr">
        <is>
          <t>redalert2mod</t>
        </is>
      </c>
      <c r="B156" t="inlineStr">
        <is>
          <t>futuretech_robotcontrolcenter</t>
        </is>
      </c>
      <c r="C156" t="inlineStr">
        <is>
          <t>Robot Control Center</t>
        </is>
      </c>
      <c r="D156" t="inlineStr"/>
      <c r="E156" s="5" t="n">
        <v>250000</v>
      </c>
      <c r="F156" s="5" t="n"/>
      <c r="G156" t="inlineStr">
        <is>
          <t>Wood</t>
        </is>
      </c>
      <c r="H156" s="5" t="n">
        <v>1</v>
      </c>
      <c r="I156" s="5" t="n">
        <v>1</v>
      </c>
      <c r="J156" s="5" t="n">
        <v>1</v>
      </c>
      <c r="W156" s="5" t="n">
        <v>2500</v>
      </c>
    </row>
    <row r="157">
      <c r="A157" t="inlineStr">
        <is>
          <t>redalert2mod</t>
        </is>
      </c>
      <c r="B157" t="inlineStr">
        <is>
          <t>futuretech_thermalpowerplant</t>
        </is>
      </c>
      <c r="C157" t="inlineStr">
        <is>
          <t>Thermal Power Plant</t>
        </is>
      </c>
      <c r="D157" t="inlineStr"/>
      <c r="E157" s="5" t="n">
        <v>200000</v>
      </c>
      <c r="F157" s="5" t="n"/>
      <c r="G157" t="inlineStr">
        <is>
          <t>Wood</t>
        </is>
      </c>
      <c r="H157" s="5" t="n">
        <v>1</v>
      </c>
      <c r="I157" s="5" t="n">
        <v>1</v>
      </c>
      <c r="J157" s="5" t="n">
        <v>1</v>
      </c>
      <c r="W157" s="5" t="n">
        <v>800</v>
      </c>
    </row>
    <row r="158">
      <c r="A158" t="inlineStr">
        <is>
          <t>redalert2mod</t>
        </is>
      </c>
      <c r="B158" t="inlineStr">
        <is>
          <t>futuretech_transmissioncenter</t>
        </is>
      </c>
      <c r="C158" t="inlineStr">
        <is>
          <t>Transmission Center</t>
        </is>
      </c>
      <c r="D158" t="inlineStr"/>
      <c r="E158" s="5" t="n">
        <v>250000</v>
      </c>
      <c r="F158" s="5" t="n"/>
      <c r="G158" t="inlineStr">
        <is>
          <t>Wood</t>
        </is>
      </c>
      <c r="H158" s="5" t="n">
        <v>1</v>
      </c>
      <c r="I158" s="5" t="n">
        <v>1</v>
      </c>
      <c r="J158" s="5" t="n">
        <v>1</v>
      </c>
      <c r="W158" s="5" t="n">
        <v>2500</v>
      </c>
    </row>
    <row r="159">
      <c r="A159" t="inlineStr">
        <is>
          <t>redalert2mod</t>
        </is>
      </c>
      <c r="B159" t="inlineStr">
        <is>
          <t>futuretech_troopgate</t>
        </is>
      </c>
      <c r="C159" t="inlineStr">
        <is>
          <t>Troop Gate</t>
        </is>
      </c>
      <c r="D159" t="inlineStr"/>
      <c r="E159" s="5" t="n">
        <v>200000</v>
      </c>
      <c r="F159" s="5" t="n"/>
      <c r="G159" t="inlineStr">
        <is>
          <t>Wood</t>
        </is>
      </c>
      <c r="H159" s="5" t="n">
        <v>1</v>
      </c>
      <c r="I159" s="5" t="n">
        <v>1</v>
      </c>
      <c r="J159" s="5" t="n">
        <v>1</v>
      </c>
      <c r="W159" s="5" t="n">
        <v>1000</v>
      </c>
    </row>
    <row r="160">
      <c r="A160" t="inlineStr">
        <is>
          <t>redalert2mod</t>
        </is>
      </c>
      <c r="B160" t="inlineStr">
        <is>
          <t>futuretech_warpgate</t>
        </is>
      </c>
      <c r="C160" t="inlineStr">
        <is>
          <t>Warp Gate</t>
        </is>
      </c>
      <c r="D160" t="inlineStr"/>
      <c r="E160" s="5" t="n">
        <v>400000</v>
      </c>
      <c r="F160" s="5" t="n"/>
      <c r="G160" t="inlineStr">
        <is>
          <t>Concrete</t>
        </is>
      </c>
      <c r="H160" s="5" t="n">
        <v>1</v>
      </c>
      <c r="I160" s="5" t="n">
        <v>1</v>
      </c>
      <c r="J160" s="5" t="n">
        <v>1</v>
      </c>
      <c r="W160" s="5" t="n">
        <v>2000</v>
      </c>
    </row>
    <row r="161">
      <c r="A161" s="3" t="inlineStr">
        <is>
          <t>UPGRADES</t>
        </is>
      </c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</row>
    <row r="162">
      <c r="A162" t="inlineStr">
        <is>
          <t>redalert2mod</t>
        </is>
      </c>
      <c r="B162" t="inlineStr">
        <is>
          <t>egcnst_infiltrated.futu</t>
        </is>
      </c>
      <c r="C162" t="inlineStr">
        <is>
          <t>Stolen FutureTech Building Plans</t>
        </is>
      </c>
      <c r="D162" t="inlineStr"/>
      <c r="E162" s="5" t="n"/>
      <c r="F162" s="5" t="n"/>
      <c r="H162" s="5" t="n">
        <v>1</v>
      </c>
      <c r="I162" s="5" t="n">
        <v>1</v>
      </c>
      <c r="J162" s="5" t="n">
        <v>1</v>
      </c>
      <c r="W162" s="5" t="n"/>
    </row>
    <row r="163">
      <c r="A163" t="inlineStr">
        <is>
          <t>redalert2mod</t>
        </is>
      </c>
      <c r="B163" t="inlineStr">
        <is>
          <t>futuretech_doctrine_equalizerx1</t>
        </is>
      </c>
      <c r="C163" t="inlineStr">
        <is>
          <t>Equalizer X1</t>
        </is>
      </c>
      <c r="D163" t="inlineStr"/>
      <c r="E163" s="5" t="n"/>
      <c r="F163" s="5" t="n"/>
      <c r="H163" s="5" t="n">
        <v>1</v>
      </c>
      <c r="I163" s="5" t="n">
        <v>1</v>
      </c>
      <c r="J163" s="5" t="n">
        <v>1</v>
      </c>
      <c r="W163" s="5" t="n">
        <v>5000</v>
      </c>
    </row>
    <row r="164">
      <c r="A164" t="inlineStr">
        <is>
          <t>redalert2mod</t>
        </is>
      </c>
      <c r="B164" t="inlineStr">
        <is>
          <t>futuretech_doctrine_equalizerx2</t>
        </is>
      </c>
      <c r="C164" t="inlineStr">
        <is>
          <t>Equalizer X2</t>
        </is>
      </c>
      <c r="D164" t="inlineStr"/>
      <c r="E164" s="5" t="n"/>
      <c r="F164" s="5" t="n"/>
      <c r="H164" s="5" t="n">
        <v>1</v>
      </c>
      <c r="I164" s="5" t="n">
        <v>1</v>
      </c>
      <c r="J164" s="5" t="n">
        <v>1</v>
      </c>
      <c r="W164" s="5" t="n">
        <v>5000</v>
      </c>
    </row>
    <row r="165">
      <c r="A165" t="inlineStr">
        <is>
          <t>redalert2mod</t>
        </is>
      </c>
      <c r="B165" t="inlineStr">
        <is>
          <t>futuretech_doctrine_equalizerx3</t>
        </is>
      </c>
      <c r="C165" t="inlineStr">
        <is>
          <t>Equalizer X3</t>
        </is>
      </c>
      <c r="D165" t="inlineStr"/>
      <c r="E165" s="5" t="n"/>
      <c r="F165" s="5" t="n"/>
      <c r="H165" s="5" t="n">
        <v>1</v>
      </c>
      <c r="I165" s="5" t="n">
        <v>1</v>
      </c>
      <c r="J165" s="5" t="n">
        <v>1</v>
      </c>
      <c r="W165" s="5" t="n">
        <v>5000</v>
      </c>
    </row>
    <row r="166">
      <c r="A166" s="3" t="inlineStr">
        <is>
          <t>PROMOTIONS</t>
        </is>
      </c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</row>
    <row r="167">
      <c r="A167" t="inlineStr">
        <is>
          <t>redalert2mod</t>
        </is>
      </c>
      <c r="B167" t="inlineStr">
        <is>
          <t>futuretech_promotion_unlockblackwidow</t>
        </is>
      </c>
      <c r="C167" t="inlineStr">
        <is>
          <t>Unlock Black Widow</t>
        </is>
      </c>
      <c r="D167" t="inlineStr"/>
      <c r="E167" s="5" t="n"/>
      <c r="F167" s="5" t="n"/>
      <c r="H167" s="5" t="n">
        <v>1</v>
      </c>
      <c r="I167" s="5" t="n">
        <v>1</v>
      </c>
      <c r="J167" s="5" t="n">
        <v>1</v>
      </c>
      <c r="W167" s="5" t="n"/>
    </row>
    <row r="168">
      <c r="A168" t="inlineStr">
        <is>
          <t>redalert2mod</t>
        </is>
      </c>
      <c r="B168" t="inlineStr">
        <is>
          <t>futuretech_promotion_unlockcannondroid</t>
        </is>
      </c>
      <c r="C168" t="inlineStr">
        <is>
          <t>Unlock Cannon Droid</t>
        </is>
      </c>
      <c r="D168" t="inlineStr"/>
      <c r="E168" s="5" t="n"/>
      <c r="F168" s="5" t="n"/>
      <c r="H168" s="5" t="n">
        <v>1</v>
      </c>
      <c r="I168" s="5" t="n">
        <v>1</v>
      </c>
      <c r="J168" s="5" t="n">
        <v>1</v>
      </c>
      <c r="W168" s="5" t="n"/>
    </row>
    <row r="169">
      <c r="A169" t="inlineStr">
        <is>
          <t>redalert2mod</t>
        </is>
      </c>
      <c r="B169" t="inlineStr">
        <is>
          <t>futuretech_promotion_unlockcryocopter</t>
        </is>
      </c>
      <c r="C169" t="inlineStr">
        <is>
          <t>Unlock Cryocopter</t>
        </is>
      </c>
      <c r="D169" t="inlineStr"/>
      <c r="E169" s="5" t="n"/>
      <c r="F169" s="5" t="n"/>
      <c r="H169" s="5" t="n">
        <v>1</v>
      </c>
      <c r="I169" s="5" t="n">
        <v>1</v>
      </c>
      <c r="J169" s="5" t="n">
        <v>1</v>
      </c>
      <c r="W169" s="5" t="n"/>
    </row>
    <row r="170">
      <c r="A170" t="inlineStr">
        <is>
          <t>redalert2mod</t>
        </is>
      </c>
      <c r="B170" t="inlineStr">
        <is>
          <t>futuretech_promotion_unlockcryolegionnaire</t>
        </is>
      </c>
      <c r="C170" t="inlineStr">
        <is>
          <t>Unlock Cryo Legionnaire</t>
        </is>
      </c>
      <c r="D170" t="inlineStr"/>
      <c r="E170" s="5" t="n"/>
      <c r="F170" s="5" t="n"/>
      <c r="H170" s="5" t="n">
        <v>1</v>
      </c>
      <c r="I170" s="5" t="n">
        <v>1</v>
      </c>
      <c r="J170" s="5" t="n">
        <v>1</v>
      </c>
      <c r="W170" s="5" t="n"/>
    </row>
    <row r="171">
      <c r="A171" t="inlineStr">
        <is>
          <t>redalert2mod</t>
        </is>
      </c>
      <c r="B171" t="inlineStr">
        <is>
          <t>futuretech_promotion_unlockfuturetank</t>
        </is>
      </c>
      <c r="C171" t="inlineStr">
        <is>
          <t>Unlock Future Tank</t>
        </is>
      </c>
      <c r="D171" t="inlineStr"/>
      <c r="E171" s="5" t="n"/>
      <c r="F171" s="5" t="n"/>
      <c r="H171" s="5" t="n">
        <v>1</v>
      </c>
      <c r="I171" s="5" t="n">
        <v>1</v>
      </c>
      <c r="J171" s="5" t="n">
        <v>1</v>
      </c>
      <c r="W171" s="5" t="n"/>
    </row>
    <row r="172">
      <c r="A172" t="inlineStr">
        <is>
          <t>redalert2mod</t>
        </is>
      </c>
      <c r="B172" t="inlineStr">
        <is>
          <t>futuretech_promotion_unlockharbingergunship</t>
        </is>
      </c>
      <c r="C172" t="inlineStr">
        <is>
          <t>Unlock Harbinger Gunship</t>
        </is>
      </c>
      <c r="D172" t="inlineStr"/>
      <c r="E172" s="5" t="n"/>
      <c r="F172" s="5" t="n"/>
      <c r="H172" s="5" t="n">
        <v>1</v>
      </c>
      <c r="I172" s="5" t="n">
        <v>1</v>
      </c>
      <c r="J172" s="5" t="n">
        <v>1</v>
      </c>
      <c r="W172" s="5" t="n"/>
    </row>
    <row r="173">
      <c r="A173" t="inlineStr">
        <is>
          <t>redalert2mod</t>
        </is>
      </c>
      <c r="B173" t="inlineStr">
        <is>
          <t>futuretech_promotion_unlockmissiledroid</t>
        </is>
      </c>
      <c r="C173" t="inlineStr">
        <is>
          <t>Unlock Missile Droid</t>
        </is>
      </c>
      <c r="D173" t="inlineStr"/>
      <c r="E173" s="5" t="n"/>
      <c r="F173" s="5" t="n"/>
      <c r="H173" s="5" t="n">
        <v>1</v>
      </c>
      <c r="I173" s="5" t="n">
        <v>1</v>
      </c>
      <c r="J173" s="5" t="n">
        <v>1</v>
      </c>
      <c r="W173" s="5" t="n"/>
    </row>
    <row r="174">
      <c r="A174" t="inlineStr">
        <is>
          <t>redalert2mod</t>
        </is>
      </c>
      <c r="B174" t="inlineStr">
        <is>
          <t>futuretech_promotion_unlockoriontank</t>
        </is>
      </c>
      <c r="C174" t="inlineStr">
        <is>
          <t>Unlock Orion Tank</t>
        </is>
      </c>
      <c r="D174" t="inlineStr"/>
      <c r="E174" s="5" t="n"/>
      <c r="F174" s="5" t="n"/>
      <c r="H174" s="5" t="n">
        <v>1</v>
      </c>
      <c r="I174" s="5" t="n">
        <v>1</v>
      </c>
      <c r="J174" s="5" t="n">
        <v>1</v>
      </c>
      <c r="W174" s="5" t="n"/>
    </row>
    <row r="175">
      <c r="A175" t="inlineStr">
        <is>
          <t>redalert2mod</t>
        </is>
      </c>
      <c r="B175" t="inlineStr">
        <is>
          <t>futuretech_promotion_unlockprospectormk2</t>
        </is>
      </c>
      <c r="C175" t="inlineStr">
        <is>
          <t>Unlock Prospector MK2</t>
        </is>
      </c>
      <c r="D175" t="inlineStr"/>
      <c r="E175" s="5" t="n"/>
      <c r="F175" s="5" t="n"/>
      <c r="H175" s="5" t="n">
        <v>1</v>
      </c>
      <c r="I175" s="5" t="n">
        <v>1</v>
      </c>
      <c r="J175" s="5" t="n">
        <v>1</v>
      </c>
      <c r="W175" s="5" t="n"/>
    </row>
    <row r="176">
      <c r="A176" t="inlineStr">
        <is>
          <t>redalert2mod</t>
        </is>
      </c>
      <c r="B176" t="inlineStr">
        <is>
          <t>futuretech_promotion_unlockrobottank</t>
        </is>
      </c>
      <c r="C176" t="inlineStr">
        <is>
          <t>Unlock Robot Tank</t>
        </is>
      </c>
      <c r="D176" t="inlineStr"/>
      <c r="E176" s="5" t="n"/>
      <c r="F176" s="5" t="n"/>
      <c r="H176" s="5" t="n">
        <v>1</v>
      </c>
      <c r="I176" s="5" t="n">
        <v>1</v>
      </c>
      <c r="J176" s="5" t="n">
        <v>1</v>
      </c>
      <c r="W176" s="5" t="n"/>
    </row>
    <row r="177">
      <c r="A177" t="inlineStr">
        <is>
          <t>redalert2mod</t>
        </is>
      </c>
      <c r="B177" t="inlineStr">
        <is>
          <t>futuretech_promotion_unlocksalamanderifv</t>
        </is>
      </c>
      <c r="C177" t="inlineStr">
        <is>
          <t>Unlock Salamander IFV</t>
        </is>
      </c>
      <c r="D177" t="inlineStr"/>
      <c r="E177" s="5" t="n"/>
      <c r="F177" s="5" t="n"/>
      <c r="H177" s="5" t="n">
        <v>1</v>
      </c>
      <c r="I177" s="5" t="n">
        <v>1</v>
      </c>
      <c r="J177" s="5" t="n">
        <v>1</v>
      </c>
      <c r="W177" s="5" t="n"/>
    </row>
    <row r="178">
      <c r="A178" t="inlineStr">
        <is>
          <t>redalert2mod</t>
        </is>
      </c>
      <c r="B178" t="inlineStr">
        <is>
          <t>futuretech_promotion_unlockshotgundroid</t>
        </is>
      </c>
      <c r="C178" t="inlineStr">
        <is>
          <t>Unlock Shotgun Droid</t>
        </is>
      </c>
      <c r="D178" t="inlineStr"/>
      <c r="E178" s="5" t="n"/>
      <c r="F178" s="5" t="n"/>
      <c r="H178" s="5" t="n">
        <v>1</v>
      </c>
      <c r="I178" s="5" t="n">
        <v>1</v>
      </c>
      <c r="J178" s="5" t="n">
        <v>1</v>
      </c>
      <c r="W178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179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24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redalert2mod</t>
        </is>
      </c>
      <c r="B3" t="inlineStr">
        <is>
          <t>alien.nax</t>
        </is>
      </c>
      <c r="C3" t="inlineStr">
        <is>
          <t>Naxi Alien</t>
        </is>
      </c>
      <c r="D3" t="inlineStr"/>
      <c r="E3" s="5" t="n">
        <v>15000</v>
      </c>
      <c r="F3" s="5" t="n">
        <v>40</v>
      </c>
      <c r="G3" t="inlineStr">
        <is>
          <t>None</t>
        </is>
      </c>
      <c r="H3" s="5" t="n">
        <v>1</v>
      </c>
      <c r="I3" s="5" t="n">
        <v>0.5</v>
      </c>
      <c r="J3" s="5" t="n">
        <v>1</v>
      </c>
      <c r="O3">
        <f>MAX(O4,O5)</f>
        <v/>
      </c>
      <c r="R3">
        <f>R4+R5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150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NaxiAlienPistol</t>
        </is>
      </c>
      <c r="C4" s="6" t="inlineStr">
        <is>
          <t>Armament@PRIMARY</t>
        </is>
      </c>
      <c r="K4" s="5" t="n">
        <v>2000</v>
      </c>
      <c r="L4" s="5" t="n">
        <v>50</v>
      </c>
      <c r="M4" s="5" t="n">
        <v>2</v>
      </c>
      <c r="N4" s="5" t="n">
        <v>3</v>
      </c>
      <c r="O4" s="5" t="n">
        <v>5136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^TeslaWeapon, ^RA2MediumCannon, ^LunarNaxisUpgradedCannons</t>
        </is>
      </c>
    </row>
    <row r="5">
      <c r="B5" s="6" t="inlineStr">
        <is>
          <t xml:space="preserve">  ↳ NaxiAlienPistolE</t>
        </is>
      </c>
      <c r="C5" s="6" t="inlineStr">
        <is>
          <t>Armament@ELITE</t>
        </is>
      </c>
      <c r="K5" s="5" t="n">
        <v>2000</v>
      </c>
      <c r="L5" s="5" t="n">
        <v>50</v>
      </c>
      <c r="M5" s="5" t="n">
        <v>4</v>
      </c>
      <c r="N5" s="5" t="n">
        <v>3</v>
      </c>
      <c r="O5" s="5" t="n">
        <v>6136</v>
      </c>
      <c r="P5" s="5" t="n">
        <v>1</v>
      </c>
      <c r="Q5">
        <f>L5+IF(M5&gt;1,N(N5)*(M5-1),0)</f>
        <v/>
      </c>
      <c r="R5">
        <f>IFERROR(K5*MAX(M5,1)/Q5*P5,0)</f>
        <v/>
      </c>
      <c r="AA5" s="6" t="inlineStr">
        <is>
          <t>^TeslaWeapon, ^RA2MediumCannon, ^LunarNaxisUpgradedCannons</t>
        </is>
      </c>
    </row>
    <row r="6">
      <c r="B6" s="6" t="inlineStr">
        <is>
          <t xml:space="preserve">  ↳ NaxiAlienPistol</t>
        </is>
      </c>
      <c r="C6" s="6" t="inlineStr">
        <is>
          <t>Armament@GARRISONED</t>
        </is>
      </c>
      <c r="K6" s="5" t="n">
        <v>2000</v>
      </c>
      <c r="L6" s="5" t="n">
        <v>50</v>
      </c>
      <c r="M6" s="5" t="n">
        <v>2</v>
      </c>
      <c r="N6" s="5" t="n">
        <v>3</v>
      </c>
      <c r="O6" s="5" t="n">
        <v>5136</v>
      </c>
      <c r="P6" s="5" t="n">
        <v>1</v>
      </c>
      <c r="Q6">
        <f>L6+IF(M6&gt;1,N(N6)*(M6-1),0)</f>
        <v/>
      </c>
      <c r="R6">
        <f>IFERROR(K6*MAX(M6,1)/Q6*P6,0)</f>
        <v/>
      </c>
      <c r="AA6" s="6" t="inlineStr">
        <is>
          <t>^TeslaWeapon, ^RA2MediumCannon, ^LunarNaxisUpgradedCannons</t>
        </is>
      </c>
    </row>
    <row r="7">
      <c r="B7" s="6" t="inlineStr">
        <is>
          <t xml:space="preserve">  ↳ NaxiAlienPistolE</t>
        </is>
      </c>
      <c r="C7" s="6" t="inlineStr">
        <is>
          <t>Armament@GARRISONEDELITE</t>
        </is>
      </c>
      <c r="K7" s="5" t="n">
        <v>2000</v>
      </c>
      <c r="L7" s="5" t="n">
        <v>50</v>
      </c>
      <c r="M7" s="5" t="n">
        <v>4</v>
      </c>
      <c r="N7" s="5" t="n">
        <v>3</v>
      </c>
      <c r="O7" s="5" t="n">
        <v>6136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^TeslaWeapon, ^RA2MediumCannon, ^LunarNaxisUpgradedCannons</t>
        </is>
      </c>
    </row>
    <row r="8">
      <c r="A8" t="inlineStr">
        <is>
          <t>redalert2mod</t>
        </is>
      </c>
      <c r="B8" t="inlineStr">
        <is>
          <t>conehead2.nax</t>
        </is>
      </c>
      <c r="C8" t="inlineStr">
        <is>
          <t>Conehead Leader</t>
        </is>
      </c>
      <c r="D8" t="inlineStr"/>
      <c r="E8" s="5" t="n">
        <v>40000</v>
      </c>
      <c r="F8" s="5" t="n">
        <v>90</v>
      </c>
      <c r="G8" t="inlineStr">
        <is>
          <t>None</t>
        </is>
      </c>
      <c r="H8" s="5" t="n">
        <v>1</v>
      </c>
      <c r="I8" s="5" t="n">
        <v>1</v>
      </c>
      <c r="J8" s="5" t="n">
        <v>1</v>
      </c>
      <c r="O8">
        <f>MAX(O9,O10)</f>
        <v/>
      </c>
      <c r="R8">
        <f>R9+R10</f>
        <v/>
      </c>
      <c r="S8">
        <f>(E8/100000+F8/100+(O8/1000)*J8/5+R8/200)*200*I8*H8</f>
        <v/>
      </c>
      <c r="T8">
        <f>((E8*F8/25000)+((O8/1000)*J8*R8/2.5))*I8*H8</f>
        <v/>
      </c>
      <c r="U8">
        <f>(E8*F8*(O8/1000)*J8*R8*I8*H8)/12500000</f>
        <v/>
      </c>
      <c r="V8">
        <f>(S8+T8+U8)/3</f>
        <v/>
      </c>
      <c r="W8" s="5" t="n">
        <v>500</v>
      </c>
      <c r="X8">
        <f>IFERROR(V8-W8,"")</f>
        <v/>
      </c>
      <c r="Y8">
        <f>IFERROR(ABS(X8)/MAX(W8,1),"")</f>
        <v/>
      </c>
      <c r="Z8">
        <f>IFERROR((W8-(((E8/100000+F8/100+R8/200)*200*I8*H8)+((E8*F8/25000)*I8*H8))/3)/(((J8/5)*200*I8*H8)+((J8*R8/2.5)*I8*H8)+((E8*F8*J8*R8*I8*H8)/12500000))/3*1000,"")</f>
        <v/>
      </c>
    </row>
    <row r="9">
      <c r="B9" s="6" t="inlineStr">
        <is>
          <t xml:space="preserve">  ↳ RA2PortaTesla</t>
        </is>
      </c>
      <c r="C9" s="6" t="inlineStr">
        <is>
          <t>Armament@PRIMARY</t>
        </is>
      </c>
      <c r="K9" s="5" t="n">
        <v>24000</v>
      </c>
      <c r="L9" s="5" t="n">
        <v>100</v>
      </c>
      <c r="M9" s="5" t="n">
        <v>1</v>
      </c>
      <c r="N9" s="5" t="n"/>
      <c r="O9" s="5" t="n">
        <v>5222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>
        <is>
          <t>^TeslaWeapon</t>
        </is>
      </c>
    </row>
    <row r="10">
      <c r="B10" s="6" t="inlineStr">
        <is>
          <t xml:space="preserve">  ↳ RA2PortaTesla</t>
        </is>
      </c>
      <c r="C10" s="6" t="inlineStr">
        <is>
          <t>Armament@ELITE</t>
        </is>
      </c>
      <c r="K10" s="5" t="n">
        <v>24000</v>
      </c>
      <c r="L10" s="5" t="n">
        <v>100</v>
      </c>
      <c r="M10" s="5" t="n">
        <v>1</v>
      </c>
      <c r="N10" s="5" t="n"/>
      <c r="O10" s="5" t="n">
        <v>5222</v>
      </c>
      <c r="P10" s="5" t="n">
        <v>1</v>
      </c>
      <c r="Q10">
        <f>L10+IF(M10&gt;1,N(N10)*(M10-1),0)</f>
        <v/>
      </c>
      <c r="R10">
        <f>IFERROR(K10*MAX(M10,1)/Q10*P10,0)</f>
        <v/>
      </c>
      <c r="AA10" s="6" t="inlineStr">
        <is>
          <t>^TeslaWeapon</t>
        </is>
      </c>
    </row>
    <row r="11">
      <c r="B11" s="6" t="inlineStr">
        <is>
          <t xml:space="preserve">  ↳ RA2PortaTesla</t>
        </is>
      </c>
      <c r="C11" s="6" t="inlineStr">
        <is>
          <t>Armament@GARRISONED</t>
        </is>
      </c>
      <c r="K11" s="5" t="n">
        <v>24000</v>
      </c>
      <c r="L11" s="5" t="n">
        <v>100</v>
      </c>
      <c r="M11" s="5" t="n">
        <v>1</v>
      </c>
      <c r="N11" s="5" t="n"/>
      <c r="O11" s="5" t="n">
        <v>5222</v>
      </c>
      <c r="P11" s="5" t="n">
        <v>1</v>
      </c>
      <c r="Q11">
        <f>L11+IF(M11&gt;1,N(N11)*(M11-1),0)</f>
        <v/>
      </c>
      <c r="R11">
        <f>IFERROR(K11*MAX(M11,1)/Q11*P11,0)</f>
        <v/>
      </c>
      <c r="AA11" s="6" t="inlineStr">
        <is>
          <t>^TeslaWeapon</t>
        </is>
      </c>
    </row>
    <row r="12">
      <c r="B12" s="6" t="inlineStr">
        <is>
          <t xml:space="preserve">  ↳ RA2PortaTesla</t>
        </is>
      </c>
      <c r="C12" s="6" t="inlineStr">
        <is>
          <t>Armament@GARRISONEDELITE</t>
        </is>
      </c>
      <c r="K12" s="5" t="n">
        <v>24000</v>
      </c>
      <c r="L12" s="5" t="n">
        <v>100</v>
      </c>
      <c r="M12" s="5" t="n">
        <v>1</v>
      </c>
      <c r="N12" s="5" t="n"/>
      <c r="O12" s="5" t="n">
        <v>5222</v>
      </c>
      <c r="P12" s="5" t="n">
        <v>1</v>
      </c>
      <c r="Q12">
        <f>L12+IF(M12&gt;1,N(N12)*(M12-1),0)</f>
        <v/>
      </c>
      <c r="R12">
        <f>IFERROR(K12*MAX(M12,1)/Q12*P12,0)</f>
        <v/>
      </c>
      <c r="AA12" s="6" t="inlineStr">
        <is>
          <t>^TeslaWeapon</t>
        </is>
      </c>
    </row>
    <row r="13">
      <c r="A13" t="inlineStr">
        <is>
          <t>redalert2mod</t>
        </is>
      </c>
      <c r="B13" t="inlineStr">
        <is>
          <t>frank.nax</t>
        </is>
      </c>
      <c r="C13" t="inlineStr">
        <is>
          <t>Übermutant</t>
        </is>
      </c>
      <c r="D13" t="inlineStr"/>
      <c r="E13" s="5" t="n">
        <v>85000</v>
      </c>
      <c r="F13" s="5" t="n">
        <v>61</v>
      </c>
      <c r="G13" t="inlineStr">
        <is>
          <t>Plate</t>
        </is>
      </c>
      <c r="H13" s="5" t="n">
        <v>1</v>
      </c>
      <c r="I13" s="5" t="n">
        <v>0.75</v>
      </c>
      <c r="J13" s="5" t="n">
        <v>1</v>
      </c>
      <c r="O13">
        <f>MAX(O14,O15)</f>
        <v/>
      </c>
      <c r="R13">
        <f>R14+R15</f>
        <v/>
      </c>
      <c r="S13">
        <f>(E13/100000+F13/100+(O13/1000)*J13/5+R13/200)*200*I13*H13</f>
        <v/>
      </c>
      <c r="T13">
        <f>((E13*F13/25000)+((O13/1000)*J13*R13/2.5))*I13*H13</f>
        <v/>
      </c>
      <c r="U13">
        <f>(E13*F13*(O13/1000)*J13*R13*I13*H13)/12500000</f>
        <v/>
      </c>
      <c r="V13">
        <f>(S13+T13+U13)/3</f>
        <v/>
      </c>
      <c r="W13" s="5" t="n">
        <v>500</v>
      </c>
      <c r="X13">
        <f>IFERROR(V13-W13,"")</f>
        <v/>
      </c>
      <c r="Y13">
        <f>IFERROR(ABS(X13)/MAX(W13,1),"")</f>
        <v/>
      </c>
      <c r="Z13">
        <f>IFERROR((W13-(((E13/100000+F13/100+R13/200)*200*I13*H13)+((E13*F13/25000)*I13*H13))/3)/(((J13/5)*200*I13*H13)+((J13*R13/2.5)*I13*H13)+((E13*F13*J13*R13*I13*H13)/12500000))/3*1000,"")</f>
        <v/>
      </c>
    </row>
    <row r="14">
      <c r="B14" s="6" t="inlineStr">
        <is>
          <t xml:space="preserve">  ↳ RA2BrutePunch</t>
        </is>
      </c>
      <c r="C14" s="6" t="inlineStr">
        <is>
          <t>Armament@PRIMARY</t>
        </is>
      </c>
      <c r="K14" s="5" t="n">
        <v>20000</v>
      </c>
      <c r="L14" s="5" t="n">
        <v>37</v>
      </c>
      <c r="M14" s="5" t="n">
        <v>1</v>
      </c>
      <c r="N14" s="5" t="n"/>
      <c r="O14" s="5" t="n">
        <v>1616</v>
      </c>
      <c r="P14" s="5" t="n">
        <v>1</v>
      </c>
      <c r="Q14">
        <f>L14+IF(M14&gt;1,N(N14)*(M14-1),0)</f>
        <v/>
      </c>
      <c r="R14">
        <f>IFERROR(K14*MAX(M14,1)/Q14*P14,0)</f>
        <v/>
      </c>
      <c r="AA14" s="6" t="inlineStr">
        <is>
          <t>^SwordWeapon</t>
        </is>
      </c>
    </row>
    <row r="15">
      <c r="B15" s="6" t="inlineStr">
        <is>
          <t xml:space="preserve">  ↳ RA2BrutePunchE</t>
        </is>
      </c>
      <c r="C15" s="6" t="inlineStr">
        <is>
          <t>Armament@ELITE</t>
        </is>
      </c>
      <c r="K15" s="5" t="n">
        <v>20000</v>
      </c>
      <c r="L15" s="5" t="n">
        <v>37</v>
      </c>
      <c r="M15" s="5" t="n">
        <v>2</v>
      </c>
      <c r="N15" s="5" t="n">
        <v>3</v>
      </c>
      <c r="O15" s="5" t="n">
        <v>1616</v>
      </c>
      <c r="P15" s="5" t="n">
        <v>1</v>
      </c>
      <c r="Q15">
        <f>L15+IF(M15&gt;1,N(N15)*(M15-1),0)</f>
        <v/>
      </c>
      <c r="R15">
        <f>IFERROR(K15*MAX(M15,1)/Q15*P15,0)</f>
        <v/>
      </c>
      <c r="AA15" s="6" t="inlineStr">
        <is>
          <t>^SwordWeapon</t>
        </is>
      </c>
    </row>
    <row r="16">
      <c r="B16" s="6" t="inlineStr">
        <is>
          <t xml:space="preserve">  ↳ RA2BrutePunch</t>
        </is>
      </c>
      <c r="C16" s="6" t="inlineStr">
        <is>
          <t>Armament@GARRISONED</t>
        </is>
      </c>
      <c r="K16" s="5" t="n">
        <v>20000</v>
      </c>
      <c r="L16" s="5" t="n">
        <v>37</v>
      </c>
      <c r="M16" s="5" t="n">
        <v>1</v>
      </c>
      <c r="N16" s="5" t="n"/>
      <c r="O16" s="5" t="n">
        <v>1616</v>
      </c>
      <c r="P16" s="5" t="n">
        <v>1</v>
      </c>
      <c r="Q16">
        <f>L16+IF(M16&gt;1,N(N16)*(M16-1),0)</f>
        <v/>
      </c>
      <c r="R16">
        <f>IFERROR(K16*MAX(M16,1)/Q16*P16,0)</f>
        <v/>
      </c>
      <c r="AA16" s="6" t="inlineStr">
        <is>
          <t>^SwordWeapon</t>
        </is>
      </c>
    </row>
    <row r="17">
      <c r="A17" t="inlineStr">
        <is>
          <t>redalert2mod</t>
        </is>
      </c>
      <c r="B17" t="inlineStr">
        <is>
          <t>naxis_antitankcannon</t>
        </is>
      </c>
      <c r="C17" t="inlineStr">
        <is>
          <t>Anti Tank Cannon</t>
        </is>
      </c>
      <c r="D17" t="inlineStr"/>
      <c r="E17" s="5" t="n">
        <v>17500</v>
      </c>
      <c r="F17" s="5" t="n">
        <v>30</v>
      </c>
      <c r="G17" t="inlineStr">
        <is>
          <t>Light</t>
        </is>
      </c>
      <c r="H17" s="5" t="n">
        <v>1</v>
      </c>
      <c r="I17" s="5" t="n">
        <v>1</v>
      </c>
      <c r="J17" s="5" t="n">
        <v>1</v>
      </c>
      <c r="O17">
        <f>MAX(O18,O19)</f>
        <v/>
      </c>
      <c r="R17">
        <f>R18+R19</f>
        <v/>
      </c>
      <c r="S17">
        <f>(E17/100000+F17/100+(O17/1000)*J17/5+R17/200)*200*I17*H17</f>
        <v/>
      </c>
      <c r="T17">
        <f>((E17*F17/25000)+((O17/1000)*J17*R17/2.5))*I17*H17</f>
        <v/>
      </c>
      <c r="U17">
        <f>(E17*F17*(O17/1000)*J17*R17*I17*H17)/12500000</f>
        <v/>
      </c>
      <c r="V17">
        <f>(S17+T17+U17)/3</f>
        <v/>
      </c>
      <c r="W17" s="5" t="n">
        <v>600</v>
      </c>
      <c r="X17">
        <f>IFERROR(V17-W17,"")</f>
        <v/>
      </c>
      <c r="Y17">
        <f>IFERROR(ABS(X17)/MAX(W17,1),"")</f>
        <v/>
      </c>
      <c r="Z17">
        <f>IFERROR((W17-(((E17/100000+F17/100+R17/200)*200*I17*H17)+((E17*F17/25000)*I17*H17))/3)/(((J17/5)*200*I17*H17)+((J17*R17/2.5)*I17*H17)+((E17*F17*J17*R17*I17*H17)/12500000))/3*1000,"")</f>
        <v/>
      </c>
    </row>
    <row r="18">
      <c r="B18" s="6" t="inlineStr">
        <is>
          <t xml:space="preserve">  ↳ NaxiAntiTankCannon</t>
        </is>
      </c>
      <c r="C18" s="6" t="inlineStr">
        <is>
          <t>Armament@PRIMARY</t>
        </is>
      </c>
      <c r="K18" s="5" t="n">
        <v>14000</v>
      </c>
      <c r="L18" s="5" t="n">
        <v>75</v>
      </c>
      <c r="M18" s="5" t="n">
        <v>1</v>
      </c>
      <c r="N18" s="5" t="n"/>
      <c r="O18" s="5" t="n">
        <v>7361</v>
      </c>
      <c r="P18" s="5" t="n">
        <v>1</v>
      </c>
      <c r="Q18">
        <f>L18+IF(M18&gt;1,N(N18)*(M18-1),0)</f>
        <v/>
      </c>
      <c r="R18">
        <f>IFERROR(K18*MAX(M18,1)/Q18*P18,0)</f>
        <v/>
      </c>
      <c r="AA18" s="6" t="inlineStr">
        <is>
          <t>^MediumCannon, ^RA2TankDestroyerCannon</t>
        </is>
      </c>
    </row>
    <row r="19">
      <c r="B19" s="6" t="inlineStr">
        <is>
          <t xml:space="preserve">  ↳ NaxiAntiTankCannonE</t>
        </is>
      </c>
      <c r="C19" s="6" t="inlineStr">
        <is>
          <t>Armament@ELITE</t>
        </is>
      </c>
      <c r="K19" s="5" t="n">
        <v>14000</v>
      </c>
      <c r="L19" s="5" t="n">
        <v>75</v>
      </c>
      <c r="M19" s="5" t="n">
        <v>2</v>
      </c>
      <c r="N19" s="5" t="n">
        <v>3</v>
      </c>
      <c r="O19" s="5" t="n">
        <v>8361</v>
      </c>
      <c r="P19" s="5" t="n">
        <v>1</v>
      </c>
      <c r="Q19">
        <f>L19+IF(M19&gt;1,N(N19)*(M19-1),0)</f>
        <v/>
      </c>
      <c r="R19">
        <f>IFERROR(K19*MAX(M19,1)/Q19*P19,0)</f>
        <v/>
      </c>
      <c r="AA19" s="6" t="inlineStr">
        <is>
          <t>^MediumCannon, ^RA2TankDestroyerCannon</t>
        </is>
      </c>
    </row>
    <row r="20">
      <c r="A20" t="inlineStr">
        <is>
          <t>redalert2mod</t>
        </is>
      </c>
      <c r="B20" t="inlineStr">
        <is>
          <t>naxis_bmwbike</t>
        </is>
      </c>
      <c r="C20" t="inlineStr">
        <is>
          <t>BMW Bike</t>
        </is>
      </c>
      <c r="D20" t="inlineStr"/>
      <c r="E20" s="5" t="n">
        <v>22000</v>
      </c>
      <c r="F20" s="5" t="n">
        <v>125</v>
      </c>
      <c r="G20" t="inlineStr">
        <is>
          <t>Light</t>
        </is>
      </c>
      <c r="H20" s="5" t="n">
        <v>1</v>
      </c>
      <c r="I20" s="5" t="n">
        <v>1</v>
      </c>
      <c r="J20" s="5" t="n">
        <v>1</v>
      </c>
      <c r="O20">
        <f>MAX(O21,O22)</f>
        <v/>
      </c>
      <c r="R20">
        <f>R21+R22</f>
        <v/>
      </c>
      <c r="S20">
        <f>(E20/100000+F20/100+(O20/1000)*J20/5+R20/200)*200*I20*H20</f>
        <v/>
      </c>
      <c r="T20">
        <f>((E20*F20/25000)+((O20/1000)*J20*R20/2.5))*I20*H20</f>
        <v/>
      </c>
      <c r="U20">
        <f>(E20*F20*(O20/1000)*J20*R20*I20*H20)/12500000</f>
        <v/>
      </c>
      <c r="V20">
        <f>(S20+T20+U20)/3</f>
        <v/>
      </c>
      <c r="W20" s="5" t="n">
        <v>450</v>
      </c>
      <c r="X20">
        <f>IFERROR(V20-W20,"")</f>
        <v/>
      </c>
      <c r="Y20">
        <f>IFERROR(ABS(X20)/MAX(W20,1),"")</f>
        <v/>
      </c>
      <c r="Z20">
        <f>IFERROR((W20-(((E20/100000+F20/100+R20/200)*200*I20*H20)+((E20*F20/25000)*I20*H20))/3)/(((J20/5)*200*I20*H20)+((J20*R20/2.5)*I20*H20)+((E20*F20*J20*R20*I20*H20)/12500000))/3*1000,"")</f>
        <v/>
      </c>
    </row>
    <row r="21">
      <c r="B21" s="6" t="inlineStr">
        <is>
          <t xml:space="preserve">  ↳ NaxiWW2MachinegunSmall</t>
        </is>
      </c>
      <c r="C21" s="6" t="inlineStr">
        <is>
          <t>Armament@AG</t>
        </is>
      </c>
      <c r="K21" s="5" t="n">
        <v>2000</v>
      </c>
      <c r="L21" s="5" t="n">
        <v>60</v>
      </c>
      <c r="M21" s="5" t="n">
        <v>3</v>
      </c>
      <c r="N21" s="5" t="n">
        <v>4</v>
      </c>
      <c r="O21" s="5" t="n">
        <v>5570</v>
      </c>
      <c r="P21" s="5" t="n">
        <v>1</v>
      </c>
      <c r="Q21">
        <f>L21+IF(M21&gt;1,N(N21)*(M21-1),0)</f>
        <v/>
      </c>
      <c r="R21">
        <f>IFERROR(K21*MAX(M21,1)/Q21*P21,0)</f>
        <v/>
      </c>
      <c r="AA21" s="6" t="inlineStr">
        <is>
          <t>^RA2SmallArms, ^RA2Chaingun</t>
        </is>
      </c>
    </row>
    <row r="22">
      <c r="B22" s="6" t="inlineStr">
        <is>
          <t xml:space="preserve">  ↳ NaxiWW2MachinegunSmallAA</t>
        </is>
      </c>
      <c r="C22" s="6" t="inlineStr">
        <is>
          <t>Armament@AA</t>
        </is>
      </c>
      <c r="K22" s="5" t="n">
        <v>2000</v>
      </c>
      <c r="L22" s="5" t="n">
        <v>60</v>
      </c>
      <c r="M22" s="5" t="n">
        <v>3</v>
      </c>
      <c r="N22" s="5" t="n">
        <v>4</v>
      </c>
      <c r="O22" s="5" t="n">
        <v>8355</v>
      </c>
      <c r="P22" s="5" t="n">
        <v>1</v>
      </c>
      <c r="Q22">
        <f>L22+IF(M22&gt;1,N(N22)*(M22-1),0)</f>
        <v/>
      </c>
      <c r="R22">
        <f>IFERROR(K22*MAX(M22,1)/Q22*P22,0)</f>
        <v/>
      </c>
      <c r="AA22" s="6" t="inlineStr">
        <is>
          <t>^RA2SmallArms, ^RA2Chaingun</t>
        </is>
      </c>
    </row>
    <row r="23">
      <c r="A23" t="inlineStr">
        <is>
          <t>redalert2mod</t>
        </is>
      </c>
      <c r="B23" t="inlineStr">
        <is>
          <t>naxis_coneheadsknights</t>
        </is>
      </c>
      <c r="C23" t="inlineStr">
        <is>
          <t>Coneheads Knights</t>
        </is>
      </c>
      <c r="D23" t="inlineStr"/>
      <c r="E23" s="5" t="n">
        <v>20000</v>
      </c>
      <c r="F23" s="5" t="n">
        <v>90</v>
      </c>
      <c r="G23" t="inlineStr">
        <is>
          <t>None</t>
        </is>
      </c>
      <c r="H23" s="5" t="n">
        <v>1</v>
      </c>
      <c r="I23" s="5" t="n">
        <v>1</v>
      </c>
      <c r="J23" s="5" t="n">
        <v>1</v>
      </c>
      <c r="O23">
        <f>MAX(O24)</f>
        <v/>
      </c>
      <c r="R23">
        <f>R24</f>
        <v/>
      </c>
      <c r="S23">
        <f>(E23/100000+F23/100+(O23/1000)*J23/5+R23/200)*200*I23*H23</f>
        <v/>
      </c>
      <c r="T23">
        <f>((E23*F23/25000)+((O23/1000)*J23*R23/2.5))*I23*H23</f>
        <v/>
      </c>
      <c r="U23">
        <f>(E23*F23*(O23/1000)*J23*R23*I23*H23)/12500000</f>
        <v/>
      </c>
      <c r="V23">
        <f>(S23+T23+U23)/3</f>
        <v/>
      </c>
      <c r="W23" s="5" t="n">
        <v>1000</v>
      </c>
      <c r="X23">
        <f>IFERROR(V23-W23,"")</f>
        <v/>
      </c>
      <c r="Y23">
        <f>IFERROR(ABS(X23)/MAX(W23,1),"")</f>
        <v/>
      </c>
      <c r="Z23">
        <f>IFERROR((W23-(((E23/100000+F23/100+R23/200)*200*I23*H23)+((E23*F23/25000)*I23*H23))/3)/(((J23/5)*200*I23*H23)+((J23*R23/2.5)*I23*H23)+((E23*F23*J23*R23*I23*H23)/12500000))/3*1000,"")</f>
        <v/>
      </c>
    </row>
    <row r="24">
      <c r="B24" s="6" t="inlineStr">
        <is>
          <t xml:space="preserve">  ↳ wc2gruntslice</t>
        </is>
      </c>
      <c r="C24" s="6" t="inlineStr">
        <is>
          <t>Armament</t>
        </is>
      </c>
      <c r="K24" s="5" t="n">
        <v>16000</v>
      </c>
      <c r="L24" s="5" t="n">
        <v>18</v>
      </c>
      <c r="M24" s="5" t="n">
        <v>1</v>
      </c>
      <c r="N24" s="5" t="n"/>
      <c r="O24" s="5" t="n">
        <v>1555</v>
      </c>
      <c r="P24" s="5" t="n">
        <v>1</v>
      </c>
      <c r="Q24">
        <f>L24+IF(M24&gt;1,N(N24)*(M24-1),0)</f>
        <v/>
      </c>
      <c r="R24">
        <f>IFERROR(K24*MAX(M24,1)/Q24*P24,0)</f>
        <v/>
      </c>
      <c r="AA24" s="6" t="inlineStr">
        <is>
          <t>^SwordWeapon</t>
        </is>
      </c>
    </row>
    <row r="25">
      <c r="B25" s="6" t="inlineStr">
        <is>
          <t xml:space="preserve">  ↳ NaxiRifleCons</t>
        </is>
      </c>
      <c r="C25" s="6" t="inlineStr">
        <is>
          <t>Armament@GARRISONED</t>
        </is>
      </c>
      <c r="K25" s="5" t="n">
        <v>4000</v>
      </c>
      <c r="L25" s="5" t="n">
        <v>100</v>
      </c>
      <c r="M25" s="5" t="n">
        <v>1</v>
      </c>
      <c r="N25" s="5" t="n"/>
      <c r="O25" s="5" t="n">
        <v>5501</v>
      </c>
      <c r="P25" s="5" t="n">
        <v>1</v>
      </c>
      <c r="Q25">
        <f>L25+IF(M25&gt;1,N(N25)*(M25-1),0)</f>
        <v/>
      </c>
      <c r="R25">
        <f>IFERROR(K25*MAX(M25,1)/Q25*P25,0)</f>
        <v/>
      </c>
      <c r="AA25" s="6" t="inlineStr">
        <is>
          <t>^SmallArms</t>
        </is>
      </c>
    </row>
    <row r="26">
      <c r="B26" s="6" t="inlineStr">
        <is>
          <t xml:space="preserve">  ↳ NaxiRifleConsE</t>
        </is>
      </c>
      <c r="C26" s="6" t="inlineStr">
        <is>
          <t>Armament@GARRISONEDELITE</t>
        </is>
      </c>
      <c r="K26" s="5" t="n">
        <v>4000</v>
      </c>
      <c r="L26" s="5" t="n">
        <v>100</v>
      </c>
      <c r="M26" s="5" t="n">
        <v>2</v>
      </c>
      <c r="N26" s="5" t="n">
        <v>3</v>
      </c>
      <c r="O26" s="5" t="n">
        <v>6501</v>
      </c>
      <c r="P26" s="5" t="n">
        <v>1</v>
      </c>
      <c r="Q26">
        <f>L26+IF(M26&gt;1,N(N26)*(M26-1),0)</f>
        <v/>
      </c>
      <c r="R26">
        <f>IFERROR(K26*MAX(M26,1)/Q26*P26,0)</f>
        <v/>
      </c>
      <c r="AA26" s="6" t="inlineStr">
        <is>
          <t>^SmallArms</t>
        </is>
      </c>
    </row>
    <row r="27">
      <c r="A27" t="inlineStr">
        <is>
          <t>redalert2mod</t>
        </is>
      </c>
      <c r="B27" t="inlineStr">
        <is>
          <t>naxis_naxiflamer</t>
        </is>
      </c>
      <c r="C27" t="inlineStr">
        <is>
          <t>Naxi Flamer</t>
        </is>
      </c>
      <c r="D27" t="inlineStr"/>
      <c r="E27" s="5" t="n">
        <v>24000</v>
      </c>
      <c r="F27" s="5" t="n">
        <v>48</v>
      </c>
      <c r="G27" t="inlineStr">
        <is>
          <t>Plate</t>
        </is>
      </c>
      <c r="H27" s="5" t="n">
        <v>1</v>
      </c>
      <c r="I27" s="5" t="n">
        <v>1</v>
      </c>
      <c r="J27" s="5" t="n">
        <v>1</v>
      </c>
      <c r="O27">
        <f>MAX(O28,O29)</f>
        <v/>
      </c>
      <c r="R27">
        <f>R28+R29</f>
        <v/>
      </c>
      <c r="S27">
        <f>(E27/100000+F27/100+(O27/1000)*J27/5+R27/200)*200*I27*H27</f>
        <v/>
      </c>
      <c r="T27">
        <f>((E27*F27/25000)+((O27/1000)*J27*R27/2.5))*I27*H27</f>
        <v/>
      </c>
      <c r="U27">
        <f>(E27*F27*(O27/1000)*J27*R27*I27*H27)/12500000</f>
        <v/>
      </c>
      <c r="V27">
        <f>(S27+T27+U27)/3</f>
        <v/>
      </c>
      <c r="W27" s="5" t="n">
        <v>225</v>
      </c>
      <c r="X27">
        <f>IFERROR(V27-W27,"")</f>
        <v/>
      </c>
      <c r="Y27">
        <f>IFERROR(ABS(X27)/MAX(W27,1),"")</f>
        <v/>
      </c>
      <c r="Z27">
        <f>IFERROR((W27-(((E27/100000+F27/100+R27/200)*200*I27*H27)+((E27*F27/25000)*I27*H27))/3)/(((J27/5)*200*I27*H27)+((J27*R27/2.5)*I27*H27)+((E27*F27*J27*R27*I27*H27)/12500000))/3*1000,"")</f>
        <v/>
      </c>
    </row>
    <row r="28">
      <c r="B28" s="6" t="inlineStr">
        <is>
          <t xml:space="preserve">  ↳ NaxiFlamerTroop</t>
        </is>
      </c>
      <c r="C28" s="6" t="inlineStr">
        <is>
          <t>Armament@PRIMARY</t>
        </is>
      </c>
      <c r="K28" s="5" t="n">
        <v>4000</v>
      </c>
      <c r="L28" s="5" t="n">
        <v>60</v>
      </c>
      <c r="M28" s="5" t="n">
        <v>3</v>
      </c>
      <c r="N28" s="5" t="n">
        <v>3</v>
      </c>
      <c r="O28" s="5" t="n">
        <v>4830</v>
      </c>
      <c r="P28" s="5" t="n">
        <v>1</v>
      </c>
      <c r="Q28">
        <f>L28+IF(M28&gt;1,N(N28)*(M28-1),0)</f>
        <v/>
      </c>
      <c r="R28">
        <f>IFERROR(K28*MAX(M28,1)/Q28*P28,0)</f>
        <v/>
      </c>
      <c r="AA28" s="6" t="inlineStr">
        <is>
          <t>^LightFlameWeapon</t>
        </is>
      </c>
    </row>
    <row r="29">
      <c r="B29" s="6" t="inlineStr">
        <is>
          <t xml:space="preserve">  ↳ NaxiFlamerTroopE</t>
        </is>
      </c>
      <c r="C29" s="6" t="inlineStr">
        <is>
          <t>Armament@ELITE</t>
        </is>
      </c>
      <c r="K29" s="5" t="n">
        <v>4000</v>
      </c>
      <c r="L29" s="5" t="n">
        <v>60</v>
      </c>
      <c r="M29" s="5" t="n">
        <v>6</v>
      </c>
      <c r="N29" s="5" t="n">
        <v>3</v>
      </c>
      <c r="O29" s="5" t="n">
        <v>5830</v>
      </c>
      <c r="P29" s="5" t="n">
        <v>1</v>
      </c>
      <c r="Q29">
        <f>L29+IF(M29&gt;1,N(N29)*(M29-1),0)</f>
        <v/>
      </c>
      <c r="R29">
        <f>IFERROR(K29*MAX(M29,1)/Q29*P29,0)</f>
        <v/>
      </c>
      <c r="AA29" s="6" t="inlineStr">
        <is>
          <t>^LightFlameWeapon</t>
        </is>
      </c>
    </row>
    <row r="30">
      <c r="B30" s="6" t="inlineStr">
        <is>
          <t xml:space="preserve">  ↳ NaxiFlamerTroop</t>
        </is>
      </c>
      <c r="C30" s="6" t="inlineStr">
        <is>
          <t>Armament@GARRISONED</t>
        </is>
      </c>
      <c r="K30" s="5" t="n">
        <v>4000</v>
      </c>
      <c r="L30" s="5" t="n">
        <v>60</v>
      </c>
      <c r="M30" s="5" t="n">
        <v>3</v>
      </c>
      <c r="N30" s="5" t="n">
        <v>3</v>
      </c>
      <c r="O30" s="5" t="n">
        <v>4830</v>
      </c>
      <c r="P30" s="5" t="n">
        <v>1</v>
      </c>
      <c r="Q30">
        <f>L30+IF(M30&gt;1,N(N30)*(M30-1),0)</f>
        <v/>
      </c>
      <c r="R30">
        <f>IFERROR(K30*MAX(M30,1)/Q30*P30,0)</f>
        <v/>
      </c>
      <c r="AA30" s="6" t="inlineStr">
        <is>
          <t>^LightFlameWeapon</t>
        </is>
      </c>
    </row>
    <row r="31">
      <c r="B31" s="6" t="inlineStr">
        <is>
          <t xml:space="preserve">  ↳ NaxiFlamerTroopE</t>
        </is>
      </c>
      <c r="C31" s="6" t="inlineStr">
        <is>
          <t>Armament@GARRISONEDELITE</t>
        </is>
      </c>
      <c r="K31" s="5" t="n">
        <v>4000</v>
      </c>
      <c r="L31" s="5" t="n">
        <v>60</v>
      </c>
      <c r="M31" s="5" t="n">
        <v>6</v>
      </c>
      <c r="N31" s="5" t="n">
        <v>3</v>
      </c>
      <c r="O31" s="5" t="n">
        <v>5830</v>
      </c>
      <c r="P31" s="5" t="n">
        <v>1</v>
      </c>
      <c r="Q31">
        <f>L31+IF(M31&gt;1,N(N31)*(M31-1),0)</f>
        <v/>
      </c>
      <c r="R31">
        <f>IFERROR(K31*MAX(M31,1)/Q31*P31,0)</f>
        <v/>
      </c>
      <c r="AA31" s="6" t="inlineStr">
        <is>
          <t>^LightFlameWeapon</t>
        </is>
      </c>
    </row>
    <row r="32">
      <c r="A32" t="inlineStr">
        <is>
          <t>redalert2mod</t>
        </is>
      </c>
      <c r="B32" t="inlineStr">
        <is>
          <t>naxis_naximachinegunners</t>
        </is>
      </c>
      <c r="C32" t="inlineStr">
        <is>
          <t>Naxi Machinegunners</t>
        </is>
      </c>
      <c r="D32" t="inlineStr"/>
      <c r="E32" s="5" t="n">
        <v>60000</v>
      </c>
      <c r="F32" s="5" t="n">
        <v>55</v>
      </c>
      <c r="G32" t="inlineStr">
        <is>
          <t>Plate</t>
        </is>
      </c>
      <c r="H32" s="5" t="n">
        <v>0.75</v>
      </c>
      <c r="I32" s="5" t="n">
        <v>0.8</v>
      </c>
      <c r="J32" s="5" t="n">
        <v>1.25</v>
      </c>
      <c r="O32">
        <f>MAX(O33,O34,O35)</f>
        <v/>
      </c>
      <c r="R32">
        <f>R33+R34+R35</f>
        <v/>
      </c>
      <c r="S32">
        <f>(E32/100000+F32/100+(O32/1000)*J32/5+R32/200)*200*I32*H32</f>
        <v/>
      </c>
      <c r="T32">
        <f>((E32*F32/25000)+((O32/1000)*J32*R32/2.5))*I32*H32</f>
        <v/>
      </c>
      <c r="U32">
        <f>(E32*F32*(O32/1000)*J32*R32*I32*H32)/12500000</f>
        <v/>
      </c>
      <c r="V32">
        <f>(S32+T32+U32)/3</f>
        <v/>
      </c>
      <c r="W32" s="5" t="n">
        <v>600</v>
      </c>
      <c r="X32">
        <f>IFERROR(V32-W32,"")</f>
        <v/>
      </c>
      <c r="Y32">
        <f>IFERROR(ABS(X32)/MAX(W32,1),"")</f>
        <v/>
      </c>
      <c r="Z32">
        <f>IFERROR((W32-(((E32/100000+F32/100+R32/200)*200*I32*H32)+((E32*F32/25000)*I32*H32))/3)/(((J32/5)*200*I32*H32)+((J32*R32/2.5)*I32*H32)+((E32*F32*J32*R32*I32*H32)/12500000))/3*1000,"")</f>
        <v/>
      </c>
    </row>
    <row r="33">
      <c r="B33" s="6" t="inlineStr">
        <is>
          <t xml:space="preserve">  ↳ NaxiWW2MachinegunnerTargeting</t>
        </is>
      </c>
      <c r="C33" s="6" t="inlineStr">
        <is>
          <t>Armament@Dummy</t>
        </is>
      </c>
      <c r="K33" s="5" t="n"/>
      <c r="L33" s="5" t="n">
        <v>50</v>
      </c>
      <c r="M33" s="5" t="n">
        <v>1</v>
      </c>
      <c r="N33" s="5" t="n"/>
      <c r="O33" s="5" t="n">
        <v>8970</v>
      </c>
      <c r="P33" s="5" t="n">
        <v>1</v>
      </c>
      <c r="Q33">
        <f>L33+IF(M33&gt;1,N(N33)*(M33-1),0)</f>
        <v/>
      </c>
      <c r="R33">
        <f>IFERROR(K33*MAX(M33,1)/Q33*P33,0)</f>
        <v/>
      </c>
      <c r="AA33" s="6" t="inlineStr">
        <is>
          <t>^deploytargeting</t>
        </is>
      </c>
    </row>
    <row r="34">
      <c r="B34" s="6" t="inlineStr">
        <is>
          <t xml:space="preserve">  ↳ NaxiWW2Machinegunner</t>
        </is>
      </c>
      <c r="C34" s="6" t="inlineStr">
        <is>
          <t>Armament@Deployed</t>
        </is>
      </c>
      <c r="K34" s="5" t="n">
        <v>4000</v>
      </c>
      <c r="L34" s="5" t="n">
        <v>90</v>
      </c>
      <c r="M34" s="5" t="n">
        <v>10</v>
      </c>
      <c r="N34" s="5" t="n">
        <v>5</v>
      </c>
      <c r="O34" s="5" t="n">
        <v>8970</v>
      </c>
      <c r="P34" s="5" t="n">
        <v>1</v>
      </c>
      <c r="Q34">
        <f>L34+IF(M34&gt;1,N(N34)*(M34-1),0)</f>
        <v/>
      </c>
      <c r="R34">
        <f>IFERROR(K34*MAX(M34,1)/Q34*P34,0)</f>
        <v/>
      </c>
      <c r="AA34" s="6" t="inlineStr">
        <is>
          <t>^RA2SmallArms, ^RA2Chaingun</t>
        </is>
      </c>
    </row>
    <row r="35">
      <c r="B35" s="6" t="inlineStr">
        <is>
          <t xml:space="preserve">  ↳ NaxiWW2MachinegunnerE</t>
        </is>
      </c>
      <c r="C35" s="6" t="inlineStr">
        <is>
          <t>Armament@DEPLOYEDELITE</t>
        </is>
      </c>
      <c r="K35" s="5" t="n">
        <v>4000</v>
      </c>
      <c r="L35" s="5" t="n">
        <v>90</v>
      </c>
      <c r="M35" s="5" t="n">
        <v>20</v>
      </c>
      <c r="N35" s="5" t="n">
        <v>3</v>
      </c>
      <c r="O35" s="5" t="n">
        <v>9970</v>
      </c>
      <c r="P35" s="5" t="n">
        <v>1</v>
      </c>
      <c r="Q35">
        <f>L35+IF(M35&gt;1,N(N35)*(M35-1),0)</f>
        <v/>
      </c>
      <c r="R35">
        <f>IFERROR(K35*MAX(M35,1)/Q35*P35,0)</f>
        <v/>
      </c>
      <c r="AA35" s="6" t="inlineStr">
        <is>
          <t>^RA2SmallArms, ^RA2Chaingun</t>
        </is>
      </c>
    </row>
    <row r="36">
      <c r="B36" s="6" t="inlineStr">
        <is>
          <t xml:space="preserve">  ↳ NaxiWW2Machinegunner</t>
        </is>
      </c>
      <c r="C36" s="6" t="inlineStr">
        <is>
          <t>Armament@GARRISONED</t>
        </is>
      </c>
      <c r="K36" s="5" t="n">
        <v>4000</v>
      </c>
      <c r="L36" s="5" t="n">
        <v>90</v>
      </c>
      <c r="M36" s="5" t="n">
        <v>10</v>
      </c>
      <c r="N36" s="5" t="n">
        <v>5</v>
      </c>
      <c r="O36" s="5" t="n">
        <v>8970</v>
      </c>
      <c r="P36" s="5" t="n">
        <v>1</v>
      </c>
      <c r="Q36">
        <f>L36+IF(M36&gt;1,N(N36)*(M36-1),0)</f>
        <v/>
      </c>
      <c r="R36">
        <f>IFERROR(K36*MAX(M36,1)/Q36*P36,0)</f>
        <v/>
      </c>
      <c r="AA36" s="6" t="inlineStr">
        <is>
          <t>^RA2SmallArms, ^RA2Chaingun</t>
        </is>
      </c>
    </row>
    <row r="37">
      <c r="B37" s="6" t="inlineStr">
        <is>
          <t xml:space="preserve">  ↳ NaxiWW2MachinegunnerE</t>
        </is>
      </c>
      <c r="C37" s="6" t="inlineStr">
        <is>
          <t>Armament@GARRISONEDELITE</t>
        </is>
      </c>
      <c r="K37" s="5" t="n">
        <v>4000</v>
      </c>
      <c r="L37" s="5" t="n">
        <v>90</v>
      </c>
      <c r="M37" s="5" t="n">
        <v>20</v>
      </c>
      <c r="N37" s="5" t="n">
        <v>3</v>
      </c>
      <c r="O37" s="5" t="n">
        <v>9970</v>
      </c>
      <c r="P37" s="5" t="n">
        <v>1</v>
      </c>
      <c r="Q37">
        <f>L37+IF(M37&gt;1,N(N37)*(M37-1),0)</f>
        <v/>
      </c>
      <c r="R37">
        <f>IFERROR(K37*MAX(M37,1)/Q37*P37,0)</f>
        <v/>
      </c>
      <c r="AA37" s="6" t="inlineStr">
        <is>
          <t>^RA2SmallArms, ^RA2Chaingun</t>
        </is>
      </c>
    </row>
    <row r="38">
      <c r="A38" t="inlineStr">
        <is>
          <t>redalert2mod</t>
        </is>
      </c>
      <c r="B38" t="inlineStr">
        <is>
          <t>naxis_naximercenarysniper</t>
        </is>
      </c>
      <c r="C38" t="inlineStr">
        <is>
          <t>Naxi Mercenary Sniper</t>
        </is>
      </c>
      <c r="D38" t="inlineStr"/>
      <c r="E38" s="5" t="n">
        <v>8000</v>
      </c>
      <c r="F38" s="5" t="n">
        <v>60</v>
      </c>
      <c r="G38" t="inlineStr">
        <is>
          <t>Flak</t>
        </is>
      </c>
      <c r="H38" s="5" t="n">
        <v>1</v>
      </c>
      <c r="I38" s="5" t="n">
        <v>1</v>
      </c>
      <c r="J38" s="5" t="n">
        <v>1</v>
      </c>
      <c r="O38">
        <f>MAX(O39,O40)</f>
        <v/>
      </c>
      <c r="R38">
        <f>R39+R40</f>
        <v/>
      </c>
      <c r="S38">
        <f>(E38/100000+F38/100+(O38/1000)*J38/5+R38/200)*200*I38*H38</f>
        <v/>
      </c>
      <c r="T38">
        <f>((E38*F38/25000)+((O38/1000)*J38*R38/2.5))*I38*H38</f>
        <v/>
      </c>
      <c r="U38">
        <f>(E38*F38*(O38/1000)*J38*R38*I38*H38)/12500000</f>
        <v/>
      </c>
      <c r="V38">
        <f>(S38+T38+U38)/3</f>
        <v/>
      </c>
      <c r="W38" s="5" t="n">
        <v>250</v>
      </c>
      <c r="X38">
        <f>IFERROR(V38-W38,"")</f>
        <v/>
      </c>
      <c r="Y38">
        <f>IFERROR(ABS(X38)/MAX(W38,1),"")</f>
        <v/>
      </c>
      <c r="Z38">
        <f>IFERROR((W38-(((E38/100000+F38/100+R38/200)*200*I38*H38)+((E38*F38/25000)*I38*H38))/3)/(((J38/5)*200*I38*H38)+((J38*R38/2.5)*I38*H38)+((E38*F38*J38*R38*I38*H38)/12500000))/3*1000,"")</f>
        <v/>
      </c>
    </row>
    <row r="39">
      <c r="B39" s="6" t="inlineStr">
        <is>
          <t xml:space="preserve">  ↳ NaxiSniper</t>
        </is>
      </c>
      <c r="C39" s="6" t="inlineStr">
        <is>
          <t>Armament@PRIMARY</t>
        </is>
      </c>
      <c r="K39" s="5" t="n">
        <v>24000</v>
      </c>
      <c r="L39" s="5" t="n">
        <v>120</v>
      </c>
      <c r="M39" s="5" t="n">
        <v>1</v>
      </c>
      <c r="N39" s="5" t="n"/>
      <c r="O39" s="5" t="n">
        <v>7777</v>
      </c>
      <c r="P39" s="5" t="n">
        <v>1</v>
      </c>
      <c r="Q39">
        <f>L39+IF(M39&gt;1,N(N39)*(M39-1),0)</f>
        <v/>
      </c>
      <c r="R39">
        <f>IFERROR(K39*MAX(M39,1)/Q39*P39,0)</f>
        <v/>
      </c>
      <c r="AA39" s="6" t="inlineStr">
        <is>
          <t>^SniperWeapon</t>
        </is>
      </c>
    </row>
    <row r="40">
      <c r="B40" s="6" t="inlineStr">
        <is>
          <t xml:space="preserve">  ↳ NaxiSniperE</t>
        </is>
      </c>
      <c r="C40" s="6" t="inlineStr">
        <is>
          <t>Armament@ELITE</t>
        </is>
      </c>
      <c r="K40" s="5" t="n">
        <v>24000</v>
      </c>
      <c r="L40" s="5" t="n">
        <v>120</v>
      </c>
      <c r="M40" s="5" t="n">
        <v>2</v>
      </c>
      <c r="N40" s="5" t="n">
        <v>3</v>
      </c>
      <c r="O40" s="5" t="n">
        <v>8888</v>
      </c>
      <c r="P40" s="5" t="n">
        <v>1</v>
      </c>
      <c r="Q40">
        <f>L40+IF(M40&gt;1,N(N40)*(M40-1),0)</f>
        <v/>
      </c>
      <c r="R40">
        <f>IFERROR(K40*MAX(M40,1)/Q40*P40,0)</f>
        <v/>
      </c>
      <c r="AA40" s="6" t="inlineStr">
        <is>
          <t>^SniperWeapon</t>
        </is>
      </c>
    </row>
    <row r="41">
      <c r="B41" s="6" t="inlineStr">
        <is>
          <t xml:space="preserve">  ↳ NaxiSniper</t>
        </is>
      </c>
      <c r="C41" s="6" t="inlineStr">
        <is>
          <t>Armament@GARRISONED</t>
        </is>
      </c>
      <c r="K41" s="5" t="n">
        <v>24000</v>
      </c>
      <c r="L41" s="5" t="n">
        <v>120</v>
      </c>
      <c r="M41" s="5" t="n">
        <v>1</v>
      </c>
      <c r="N41" s="5" t="n"/>
      <c r="O41" s="5" t="n">
        <v>7777</v>
      </c>
      <c r="P41" s="5" t="n">
        <v>1</v>
      </c>
      <c r="Q41">
        <f>L41+IF(M41&gt;1,N(N41)*(M41-1),0)</f>
        <v/>
      </c>
      <c r="R41">
        <f>IFERROR(K41*MAX(M41,1)/Q41*P41,0)</f>
        <v/>
      </c>
      <c r="AA41" s="6" t="inlineStr">
        <is>
          <t>^SniperWeapon</t>
        </is>
      </c>
    </row>
    <row r="42">
      <c r="B42" s="6" t="inlineStr">
        <is>
          <t xml:space="preserve">  ↳ NaxiSniperE</t>
        </is>
      </c>
      <c r="C42" s="6" t="inlineStr">
        <is>
          <t>Armament@GARRISONEDELITE</t>
        </is>
      </c>
      <c r="K42" s="5" t="n">
        <v>24000</v>
      </c>
      <c r="L42" s="5" t="n">
        <v>120</v>
      </c>
      <c r="M42" s="5" t="n">
        <v>2</v>
      </c>
      <c r="N42" s="5" t="n">
        <v>3</v>
      </c>
      <c r="O42" s="5" t="n">
        <v>8888</v>
      </c>
      <c r="P42" s="5" t="n">
        <v>1</v>
      </c>
      <c r="Q42">
        <f>L42+IF(M42&gt;1,N(N42)*(M42-1),0)</f>
        <v/>
      </c>
      <c r="R42">
        <f>IFERROR(K42*MAX(M42,1)/Q42*P42,0)</f>
        <v/>
      </c>
      <c r="AA42" s="6" t="inlineStr">
        <is>
          <t>^SniperWeapon</t>
        </is>
      </c>
    </row>
    <row r="43">
      <c r="A43" t="inlineStr">
        <is>
          <t>redalert2mod</t>
        </is>
      </c>
      <c r="B43" t="inlineStr">
        <is>
          <t>naxis_naxiriflerecruit</t>
        </is>
      </c>
      <c r="C43" t="inlineStr">
        <is>
          <t>Naxi Rifle Recruit</t>
        </is>
      </c>
      <c r="D43" t="inlineStr"/>
      <c r="E43" s="5" t="n">
        <v>20000</v>
      </c>
      <c r="F43" s="5" t="n">
        <v>45</v>
      </c>
      <c r="G43" t="inlineStr">
        <is>
          <t>None</t>
        </is>
      </c>
      <c r="H43" s="5" t="n">
        <v>1</v>
      </c>
      <c r="I43" s="5" t="n">
        <v>0.5</v>
      </c>
      <c r="J43" s="5" t="n">
        <v>1</v>
      </c>
      <c r="O43">
        <f>MAX(O44,O45)</f>
        <v/>
      </c>
      <c r="R43">
        <f>R44+R45</f>
        <v/>
      </c>
      <c r="S43">
        <f>(E43/100000+F43/100+(O43/1000)*J43/5+R43/200)*200*I43*H43</f>
        <v/>
      </c>
      <c r="T43">
        <f>((E43*F43/25000)+((O43/1000)*J43*R43/2.5))*I43*H43</f>
        <v/>
      </c>
      <c r="U43">
        <f>(E43*F43*(O43/1000)*J43*R43*I43*H43)/12500000</f>
        <v/>
      </c>
      <c r="V43">
        <f>(S43+T43+U43)/3</f>
        <v/>
      </c>
      <c r="W43" s="5" t="n">
        <v>75</v>
      </c>
      <c r="X43">
        <f>IFERROR(V43-W43,"")</f>
        <v/>
      </c>
      <c r="Y43">
        <f>IFERROR(ABS(X43)/MAX(W43,1),"")</f>
        <v/>
      </c>
      <c r="Z43">
        <f>IFERROR((W43-(((E43/100000+F43/100+R43/200)*200*I43*H43)+((E43*F43/25000)*I43*H43))/3)/(((J43/5)*200*I43*H43)+((J43*R43/2.5)*I43*H43)+((E43*F43*J43*R43*I43*H43)/12500000))/3*1000,"")</f>
        <v/>
      </c>
    </row>
    <row r="44">
      <c r="B44" s="6" t="inlineStr">
        <is>
          <t xml:space="preserve">  ↳ naxis_naxiriflerecruit_rifle</t>
        </is>
      </c>
      <c r="C44" s="6" t="inlineStr">
        <is>
          <t>Armament@PRIMARY</t>
        </is>
      </c>
      <c r="K44" s="5" t="n">
        <v>8000</v>
      </c>
      <c r="L44" s="5" t="n">
        <v>100</v>
      </c>
      <c r="M44" s="5" t="n">
        <v>1</v>
      </c>
      <c r="N44" s="5" t="n"/>
      <c r="O44" s="5" t="n">
        <v>5500</v>
      </c>
      <c r="P44" s="5" t="n">
        <v>1</v>
      </c>
      <c r="Q44">
        <f>L44+IF(M44&gt;1,N(N44)*(M44-1),0)</f>
        <v/>
      </c>
      <c r="R44">
        <f>IFERROR(K44*MAX(M44,1)/Q44*P44,0)</f>
        <v/>
      </c>
      <c r="AA44" s="6" t="inlineStr">
        <is>
          <t>^SmallArms</t>
        </is>
      </c>
    </row>
    <row r="45">
      <c r="B45" s="6" t="inlineStr">
        <is>
          <t xml:space="preserve">  ↳ naxis_naxiriflerecruit_rifle_elite</t>
        </is>
      </c>
      <c r="C45" s="6" t="inlineStr">
        <is>
          <t>Armament@ELITE</t>
        </is>
      </c>
      <c r="K45" s="5" t="n">
        <v>8000</v>
      </c>
      <c r="L45" s="5" t="n">
        <v>100</v>
      </c>
      <c r="M45" s="5" t="n">
        <v>2</v>
      </c>
      <c r="N45" s="5" t="n">
        <v>3</v>
      </c>
      <c r="O45" s="5" t="n">
        <v>6500</v>
      </c>
      <c r="P45" s="5" t="n">
        <v>1</v>
      </c>
      <c r="Q45">
        <f>L45+IF(M45&gt;1,N(N45)*(M45-1),0)</f>
        <v/>
      </c>
      <c r="R45">
        <f>IFERROR(K45*MAX(M45,1)/Q45*P45,0)</f>
        <v/>
      </c>
      <c r="AA45" s="6" t="inlineStr">
        <is>
          <t>^SmallArms</t>
        </is>
      </c>
    </row>
    <row r="46">
      <c r="B46" s="6" t="inlineStr">
        <is>
          <t xml:space="preserve">  ↳ naxis_naxiriflerecruit_rifle</t>
        </is>
      </c>
      <c r="C46" s="6" t="inlineStr">
        <is>
          <t>Armament@GARRISONED</t>
        </is>
      </c>
      <c r="K46" s="5" t="n">
        <v>8000</v>
      </c>
      <c r="L46" s="5" t="n">
        <v>100</v>
      </c>
      <c r="M46" s="5" t="n">
        <v>1</v>
      </c>
      <c r="N46" s="5" t="n"/>
      <c r="O46" s="5" t="n">
        <v>5500</v>
      </c>
      <c r="P46" s="5" t="n">
        <v>1</v>
      </c>
      <c r="Q46">
        <f>L46+IF(M46&gt;1,N(N46)*(M46-1),0)</f>
        <v/>
      </c>
      <c r="R46">
        <f>IFERROR(K46*MAX(M46,1)/Q46*P46,0)</f>
        <v/>
      </c>
      <c r="AA46" s="6" t="inlineStr">
        <is>
          <t>^SmallArms</t>
        </is>
      </c>
    </row>
    <row r="47">
      <c r="B47" s="6" t="inlineStr">
        <is>
          <t xml:space="preserve">  ↳ naxis_naxiriflerecruit_rifle_elite</t>
        </is>
      </c>
      <c r="C47" s="6" t="inlineStr">
        <is>
          <t>Armament@GARRISONEDELITE</t>
        </is>
      </c>
      <c r="K47" s="5" t="n">
        <v>8000</v>
      </c>
      <c r="L47" s="5" t="n">
        <v>100</v>
      </c>
      <c r="M47" s="5" t="n">
        <v>2</v>
      </c>
      <c r="N47" s="5" t="n">
        <v>3</v>
      </c>
      <c r="O47" s="5" t="n">
        <v>6500</v>
      </c>
      <c r="P47" s="5" t="n">
        <v>1</v>
      </c>
      <c r="Q47">
        <f>L47+IF(M47&gt;1,N(N47)*(M47-1),0)</f>
        <v/>
      </c>
      <c r="R47">
        <f>IFERROR(K47*MAX(M47,1)/Q47*P47,0)</f>
        <v/>
      </c>
      <c r="AA47" s="6" t="inlineStr">
        <is>
          <t>^SmallArms</t>
        </is>
      </c>
    </row>
    <row r="48">
      <c r="A48" t="inlineStr">
        <is>
          <t>redalert2mod</t>
        </is>
      </c>
      <c r="B48" t="inlineStr">
        <is>
          <t>naxis_naxiriflesoldier</t>
        </is>
      </c>
      <c r="C48" t="inlineStr">
        <is>
          <t>Naxi Rifle Soldier</t>
        </is>
      </c>
      <c r="D48" t="inlineStr"/>
      <c r="E48" s="5" t="n">
        <v>30000</v>
      </c>
      <c r="F48" s="5" t="n">
        <v>50</v>
      </c>
      <c r="G48" t="inlineStr">
        <is>
          <t>None</t>
        </is>
      </c>
      <c r="H48" s="5" t="n">
        <v>1</v>
      </c>
      <c r="I48" s="5" t="n">
        <v>0.5</v>
      </c>
      <c r="J48" s="5" t="n">
        <v>1</v>
      </c>
      <c r="O48">
        <f>MAX(O49,O50)</f>
        <v/>
      </c>
      <c r="R48">
        <f>R49+R50</f>
        <v/>
      </c>
      <c r="S48">
        <f>(E48/100000+F48/100+(O48/1000)*J48/5+R48/200)*200*I48*H48</f>
        <v/>
      </c>
      <c r="T48">
        <f>((E48*F48/25000)+((O48/1000)*J48*R48/2.5))*I48*H48</f>
        <v/>
      </c>
      <c r="U48">
        <f>(E48*F48*(O48/1000)*J48*R48*I48*H48)/12500000</f>
        <v/>
      </c>
      <c r="V48">
        <f>(S48+T48+U48)/3</f>
        <v/>
      </c>
      <c r="W48" s="5" t="n">
        <v>100</v>
      </c>
      <c r="X48">
        <f>IFERROR(V48-W48,"")</f>
        <v/>
      </c>
      <c r="Y48">
        <f>IFERROR(ABS(X48)/MAX(W48,1),"")</f>
        <v/>
      </c>
      <c r="Z48">
        <f>IFERROR((W48-(((E48/100000+F48/100+R48/200)*200*I48*H48)+((E48*F48/25000)*I48*H48))/3)/(((J48/5)*200*I48*H48)+((J48*R48/2.5)*I48*H48)+((E48*F48*J48*R48*I48*H48)/12500000))/3*1000,"")</f>
        <v/>
      </c>
    </row>
    <row r="49">
      <c r="B49" s="6" t="inlineStr">
        <is>
          <t xml:space="preserve">  ↳ naxis_naxiriflesoldier_rifle</t>
        </is>
      </c>
      <c r="C49" s="6" t="inlineStr">
        <is>
          <t>Armament@PRIMARY</t>
        </is>
      </c>
      <c r="K49" s="5" t="n">
        <v>6000</v>
      </c>
      <c r="L49" s="5" t="n">
        <v>75</v>
      </c>
      <c r="M49" s="5" t="n">
        <v>1</v>
      </c>
      <c r="N49" s="5" t="n"/>
      <c r="O49" s="5" t="n">
        <v>5500</v>
      </c>
      <c r="P49" s="5" t="n">
        <v>1</v>
      </c>
      <c r="Q49">
        <f>L49+IF(M49&gt;1,N(N49)*(M49-1),0)</f>
        <v/>
      </c>
      <c r="R49">
        <f>IFERROR(K49*MAX(M49,1)/Q49*P49,0)</f>
        <v/>
      </c>
      <c r="AA49" s="6" t="inlineStr">
        <is>
          <t>^SmallArms</t>
        </is>
      </c>
    </row>
    <row r="50">
      <c r="B50" s="6" t="inlineStr">
        <is>
          <t xml:space="preserve">  ↳ naxis_naxiriflesoldier_rifle_elite</t>
        </is>
      </c>
      <c r="C50" s="6" t="inlineStr">
        <is>
          <t>Armament@ELITE</t>
        </is>
      </c>
      <c r="K50" s="5" t="n">
        <v>6000</v>
      </c>
      <c r="L50" s="5" t="n">
        <v>75</v>
      </c>
      <c r="M50" s="5" t="n">
        <v>2</v>
      </c>
      <c r="N50" s="5" t="n">
        <v>3</v>
      </c>
      <c r="O50" s="5" t="n">
        <v>6500</v>
      </c>
      <c r="P50" s="5" t="n">
        <v>1</v>
      </c>
      <c r="Q50">
        <f>L50+IF(M50&gt;1,N(N50)*(M50-1),0)</f>
        <v/>
      </c>
      <c r="R50">
        <f>IFERROR(K50*MAX(M50,1)/Q50*P50,0)</f>
        <v/>
      </c>
      <c r="AA50" s="6" t="inlineStr">
        <is>
          <t>^SmallArms</t>
        </is>
      </c>
    </row>
    <row r="51">
      <c r="B51" s="6" t="inlineStr">
        <is>
          <t xml:space="preserve">  ↳ naxis_naxiriflesoldier_rifle</t>
        </is>
      </c>
      <c r="C51" s="6" t="inlineStr">
        <is>
          <t>Armament@GARRISONED</t>
        </is>
      </c>
      <c r="K51" s="5" t="n">
        <v>6000</v>
      </c>
      <c r="L51" s="5" t="n">
        <v>75</v>
      </c>
      <c r="M51" s="5" t="n">
        <v>1</v>
      </c>
      <c r="N51" s="5" t="n"/>
      <c r="O51" s="5" t="n">
        <v>5500</v>
      </c>
      <c r="P51" s="5" t="n">
        <v>1</v>
      </c>
      <c r="Q51">
        <f>L51+IF(M51&gt;1,N(N51)*(M51-1),0)</f>
        <v/>
      </c>
      <c r="R51">
        <f>IFERROR(K51*MAX(M51,1)/Q51*P51,0)</f>
        <v/>
      </c>
      <c r="AA51" s="6" t="inlineStr">
        <is>
          <t>^SmallArms</t>
        </is>
      </c>
    </row>
    <row r="52">
      <c r="B52" s="6" t="inlineStr">
        <is>
          <t xml:space="preserve">  ↳ naxis_naxiriflesoldier_rifle_elite</t>
        </is>
      </c>
      <c r="C52" s="6" t="inlineStr">
        <is>
          <t>Armament@GARRISONEDELITE</t>
        </is>
      </c>
      <c r="K52" s="5" t="n">
        <v>6000</v>
      </c>
      <c r="L52" s="5" t="n">
        <v>75</v>
      </c>
      <c r="M52" s="5" t="n">
        <v>2</v>
      </c>
      <c r="N52" s="5" t="n">
        <v>3</v>
      </c>
      <c r="O52" s="5" t="n">
        <v>6500</v>
      </c>
      <c r="P52" s="5" t="n">
        <v>1</v>
      </c>
      <c r="Q52">
        <f>L52+IF(M52&gt;1,N(N52)*(M52-1),0)</f>
        <v/>
      </c>
      <c r="R52">
        <f>IFERROR(K52*MAX(M52,1)/Q52*P52,0)</f>
        <v/>
      </c>
      <c r="AA52" s="6" t="inlineStr">
        <is>
          <t>^SmallArms</t>
        </is>
      </c>
    </row>
    <row r="53">
      <c r="A53" t="inlineStr">
        <is>
          <t>redalert2mod</t>
        </is>
      </c>
      <c r="B53" t="inlineStr">
        <is>
          <t>naxis_panzerfausttrooper</t>
        </is>
      </c>
      <c r="C53" t="inlineStr">
        <is>
          <t>Panzerfaust Trooper</t>
        </is>
      </c>
      <c r="D53" t="inlineStr"/>
      <c r="E53" s="5" t="n">
        <v>36000</v>
      </c>
      <c r="F53" s="5" t="n">
        <v>46</v>
      </c>
      <c r="G53" t="inlineStr">
        <is>
          <t>Plate</t>
        </is>
      </c>
      <c r="H53" s="5" t="n">
        <v>1</v>
      </c>
      <c r="I53" s="5" t="n">
        <v>0.8</v>
      </c>
      <c r="J53" s="5" t="n">
        <v>1</v>
      </c>
      <c r="O53">
        <f>MAX(O54,O55)</f>
        <v/>
      </c>
      <c r="R53">
        <f>R54+R55</f>
        <v/>
      </c>
      <c r="S53">
        <f>(E53/100000+F53/100+(O53/1000)*J53/5+R53/200)*200*I53*H53</f>
        <v/>
      </c>
      <c r="T53">
        <f>((E53*F53/25000)+((O53/1000)*J53*R53/2.5))*I53*H53</f>
        <v/>
      </c>
      <c r="U53">
        <f>(E53*F53*(O53/1000)*J53*R53*I53*H53)/12500000</f>
        <v/>
      </c>
      <c r="V53">
        <f>(S53+T53+U53)/3</f>
        <v/>
      </c>
      <c r="W53" s="5" t="n">
        <v>400</v>
      </c>
      <c r="X53">
        <f>IFERROR(V53-W53,"")</f>
        <v/>
      </c>
      <c r="Y53">
        <f>IFERROR(ABS(X53)/MAX(W53,1),"")</f>
        <v/>
      </c>
      <c r="Z53">
        <f>IFERROR((W53-(((E53/100000+F53/100+R53/200)*200*I53*H53)+((E53*F53/25000)*I53*H53))/3)/(((J53/5)*200*I53*H53)+((J53*R53/2.5)*I53*H53)+((E53*F53*J53*R53*I53*H53)/12500000))/3*1000,"")</f>
        <v/>
      </c>
    </row>
    <row r="54">
      <c r="B54" s="6" t="inlineStr">
        <is>
          <t xml:space="preserve">  ↳ NaxiShrekCons</t>
        </is>
      </c>
      <c r="C54" s="6" t="inlineStr">
        <is>
          <t>Armament@PRIMARY</t>
        </is>
      </c>
      <c r="K54" s="5" t="n">
        <v>6000</v>
      </c>
      <c r="L54" s="5" t="n">
        <v>135</v>
      </c>
      <c r="M54" s="5" t="n">
        <v>1</v>
      </c>
      <c r="N54" s="5" t="n"/>
      <c r="O54" s="5" t="n">
        <v>5512</v>
      </c>
      <c r="P54" s="5" t="n">
        <v>1</v>
      </c>
      <c r="Q54">
        <f>L54+IF(M54&gt;1,N(N54)*(M54-1),0)</f>
        <v/>
      </c>
      <c r="R54">
        <f>IFERROR(K54*MAX(M54,1)/Q54*P54,0)</f>
        <v/>
      </c>
      <c r="AA54" s="6" t="inlineStr">
        <is>
          <t>^HeavyBomb, ^HeavyFlameWeapon, ^Grenade, ^TankDestroyerCannon, ^MediumChemicalWeapon, ^RA2MediumMissile</t>
        </is>
      </c>
    </row>
    <row r="55">
      <c r="B55" s="6" t="inlineStr">
        <is>
          <t xml:space="preserve">  ↳ NaxiShrekConsE</t>
        </is>
      </c>
      <c r="C55" s="6" t="inlineStr">
        <is>
          <t>Armament@ELITE</t>
        </is>
      </c>
      <c r="K55" s="5" t="n">
        <v>6000</v>
      </c>
      <c r="L55" s="5" t="n">
        <v>135</v>
      </c>
      <c r="M55" s="5" t="n">
        <v>2</v>
      </c>
      <c r="N55" s="5" t="n">
        <v>3</v>
      </c>
      <c r="O55" s="5" t="n">
        <v>6512</v>
      </c>
      <c r="P55" s="5" t="n">
        <v>1</v>
      </c>
      <c r="Q55">
        <f>L55+IF(M55&gt;1,N(N55)*(M55-1),0)</f>
        <v/>
      </c>
      <c r="R55">
        <f>IFERROR(K55*MAX(M55,1)/Q55*P55,0)</f>
        <v/>
      </c>
      <c r="AA55" s="6" t="inlineStr">
        <is>
          <t>^HeavyBomb, ^HeavyFlameWeapon, ^Grenade, ^TankDestroyerCannon, ^MediumChemicalWeapon, ^RA2MediumMissile</t>
        </is>
      </c>
    </row>
    <row r="56">
      <c r="B56" s="6" t="inlineStr">
        <is>
          <t xml:space="preserve">  ↳ NaxiShrekCons</t>
        </is>
      </c>
      <c r="C56" s="6" t="inlineStr">
        <is>
          <t>Armament@GARRISONED</t>
        </is>
      </c>
      <c r="K56" s="5" t="n">
        <v>6000</v>
      </c>
      <c r="L56" s="5" t="n">
        <v>135</v>
      </c>
      <c r="M56" s="5" t="n">
        <v>1</v>
      </c>
      <c r="N56" s="5" t="n"/>
      <c r="O56" s="5" t="n">
        <v>5512</v>
      </c>
      <c r="P56" s="5" t="n">
        <v>1</v>
      </c>
      <c r="Q56">
        <f>L56+IF(M56&gt;1,N(N56)*(M56-1),0)</f>
        <v/>
      </c>
      <c r="R56">
        <f>IFERROR(K56*MAX(M56,1)/Q56*P56,0)</f>
        <v/>
      </c>
      <c r="AA56" s="6" t="inlineStr">
        <is>
          <t>^HeavyBomb, ^HeavyFlameWeapon, ^Grenade, ^TankDestroyerCannon, ^MediumChemicalWeapon, ^RA2MediumMissile</t>
        </is>
      </c>
    </row>
    <row r="57">
      <c r="B57" s="6" t="inlineStr">
        <is>
          <t xml:space="preserve">  ↳ NaxiShrekConsE</t>
        </is>
      </c>
      <c r="C57" s="6" t="inlineStr">
        <is>
          <t>Armament@GARRISONEDELITE</t>
        </is>
      </c>
      <c r="K57" s="5" t="n">
        <v>6000</v>
      </c>
      <c r="L57" s="5" t="n">
        <v>135</v>
      </c>
      <c r="M57" s="5" t="n">
        <v>2</v>
      </c>
      <c r="N57" s="5" t="n">
        <v>3</v>
      </c>
      <c r="O57" s="5" t="n">
        <v>6512</v>
      </c>
      <c r="P57" s="5" t="n">
        <v>1</v>
      </c>
      <c r="Q57">
        <f>L57+IF(M57&gt;1,N(N57)*(M57-1),0)</f>
        <v/>
      </c>
      <c r="R57">
        <f>IFERROR(K57*MAX(M57,1)/Q57*P57,0)</f>
        <v/>
      </c>
      <c r="AA57" s="6" t="inlineStr">
        <is>
          <t>^HeavyBomb, ^HeavyFlameWeapon, ^Grenade, ^TankDestroyerCannon, ^MediumChemicalWeapon, ^RA2MediumMissile</t>
        </is>
      </c>
    </row>
    <row r="58">
      <c r="A58" t="inlineStr">
        <is>
          <t>redalert2mod</t>
        </is>
      </c>
      <c r="B58" t="inlineStr">
        <is>
          <t>naxis_panzerschreck</t>
        </is>
      </c>
      <c r="C58" t="inlineStr">
        <is>
          <t>Panzerschreck</t>
        </is>
      </c>
      <c r="D58" t="inlineStr"/>
      <c r="E58" s="5" t="n">
        <v>96000</v>
      </c>
      <c r="F58" s="5" t="n">
        <v>42</v>
      </c>
      <c r="G58" t="inlineStr">
        <is>
          <t>Plate</t>
        </is>
      </c>
      <c r="H58" s="5" t="n">
        <v>0.75</v>
      </c>
      <c r="I58" s="5" t="n">
        <v>0.8</v>
      </c>
      <c r="J58" s="5" t="n">
        <v>1</v>
      </c>
      <c r="O58">
        <f>MAX(O59,O60)</f>
        <v/>
      </c>
      <c r="R58">
        <f>R59+R60</f>
        <v/>
      </c>
      <c r="S58">
        <f>(E58/100000+F58/100+(O58/1000)*J58/5+R58/200)*200*I58*H58</f>
        <v/>
      </c>
      <c r="T58">
        <f>((E58*F58/25000)+((O58/1000)*J58*R58/2.5))*I58*H58</f>
        <v/>
      </c>
      <c r="U58">
        <f>(E58*F58*(O58/1000)*J58*R58*I58*H58)/12500000</f>
        <v/>
      </c>
      <c r="V58">
        <f>(S58+T58+U58)/3</f>
        <v/>
      </c>
      <c r="W58" s="5" t="n">
        <v>600</v>
      </c>
      <c r="X58">
        <f>IFERROR(V58-W58,"")</f>
        <v/>
      </c>
      <c r="Y58">
        <f>IFERROR(ABS(X58)/MAX(W58,1),"")</f>
        <v/>
      </c>
      <c r="Z58">
        <f>IFERROR((W58-(((E58/100000+F58/100+R58/200)*200*I58*H58)+((E58*F58/25000)*I58*H58))/3)/(((J58/5)*200*I58*H58)+((J58*R58/2.5)*I58*H58)+((E58*F58*J58*R58*I58*H58)/12500000))/3*1000,"")</f>
        <v/>
      </c>
    </row>
    <row r="59">
      <c r="B59" s="6" t="inlineStr">
        <is>
          <t xml:space="preserve">  ↳ NaxiShrek</t>
        </is>
      </c>
      <c r="C59" s="6" t="inlineStr">
        <is>
          <t>Armament@PRIMARY</t>
        </is>
      </c>
      <c r="K59" s="5" t="n">
        <v>8000</v>
      </c>
      <c r="L59" s="5" t="n">
        <v>124</v>
      </c>
      <c r="M59" s="5" t="n">
        <v>1</v>
      </c>
      <c r="N59" s="5" t="n"/>
      <c r="O59" s="5" t="n">
        <v>6805</v>
      </c>
      <c r="P59" s="5" t="n">
        <v>1</v>
      </c>
      <c r="Q59">
        <f>L59+IF(M59&gt;1,N(N59)*(M59-1),0)</f>
        <v/>
      </c>
      <c r="R59">
        <f>IFERROR(K59*MAX(M59,1)/Q59*P59,0)</f>
        <v/>
      </c>
      <c r="AA59" s="6" t="inlineStr">
        <is>
          <t>^HeavyBomb, ^HeavyFlameWeapon, ^Grenade, ^TankDestroyerCannon, ^MediumChemicalWeapon, ^RA2MediumMissile</t>
        </is>
      </c>
    </row>
    <row r="60">
      <c r="B60" s="6" t="inlineStr">
        <is>
          <t xml:space="preserve">  ↳ NaxiShrekE</t>
        </is>
      </c>
      <c r="C60" s="6" t="inlineStr">
        <is>
          <t>Armament@ELITE</t>
        </is>
      </c>
      <c r="K60" s="5" t="n">
        <v>8000</v>
      </c>
      <c r="L60" s="5" t="n">
        <v>124</v>
      </c>
      <c r="M60" s="5" t="n">
        <v>2</v>
      </c>
      <c r="N60" s="5" t="n">
        <v>3</v>
      </c>
      <c r="O60" s="5" t="n">
        <v>7805</v>
      </c>
      <c r="P60" s="5" t="n">
        <v>1</v>
      </c>
      <c r="Q60">
        <f>L60+IF(M60&gt;1,N(N60)*(M60-1),0)</f>
        <v/>
      </c>
      <c r="R60">
        <f>IFERROR(K60*MAX(M60,1)/Q60*P60,0)</f>
        <v/>
      </c>
      <c r="AA60" s="6" t="inlineStr">
        <is>
          <t>^HeavyBomb, ^HeavyFlameWeapon, ^Grenade, ^TankDestroyerCannon, ^MediumChemicalWeapon, ^RA2MediumMissile</t>
        </is>
      </c>
    </row>
    <row r="61">
      <c r="B61" s="6" t="inlineStr">
        <is>
          <t xml:space="preserve">  ↳ NaxiShrek</t>
        </is>
      </c>
      <c r="C61" s="6" t="inlineStr">
        <is>
          <t>Armament@GARRISONED</t>
        </is>
      </c>
      <c r="K61" s="5" t="n">
        <v>8000</v>
      </c>
      <c r="L61" s="5" t="n">
        <v>124</v>
      </c>
      <c r="M61" s="5" t="n">
        <v>1</v>
      </c>
      <c r="N61" s="5" t="n"/>
      <c r="O61" s="5" t="n">
        <v>6805</v>
      </c>
      <c r="P61" s="5" t="n">
        <v>1</v>
      </c>
      <c r="Q61">
        <f>L61+IF(M61&gt;1,N(N61)*(M61-1),0)</f>
        <v/>
      </c>
      <c r="R61">
        <f>IFERROR(K61*MAX(M61,1)/Q61*P61,0)</f>
        <v/>
      </c>
      <c r="AA61" s="6" t="inlineStr">
        <is>
          <t>^HeavyBomb, ^HeavyFlameWeapon, ^Grenade, ^TankDestroyerCannon, ^MediumChemicalWeapon, ^RA2MediumMissile</t>
        </is>
      </c>
    </row>
    <row r="62">
      <c r="B62" s="6" t="inlineStr">
        <is>
          <t xml:space="preserve">  ↳ NaxiShrekE</t>
        </is>
      </c>
      <c r="C62" s="6" t="inlineStr">
        <is>
          <t>Armament@GARRISONED_E</t>
        </is>
      </c>
      <c r="K62" s="5" t="n">
        <v>8000</v>
      </c>
      <c r="L62" s="5" t="n">
        <v>124</v>
      </c>
      <c r="M62" s="5" t="n">
        <v>2</v>
      </c>
      <c r="N62" s="5" t="n">
        <v>3</v>
      </c>
      <c r="O62" s="5" t="n">
        <v>7805</v>
      </c>
      <c r="P62" s="5" t="n">
        <v>1</v>
      </c>
      <c r="Q62">
        <f>L62+IF(M62&gt;1,N(N62)*(M62-1),0)</f>
        <v/>
      </c>
      <c r="R62">
        <f>IFERROR(K62*MAX(M62,1)/Q62*P62,0)</f>
        <v/>
      </c>
      <c r="AA62" s="6" t="inlineStr">
        <is>
          <t>^HeavyBomb, ^HeavyFlameWeapon, ^Grenade, ^TankDestroyerCannon, ^MediumChemicalWeapon, ^RA2MediumMissile</t>
        </is>
      </c>
    </row>
    <row r="63">
      <c r="A63" t="inlineStr">
        <is>
          <t>redalert2mod</t>
        </is>
      </c>
      <c r="B63" t="inlineStr">
        <is>
          <t>naxis_portableflak</t>
        </is>
      </c>
      <c r="C63" t="inlineStr">
        <is>
          <t>Portable Flak</t>
        </is>
      </c>
      <c r="D63" t="inlineStr"/>
      <c r="E63" s="5" t="n">
        <v>12000</v>
      </c>
      <c r="F63" s="5" t="n">
        <v>55</v>
      </c>
      <c r="G63" t="inlineStr">
        <is>
          <t>Flak</t>
        </is>
      </c>
      <c r="H63" s="5" t="n">
        <v>1</v>
      </c>
      <c r="I63" s="5" t="n">
        <v>0.5</v>
      </c>
      <c r="J63" s="5" t="n">
        <v>1</v>
      </c>
      <c r="O63">
        <f>MAX(O64,O65,O66)</f>
        <v/>
      </c>
      <c r="R63">
        <f>R64+R65+R66</f>
        <v/>
      </c>
      <c r="S63">
        <f>(E63/100000+F63/100+(O63/1000)*J63/5+R63/200)*200*I63*H63</f>
        <v/>
      </c>
      <c r="T63">
        <f>((E63*F63/25000)+((O63/1000)*J63*R63/2.5))*I63*H63</f>
        <v/>
      </c>
      <c r="U63">
        <f>(E63*F63*(O63/1000)*J63*R63*I63*H63)/12500000</f>
        <v/>
      </c>
      <c r="V63">
        <f>(S63+T63+U63)/3</f>
        <v/>
      </c>
      <c r="W63" s="5" t="n">
        <v>400</v>
      </c>
      <c r="X63">
        <f>IFERROR(V63-W63,"")</f>
        <v/>
      </c>
      <c r="Y63">
        <f>IFERROR(ABS(X63)/MAX(W63,1),"")</f>
        <v/>
      </c>
      <c r="Z63">
        <f>IFERROR((W63-(((E63/100000+F63/100+R63/200)*200*I63*H63)+((E63*F63/25000)*I63*H63))/3)/(((J63/5)*200*I63*H63)+((J63*R63/2.5)*I63*H63)+((E63*F63*J63*R63*I63*H63)/12500000))/3*1000,"")</f>
        <v/>
      </c>
    </row>
    <row r="64">
      <c r="B64" s="6" t="inlineStr">
        <is>
          <t xml:space="preserve">  ↳ NaxQuadCannonTargeting</t>
        </is>
      </c>
      <c r="C64" s="6" t="inlineStr">
        <is>
          <t>Armament@Dummy</t>
        </is>
      </c>
      <c r="K64" s="5" t="n"/>
      <c r="L64" s="5" t="n">
        <v>50</v>
      </c>
      <c r="M64" s="5" t="n">
        <v>1</v>
      </c>
      <c r="N64" s="5" t="n"/>
      <c r="O64" s="5" t="n">
        <v>8888</v>
      </c>
      <c r="P64" s="5" t="n">
        <v>1</v>
      </c>
      <c r="Q64">
        <f>L64+IF(M64&gt;1,N(N64)*(M64-1),0)</f>
        <v/>
      </c>
      <c r="R64">
        <f>IFERROR(K64*MAX(M64,1)/Q64*P64,0)</f>
        <v/>
      </c>
      <c r="AA64" s="6" t="inlineStr">
        <is>
          <t>^aadeploytargeting</t>
        </is>
      </c>
    </row>
    <row r="65">
      <c r="B65" s="6" t="inlineStr">
        <is>
          <t xml:space="preserve">  ↳ PortableFlak</t>
        </is>
      </c>
      <c r="C65" s="6" t="inlineStr">
        <is>
          <t>Armament@Deployed</t>
        </is>
      </c>
      <c r="K65" s="5" t="n">
        <v>2000</v>
      </c>
      <c r="L65" s="5" t="n">
        <v>47</v>
      </c>
      <c r="M65" s="5" t="n">
        <v>6</v>
      </c>
      <c r="N65" s="5" t="n">
        <v>4</v>
      </c>
      <c r="O65" s="5" t="n">
        <v>8888</v>
      </c>
      <c r="P65" s="5" t="n">
        <v>1</v>
      </c>
      <c r="Q65">
        <f>L65+IF(M65&gt;1,N(N65)*(M65-1),0)</f>
        <v/>
      </c>
      <c r="R65">
        <f>IFERROR(K65*MAX(M65,1)/Q65*P65,0)</f>
        <v/>
      </c>
      <c r="AA65" s="6" t="inlineStr">
        <is>
          <t>^Grenade, ^HeavyMissile, ^Chaingun, ^RA2FlakWeapon</t>
        </is>
      </c>
    </row>
    <row r="66">
      <c r="B66" s="6" t="inlineStr">
        <is>
          <t xml:space="preserve">  ↳ PortableFlakE</t>
        </is>
      </c>
      <c r="C66" s="6" t="inlineStr">
        <is>
          <t>Armament@DEPLOYEDELITE</t>
        </is>
      </c>
      <c r="K66" s="5" t="n">
        <v>2000</v>
      </c>
      <c r="L66" s="5" t="n">
        <v>47</v>
      </c>
      <c r="M66" s="5" t="n">
        <v>8</v>
      </c>
      <c r="N66" s="5" t="n">
        <v>3</v>
      </c>
      <c r="O66" s="5" t="n">
        <v>9999</v>
      </c>
      <c r="P66" s="5" t="n">
        <v>1</v>
      </c>
      <c r="Q66">
        <f>L66+IF(M66&gt;1,N(N66)*(M66-1),0)</f>
        <v/>
      </c>
      <c r="R66">
        <f>IFERROR(K66*MAX(M66,1)/Q66*P66,0)</f>
        <v/>
      </c>
      <c r="AA66" s="6" t="inlineStr">
        <is>
          <t>^Grenade, ^HeavyMissile, ^Chaingun, ^RA2FlakWeapon</t>
        </is>
      </c>
    </row>
    <row r="67">
      <c r="B67" s="6" t="inlineStr">
        <is>
          <t xml:space="preserve">  ↳ PortableFlak</t>
        </is>
      </c>
      <c r="C67" s="6" t="inlineStr">
        <is>
          <t>Armament@GARRISONED</t>
        </is>
      </c>
      <c r="K67" s="5" t="n">
        <v>2000</v>
      </c>
      <c r="L67" s="5" t="n">
        <v>47</v>
      </c>
      <c r="M67" s="5" t="n">
        <v>6</v>
      </c>
      <c r="N67" s="5" t="n">
        <v>4</v>
      </c>
      <c r="O67" s="5" t="n">
        <v>8888</v>
      </c>
      <c r="P67" s="5" t="n">
        <v>1</v>
      </c>
      <c r="Q67">
        <f>L67+IF(M67&gt;1,N(N67)*(M67-1),0)</f>
        <v/>
      </c>
      <c r="R67">
        <f>IFERROR(K67*MAX(M67,1)/Q67*P67,0)</f>
        <v/>
      </c>
      <c r="AA67" s="6" t="inlineStr">
        <is>
          <t>^Grenade, ^HeavyMissile, ^Chaingun, ^RA2FlakWeapon</t>
        </is>
      </c>
    </row>
    <row r="68">
      <c r="B68" s="6" t="inlineStr">
        <is>
          <t xml:space="preserve">  ↳ PortableFlakE</t>
        </is>
      </c>
      <c r="C68" s="6" t="inlineStr">
        <is>
          <t>Armament@GARRISONEDELITE</t>
        </is>
      </c>
      <c r="K68" s="5" t="n">
        <v>2000</v>
      </c>
      <c r="L68" s="5" t="n">
        <v>47</v>
      </c>
      <c r="M68" s="5" t="n">
        <v>8</v>
      </c>
      <c r="N68" s="5" t="n">
        <v>3</v>
      </c>
      <c r="O68" s="5" t="n">
        <v>9999</v>
      </c>
      <c r="P68" s="5" t="n">
        <v>1</v>
      </c>
      <c r="Q68">
        <f>L68+IF(M68&gt;1,N(N68)*(M68-1),0)</f>
        <v/>
      </c>
      <c r="R68">
        <f>IFERROR(K68*MAX(M68,1)/Q68*P68,0)</f>
        <v/>
      </c>
      <c r="AA68" s="6" t="inlineStr">
        <is>
          <t>^Grenade, ^HeavyMissile, ^Chaingun, ^RA2FlakWeapon</t>
        </is>
      </c>
    </row>
    <row r="69">
      <c r="A69" t="inlineStr">
        <is>
          <t>redalert2mod</t>
        </is>
      </c>
      <c r="B69" t="inlineStr">
        <is>
          <t>naxis_skymage</t>
        </is>
      </c>
      <c r="C69" t="inlineStr">
        <is>
          <t>Sky Mage</t>
        </is>
      </c>
      <c r="D69" t="inlineStr"/>
      <c r="E69" s="5" t="n">
        <v>48000</v>
      </c>
      <c r="F69" s="5" t="n">
        <v>160</v>
      </c>
      <c r="G69" t="inlineStr">
        <is>
          <t>Scout</t>
        </is>
      </c>
      <c r="H69" s="5" t="n">
        <v>0.75</v>
      </c>
      <c r="I69" s="5" t="n">
        <v>1</v>
      </c>
      <c r="J69" s="5" t="n">
        <v>1.25</v>
      </c>
      <c r="O69">
        <f>MAX(O70,O71,O72,O73)</f>
        <v/>
      </c>
      <c r="R69">
        <f>R70+R71+R72+R73</f>
        <v/>
      </c>
      <c r="S69">
        <f>(E69/100000+F69/100+(O69/1000)*J69/5+R69/200)*200*I69*H69</f>
        <v/>
      </c>
      <c r="T69">
        <f>((E69*F69/25000)+((O69/1000)*J69*R69/2.5))*I69*H69</f>
        <v/>
      </c>
      <c r="U69">
        <f>(E69*F69*(O69/1000)*J69*R69*I69*H69)/12500000</f>
        <v/>
      </c>
      <c r="V69">
        <f>(S69+T69+U69)/3</f>
        <v/>
      </c>
      <c r="W69" s="5" t="n">
        <v>1200</v>
      </c>
      <c r="X69">
        <f>IFERROR(V69-W69,"")</f>
        <v/>
      </c>
      <c r="Y69">
        <f>IFERROR(ABS(X69)/MAX(W69,1),"")</f>
        <v/>
      </c>
      <c r="Z69">
        <f>IFERROR((W69-(((E69/100000+F69/100+R69/200)*200*I69*H69)+((E69*F69/25000)*I69*H69))/3)/(((J69/5)*200*I69*H69)+((J69*R69/2.5)*I69*H69)+((E69*F69*J69*R69*I69*H69)/12500000))/3*1000,"")</f>
        <v/>
      </c>
    </row>
    <row r="70">
      <c r="B70" s="6" t="inlineStr">
        <is>
          <t xml:space="preserve">  ↳ SkyMageCannon</t>
        </is>
      </c>
      <c r="C70" s="6" t="inlineStr">
        <is>
          <t>Armament@PRIMARY</t>
        </is>
      </c>
      <c r="K70" s="5" t="n">
        <v>2000</v>
      </c>
      <c r="L70" s="5" t="n">
        <v>26</v>
      </c>
      <c r="M70" s="5" t="n">
        <v>6</v>
      </c>
      <c r="N70" s="5" t="n">
        <v>4</v>
      </c>
      <c r="O70" s="5" t="n">
        <v>5000</v>
      </c>
      <c r="P70" s="5" t="n">
        <v>1</v>
      </c>
      <c r="Q70">
        <f>L70+IF(M70&gt;1,N(N70)*(M70-1),0)</f>
        <v/>
      </c>
      <c r="R70">
        <f>IFERROR(K70*MAX(M70,1)/Q70*P70,0)</f>
        <v/>
      </c>
      <c r="AA70" s="6" t="inlineStr">
        <is>
          <t>^Grenade, ^HeavyMissile, ^Chaingun, ^RA2FlakWeapon</t>
        </is>
      </c>
    </row>
    <row r="71">
      <c r="B71" s="6" t="inlineStr">
        <is>
          <t xml:space="preserve">  ↳ SkyMageCannonE</t>
        </is>
      </c>
      <c r="C71" s="6" t="inlineStr">
        <is>
          <t>Armament@ELITE</t>
        </is>
      </c>
      <c r="K71" s="5" t="n">
        <v>2000</v>
      </c>
      <c r="L71" s="5" t="n">
        <v>26</v>
      </c>
      <c r="M71" s="5" t="n">
        <v>8</v>
      </c>
      <c r="N71" s="5" t="n">
        <v>3</v>
      </c>
      <c r="O71" s="5" t="n">
        <v>6000</v>
      </c>
      <c r="P71" s="5" t="n">
        <v>1</v>
      </c>
      <c r="Q71">
        <f>L71+IF(M71&gt;1,N(N71)*(M71-1),0)</f>
        <v/>
      </c>
      <c r="R71">
        <f>IFERROR(K71*MAX(M71,1)/Q71*P71,0)</f>
        <v/>
      </c>
      <c r="AA71" s="6" t="inlineStr">
        <is>
          <t>^Grenade, ^HeavyMissile, ^Chaingun, ^RA2FlakWeapon</t>
        </is>
      </c>
    </row>
    <row r="72">
      <c r="B72" s="6" t="inlineStr">
        <is>
          <t xml:space="preserve">  ↳ SkyMageCannonAA</t>
        </is>
      </c>
      <c r="C72" s="6" t="inlineStr">
        <is>
          <t>Armament@AA</t>
        </is>
      </c>
      <c r="K72" s="5" t="n">
        <v>2000</v>
      </c>
      <c r="L72" s="5" t="n">
        <v>26</v>
      </c>
      <c r="M72" s="5" t="n">
        <v>6</v>
      </c>
      <c r="N72" s="5" t="n">
        <v>4</v>
      </c>
      <c r="O72" s="5" t="n">
        <v>7500</v>
      </c>
      <c r="P72" s="5" t="n">
        <v>1</v>
      </c>
      <c r="Q72">
        <f>L72+IF(M72&gt;1,N(N72)*(M72-1),0)</f>
        <v/>
      </c>
      <c r="R72">
        <f>IFERROR(K72*MAX(M72,1)/Q72*P72,0)</f>
        <v/>
      </c>
      <c r="AA72" s="6" t="inlineStr">
        <is>
          <t>^Grenade, ^HeavyMissile, ^Chaingun, ^RA2FlakWeapon</t>
        </is>
      </c>
    </row>
    <row r="73">
      <c r="B73" s="6" t="inlineStr">
        <is>
          <t xml:space="preserve">  ↳ SkyMageCannonAAE</t>
        </is>
      </c>
      <c r="C73" s="6" t="inlineStr">
        <is>
          <t>Armament@ELITEAA</t>
        </is>
      </c>
      <c r="K73" s="5" t="n">
        <v>2000</v>
      </c>
      <c r="L73" s="5" t="n">
        <v>26</v>
      </c>
      <c r="M73" s="5" t="n">
        <v>8</v>
      </c>
      <c r="N73" s="5" t="n">
        <v>3</v>
      </c>
      <c r="O73" s="5" t="n">
        <v>8500</v>
      </c>
      <c r="P73" s="5" t="n">
        <v>1</v>
      </c>
      <c r="Q73">
        <f>L73+IF(M73&gt;1,N(N73)*(M73-1),0)</f>
        <v/>
      </c>
      <c r="R73">
        <f>IFERROR(K73*MAX(M73,1)/Q73*P73,0)</f>
        <v/>
      </c>
      <c r="AA73" s="6" t="inlineStr">
        <is>
          <t>^Grenade, ^HeavyMissile, ^Chaingun, ^RA2FlakWeapon</t>
        </is>
      </c>
    </row>
    <row r="74">
      <c r="A74" t="inlineStr">
        <is>
          <t>redalert2mod</t>
        </is>
      </c>
      <c r="B74" t="inlineStr">
        <is>
          <t>naxis_slave</t>
        </is>
      </c>
      <c r="C74" t="inlineStr">
        <is>
          <t>Slave</t>
        </is>
      </c>
      <c r="D74" t="inlineStr"/>
      <c r="E74" s="5" t="n">
        <v>10000</v>
      </c>
      <c r="F74" s="5" t="n">
        <v>60</v>
      </c>
      <c r="G74" t="inlineStr">
        <is>
          <t>Plate</t>
        </is>
      </c>
      <c r="H74" s="5" t="n">
        <v>1</v>
      </c>
      <c r="I74" s="5" t="n">
        <v>1</v>
      </c>
      <c r="J74" s="5" t="n">
        <v>1</v>
      </c>
      <c r="O74">
        <f>MAX(O75)</f>
        <v/>
      </c>
      <c r="R74">
        <f>R75</f>
        <v/>
      </c>
      <c r="S74">
        <f>(E74/100000+F74/100+(O74/1000)*J74/5+R74/200)*200*I74*H74</f>
        <v/>
      </c>
      <c r="T74">
        <f>((E74*F74/25000)+((O74/1000)*J74*R74/2.5))*I74*H74</f>
        <v/>
      </c>
      <c r="U74">
        <f>(E74*F74*(O74/1000)*J74*R74*I74*H74)/12500000</f>
        <v/>
      </c>
      <c r="V74">
        <f>(S74+T74+U74)/3</f>
        <v/>
      </c>
      <c r="W74" s="5" t="n">
        <v>250</v>
      </c>
      <c r="X74">
        <f>IFERROR(V74-W74,"")</f>
        <v/>
      </c>
      <c r="Y74">
        <f>IFERROR(ABS(X74)/MAX(W74,1),"")</f>
        <v/>
      </c>
      <c r="Z74">
        <f>IFERROR((W74-(((E74/100000+F74/100+R74/200)*200*I74*H74)+((E74*F74/25000)*I74*H74))/3)/(((J74/5)*200*I74*H74)+((J74*R74/2.5)*I74*H74)+((E74*F74*J74*R74*I74*H74)/12500000))/3*1000,"")</f>
        <v/>
      </c>
    </row>
    <row r="75">
      <c r="B75" s="6" t="inlineStr">
        <is>
          <t xml:space="preserve">  ↳ RA2Shovel</t>
        </is>
      </c>
      <c r="C75" s="6" t="inlineStr">
        <is>
          <t>Armament@PRIMARY</t>
        </is>
      </c>
      <c r="K75" s="5" t="n">
        <v>2000</v>
      </c>
      <c r="L75" s="5" t="n">
        <v>30</v>
      </c>
      <c r="M75" s="5" t="n">
        <v>1</v>
      </c>
      <c r="N75" s="5" t="n"/>
      <c r="O75" s="5" t="n">
        <v>1500</v>
      </c>
      <c r="P75" s="5" t="n">
        <v>1</v>
      </c>
      <c r="Q75">
        <f>L75+IF(M75&gt;1,N(N75)*(M75-1),0)</f>
        <v/>
      </c>
      <c r="R75">
        <f>IFERROR(K75*MAX(M75,1)/Q75*P75,0)</f>
        <v/>
      </c>
      <c r="AA75" s="6" t="inlineStr">
        <is>
          <t>^SwordWeapon</t>
        </is>
      </c>
    </row>
    <row r="76">
      <c r="B76" s="6" t="inlineStr">
        <is>
          <t xml:space="preserve">  ↳ RA2Shovel</t>
        </is>
      </c>
      <c r="C76" s="6" t="inlineStr">
        <is>
          <t>Armament@GARRISONED</t>
        </is>
      </c>
      <c r="K76" s="5" t="n">
        <v>2000</v>
      </c>
      <c r="L76" s="5" t="n">
        <v>30</v>
      </c>
      <c r="M76" s="5" t="n">
        <v>1</v>
      </c>
      <c r="N76" s="5" t="n"/>
      <c r="O76" s="5" t="n">
        <v>1500</v>
      </c>
      <c r="P76" s="5" t="n">
        <v>1</v>
      </c>
      <c r="Q76">
        <f>L76+IF(M76&gt;1,N(N76)*(M76-1),0)</f>
        <v/>
      </c>
      <c r="R76">
        <f>IFERROR(K76*MAX(M76,1)/Q76*P76,0)</f>
        <v/>
      </c>
      <c r="AA76" s="6" t="inlineStr">
        <is>
          <t>^SwordWeapon</t>
        </is>
      </c>
    </row>
    <row r="77">
      <c r="A77" t="inlineStr">
        <is>
          <t>redalert2mod</t>
        </is>
      </c>
      <c r="B77" t="inlineStr">
        <is>
          <t>naxis_slaveoverseer</t>
        </is>
      </c>
      <c r="C77" t="inlineStr">
        <is>
          <t>Slave Overseer</t>
        </is>
      </c>
      <c r="D77" t="inlineStr"/>
      <c r="E77" s="5" t="n">
        <v>20000</v>
      </c>
      <c r="F77" s="5" t="n">
        <v>90</v>
      </c>
      <c r="G77" t="inlineStr">
        <is>
          <t>None</t>
        </is>
      </c>
      <c r="H77" s="5" t="n">
        <v>1</v>
      </c>
      <c r="I77" s="5" t="n">
        <v>1</v>
      </c>
      <c r="J77" s="5" t="n">
        <v>1</v>
      </c>
      <c r="O77">
        <f>MAX(O78,O79,O80)</f>
        <v/>
      </c>
      <c r="R77">
        <f>R78+R79+R80</f>
        <v/>
      </c>
      <c r="S77">
        <f>(E77/100000+F77/100+(O77/1000)*J77/5+R77/200)*200*I77*H77</f>
        <v/>
      </c>
      <c r="T77">
        <f>((E77*F77/25000)+((O77/1000)*J77*R77/2.5))*I77*H77</f>
        <v/>
      </c>
      <c r="U77">
        <f>(E77*F77*(O77/1000)*J77*R77*I77*H77)/12500000</f>
        <v/>
      </c>
      <c r="V77">
        <f>(S77+T77+U77)/3</f>
        <v/>
      </c>
      <c r="W77" s="5" t="n">
        <v>500</v>
      </c>
      <c r="X77">
        <f>IFERROR(V77-W77,"")</f>
        <v/>
      </c>
      <c r="Y77">
        <f>IFERROR(ABS(X77)/MAX(W77,1),"")</f>
        <v/>
      </c>
      <c r="Z77">
        <f>IFERROR((W77-(((E77/100000+F77/100+R77/200)*200*I77*H77)+((E77*F77/25000)*I77*H77))/3)/(((J77/5)*200*I77*H77)+((J77*R77/2.5)*I77*H77)+((E77*F77*J77*R77*I77*H77)/12500000))/3*1000,"")</f>
        <v/>
      </c>
    </row>
    <row r="78">
      <c r="B78" s="6" t="inlineStr">
        <is>
          <t xml:space="preserve">  ↳ NaxiSlaveWhip</t>
        </is>
      </c>
      <c r="C78" s="6" t="inlineStr">
        <is>
          <t>Armament@SlaveWhip</t>
        </is>
      </c>
      <c r="K78" s="5" t="n"/>
      <c r="L78" s="5" t="n">
        <v>50</v>
      </c>
      <c r="M78" s="5" t="n">
        <v>1</v>
      </c>
      <c r="N78" s="5" t="n"/>
      <c r="O78" s="5" t="n">
        <v>2500</v>
      </c>
      <c r="P78" s="5" t="n">
        <v>1</v>
      </c>
      <c r="Q78">
        <f>L78+IF(M78&gt;1,N(N78)*(M78-1),0)</f>
        <v/>
      </c>
      <c r="R78">
        <f>IFERROR(K78*MAX(M78,1)/Q78*P78,0)</f>
        <v/>
      </c>
      <c r="AA78" s="6" t="inlineStr"/>
    </row>
    <row r="79">
      <c r="B79" s="6" t="inlineStr">
        <is>
          <t xml:space="preserve">  ↳ NaxiRifle</t>
        </is>
      </c>
      <c r="C79" s="6" t="inlineStr">
        <is>
          <t>Armament@PRIMARY</t>
        </is>
      </c>
      <c r="K79" s="5" t="n">
        <v>6000</v>
      </c>
      <c r="L79" s="5" t="n">
        <v>75</v>
      </c>
      <c r="M79" s="5" t="n">
        <v>1</v>
      </c>
      <c r="N79" s="5" t="n"/>
      <c r="O79" s="5" t="n">
        <v>5621</v>
      </c>
      <c r="P79" s="5" t="n">
        <v>1</v>
      </c>
      <c r="Q79">
        <f>L79+IF(M79&gt;1,N(N79)*(M79-1),0)</f>
        <v/>
      </c>
      <c r="R79">
        <f>IFERROR(K79*MAX(M79,1)/Q79*P79,0)</f>
        <v/>
      </c>
      <c r="AA79" s="6" t="inlineStr">
        <is>
          <t>^SmallArms</t>
        </is>
      </c>
    </row>
    <row r="80">
      <c r="B80" s="6" t="inlineStr">
        <is>
          <t xml:space="preserve">  ↳ NaxiRifleE</t>
        </is>
      </c>
      <c r="C80" s="6" t="inlineStr">
        <is>
          <t>Armament@ELITE</t>
        </is>
      </c>
      <c r="K80" s="5" t="n">
        <v>6000</v>
      </c>
      <c r="L80" s="5" t="n">
        <v>75</v>
      </c>
      <c r="M80" s="5" t="n">
        <v>2</v>
      </c>
      <c r="N80" s="5" t="n">
        <v>3</v>
      </c>
      <c r="O80" s="5" t="n">
        <v>6621</v>
      </c>
      <c r="P80" s="5" t="n">
        <v>1</v>
      </c>
      <c r="Q80">
        <f>L80+IF(M80&gt;1,N(N80)*(M80-1),0)</f>
        <v/>
      </c>
      <c r="R80">
        <f>IFERROR(K80*MAX(M80,1)/Q80*P80,0)</f>
        <v/>
      </c>
      <c r="AA80" s="6" t="inlineStr">
        <is>
          <t>^SmallArms</t>
        </is>
      </c>
    </row>
    <row r="81">
      <c r="B81" s="6" t="inlineStr">
        <is>
          <t xml:space="preserve">  ↳ NaxiRifle</t>
        </is>
      </c>
      <c r="C81" s="6" t="inlineStr">
        <is>
          <t>Armament@GARRISONED</t>
        </is>
      </c>
      <c r="K81" s="5" t="n">
        <v>6000</v>
      </c>
      <c r="L81" s="5" t="n">
        <v>75</v>
      </c>
      <c r="M81" s="5" t="n">
        <v>1</v>
      </c>
      <c r="N81" s="5" t="n"/>
      <c r="O81" s="5" t="n">
        <v>5621</v>
      </c>
      <c r="P81" s="5" t="n">
        <v>1</v>
      </c>
      <c r="Q81">
        <f>L81+IF(M81&gt;1,N(N81)*(M81-1),0)</f>
        <v/>
      </c>
      <c r="R81">
        <f>IFERROR(K81*MAX(M81,1)/Q81*P81,0)</f>
        <v/>
      </c>
      <c r="AA81" s="6" t="inlineStr">
        <is>
          <t>^SmallArms</t>
        </is>
      </c>
    </row>
    <row r="82">
      <c r="B82" s="6" t="inlineStr">
        <is>
          <t xml:space="preserve">  ↳ NaxiRifleE</t>
        </is>
      </c>
      <c r="C82" s="6" t="inlineStr">
        <is>
          <t>Armament@GARRISONEDELITE</t>
        </is>
      </c>
      <c r="K82" s="5" t="n">
        <v>6000</v>
      </c>
      <c r="L82" s="5" t="n">
        <v>75</v>
      </c>
      <c r="M82" s="5" t="n">
        <v>2</v>
      </c>
      <c r="N82" s="5" t="n">
        <v>3</v>
      </c>
      <c r="O82" s="5" t="n">
        <v>6621</v>
      </c>
      <c r="P82" s="5" t="n">
        <v>1</v>
      </c>
      <c r="Q82">
        <f>L82+IF(M82&gt;1,N(N82)*(M82-1),0)</f>
        <v/>
      </c>
      <c r="R82">
        <f>IFERROR(K82*MAX(M82,1)/Q82*P82,0)</f>
        <v/>
      </c>
      <c r="AA82" s="6" t="inlineStr">
        <is>
          <t>^SmallArms</t>
        </is>
      </c>
    </row>
    <row r="83">
      <c r="A83" t="inlineStr">
        <is>
          <t>redalert2mod</t>
        </is>
      </c>
      <c r="B83" t="inlineStr">
        <is>
          <t>naxis_sssoldier</t>
        </is>
      </c>
      <c r="C83" t="inlineStr">
        <is>
          <t>SS Soldier</t>
        </is>
      </c>
      <c r="D83" t="inlineStr">
        <is>
          <t>closecombat</t>
        </is>
      </c>
      <c r="E83" s="5" t="n">
        <v>60000</v>
      </c>
      <c r="F83" s="5" t="n">
        <v>55</v>
      </c>
      <c r="G83" t="inlineStr">
        <is>
          <t>Plate</t>
        </is>
      </c>
      <c r="H83" s="5" t="n">
        <v>0.75</v>
      </c>
      <c r="I83" s="5" t="n">
        <v>1</v>
      </c>
      <c r="J83" s="5" t="n">
        <v>1</v>
      </c>
      <c r="O83">
        <f>MAX(O84,O85)</f>
        <v/>
      </c>
      <c r="R83">
        <f>R84+R85</f>
        <v/>
      </c>
      <c r="S83">
        <f>(E83/100000+F83/100+(O83/1000)*J83/5+R83/200)*200*I83*H83</f>
        <v/>
      </c>
      <c r="T83">
        <f>((E83*F83/25000)+((O83/1000)*J83*R83/2.5))*I83*H83</f>
        <v/>
      </c>
      <c r="U83">
        <f>(E83*F83*(O83/1000)*J83*R83*I83*H83)/12500000</f>
        <v/>
      </c>
      <c r="V83">
        <f>(S83+T83+U83)/3</f>
        <v/>
      </c>
      <c r="W83" s="5" t="n">
        <v>240</v>
      </c>
      <c r="X83">
        <f>IFERROR(V83-W83,"")</f>
        <v/>
      </c>
      <c r="Y83">
        <f>IFERROR(ABS(X83)/MAX(W83,1),"")</f>
        <v/>
      </c>
      <c r="Z83">
        <f>IFERROR((W83-(((E83/100000+F83/100+R83/200)*200*I83*H83)+((E83*F83/25000)*I83*H83))/3)/(((J83/5)*200*I83*H83)+((J83*R83/2.5)*I83*H83)+((E83*F83*J83*R83*I83*H83)/12500000))/3*1000,"")</f>
        <v/>
      </c>
    </row>
    <row r="84">
      <c r="B84" s="6" t="inlineStr">
        <is>
          <t xml:space="preserve">  ↳ naxis_sssoldier_smg</t>
        </is>
      </c>
      <c r="C84" s="6" t="inlineStr">
        <is>
          <t>Armament@PRIMARY</t>
        </is>
      </c>
      <c r="K84" s="5" t="n">
        <v>2000</v>
      </c>
      <c r="L84" s="5" t="n">
        <v>75</v>
      </c>
      <c r="M84" s="5" t="n">
        <v>10</v>
      </c>
      <c r="N84" s="5" t="n">
        <v>0</v>
      </c>
      <c r="O84" s="5" t="n">
        <v>4000</v>
      </c>
      <c r="P84" s="5" t="n">
        <v>0.875</v>
      </c>
      <c r="Q84">
        <f>L84+IF(M84&gt;1,N(N84)*(M84-1),0)</f>
        <v/>
      </c>
      <c r="R84">
        <f>IFERROR(K84*MAX(M84,1)/Q84*P84,0)</f>
        <v/>
      </c>
      <c r="AA84" s="6" t="inlineStr">
        <is>
          <t>^SmallArms, ^Chaingun</t>
        </is>
      </c>
    </row>
    <row r="85">
      <c r="B85" s="6" t="inlineStr">
        <is>
          <t xml:space="preserve">  ↳ naxis_sssoldier_smg_elite</t>
        </is>
      </c>
      <c r="C85" s="6" t="inlineStr">
        <is>
          <t>Armament@ELITE</t>
        </is>
      </c>
      <c r="K85" s="5" t="n">
        <v>2000</v>
      </c>
      <c r="L85" s="5" t="n">
        <v>75</v>
      </c>
      <c r="M85" s="5" t="n">
        <v>13</v>
      </c>
      <c r="N85" s="5" t="n">
        <v>0</v>
      </c>
      <c r="O85" s="5" t="n">
        <v>4000</v>
      </c>
      <c r="P85" s="5" t="n">
        <v>0.875</v>
      </c>
      <c r="Q85">
        <f>L85+IF(M85&gt;1,N(N85)*(M85-1),0)</f>
        <v/>
      </c>
      <c r="R85">
        <f>IFERROR(K85*MAX(M85,1)/Q85*P85,0)</f>
        <v/>
      </c>
      <c r="AA85" s="6" t="inlineStr">
        <is>
          <t>^SmallArms, ^Chaingun</t>
        </is>
      </c>
    </row>
    <row r="86">
      <c r="B86" s="6" t="inlineStr">
        <is>
          <t xml:space="preserve">  ↳ naxis_sssoldier_smg</t>
        </is>
      </c>
      <c r="C86" s="6" t="inlineStr">
        <is>
          <t>Armament@GARRISONED</t>
        </is>
      </c>
      <c r="K86" s="5" t="n">
        <v>2000</v>
      </c>
      <c r="L86" s="5" t="n">
        <v>75</v>
      </c>
      <c r="M86" s="5" t="n">
        <v>10</v>
      </c>
      <c r="N86" s="5" t="n">
        <v>0</v>
      </c>
      <c r="O86" s="5" t="n">
        <v>4000</v>
      </c>
      <c r="P86" s="5" t="n">
        <v>0.875</v>
      </c>
      <c r="Q86">
        <f>L86+IF(M86&gt;1,N(N86)*(M86-1),0)</f>
        <v/>
      </c>
      <c r="R86">
        <f>IFERROR(K86*MAX(M86,1)/Q86*P86,0)</f>
        <v/>
      </c>
      <c r="AA86" s="6" t="inlineStr">
        <is>
          <t>^SmallArms, ^Chaingun</t>
        </is>
      </c>
    </row>
    <row r="87">
      <c r="B87" s="6" t="inlineStr">
        <is>
          <t xml:space="preserve">  ↳ naxis_sssoldier_smg_elite</t>
        </is>
      </c>
      <c r="C87" s="6" t="inlineStr">
        <is>
          <t>Armament@GARRISONEDELITE</t>
        </is>
      </c>
      <c r="K87" s="5" t="n">
        <v>2000</v>
      </c>
      <c r="L87" s="5" t="n">
        <v>75</v>
      </c>
      <c r="M87" s="5" t="n">
        <v>13</v>
      </c>
      <c r="N87" s="5" t="n">
        <v>0</v>
      </c>
      <c r="O87" s="5" t="n">
        <v>4000</v>
      </c>
      <c r="P87" s="5" t="n">
        <v>0.875</v>
      </c>
      <c r="Q87">
        <f>L87+IF(M87&gt;1,N(N87)*(M87-1),0)</f>
        <v/>
      </c>
      <c r="R87">
        <f>IFERROR(K87*MAX(M87,1)/Q87*P87,0)</f>
        <v/>
      </c>
      <c r="AA87" s="6" t="inlineStr">
        <is>
          <t>^SmallArms, ^Chaingun</t>
        </is>
      </c>
    </row>
    <row r="88">
      <c r="A88" t="inlineStr">
        <is>
          <t>redalert2mod</t>
        </is>
      </c>
      <c r="B88" t="inlineStr">
        <is>
          <t>undead.nax</t>
        </is>
      </c>
      <c r="C88" t="inlineStr">
        <is>
          <t>Undead Soldier</t>
        </is>
      </c>
      <c r="D88" t="inlineStr"/>
      <c r="E88" s="5" t="n">
        <v>15000</v>
      </c>
      <c r="F88" s="5" t="n">
        <v>50</v>
      </c>
      <c r="G88" t="inlineStr">
        <is>
          <t>None</t>
        </is>
      </c>
      <c r="H88" s="5" t="n">
        <v>1</v>
      </c>
      <c r="I88" s="5" t="n">
        <v>1</v>
      </c>
      <c r="J88" s="5" t="n">
        <v>1</v>
      </c>
      <c r="O88">
        <f>MAX(O89,O90)</f>
        <v/>
      </c>
      <c r="R88">
        <f>R89+R90</f>
        <v/>
      </c>
      <c r="S88">
        <f>(E88/100000+F88/100+(O88/1000)*J88/5+R88/200)*200*I88*H88</f>
        <v/>
      </c>
      <c r="T88">
        <f>((E88*F88/25000)+((O88/1000)*J88*R88/2.5))*I88*H88</f>
        <v/>
      </c>
      <c r="U88">
        <f>(E88*F88*(O88/1000)*J88*R88*I88*H88)/12500000</f>
        <v/>
      </c>
      <c r="V88">
        <f>(S88+T88+U88)/3</f>
        <v/>
      </c>
      <c r="W88" s="5" t="n">
        <v>100</v>
      </c>
      <c r="X88">
        <f>IFERROR(V88-W88,"")</f>
        <v/>
      </c>
      <c r="Y88">
        <f>IFERROR(ABS(X88)/MAX(W88,1),"")</f>
        <v/>
      </c>
      <c r="Z88">
        <f>IFERROR((W88-(((E88/100000+F88/100+R88/200)*200*I88*H88)+((E88*F88/25000)*I88*H88))/3)/(((J88/5)*200*I88*H88)+((J88*R88/2.5)*I88*H88)+((E88*F88*J88*R88*I88*H88)/12500000))/3*1000,"")</f>
        <v/>
      </c>
    </row>
    <row r="89">
      <c r="B89" s="6" t="inlineStr">
        <is>
          <t xml:space="preserve">  ↳ NaxiRifle</t>
        </is>
      </c>
      <c r="C89" s="6" t="inlineStr">
        <is>
          <t>Armament@PRIMARY</t>
        </is>
      </c>
      <c r="K89" s="5" t="n">
        <v>6000</v>
      </c>
      <c r="L89" s="5" t="n">
        <v>75</v>
      </c>
      <c r="M89" s="5" t="n">
        <v>1</v>
      </c>
      <c r="N89" s="5" t="n"/>
      <c r="O89" s="5" t="n">
        <v>5621</v>
      </c>
      <c r="P89" s="5" t="n">
        <v>1</v>
      </c>
      <c r="Q89">
        <f>L89+IF(M89&gt;1,N(N89)*(M89-1),0)</f>
        <v/>
      </c>
      <c r="R89">
        <f>IFERROR(K89*MAX(M89,1)/Q89*P89,0)</f>
        <v/>
      </c>
      <c r="AA89" s="6" t="inlineStr">
        <is>
          <t>^SmallArms</t>
        </is>
      </c>
    </row>
    <row r="90">
      <c r="B90" s="6" t="inlineStr">
        <is>
          <t xml:space="preserve">  ↳ NaxiRifleE</t>
        </is>
      </c>
      <c r="C90" s="6" t="inlineStr">
        <is>
          <t>Armament@ELITE</t>
        </is>
      </c>
      <c r="K90" s="5" t="n">
        <v>6000</v>
      </c>
      <c r="L90" s="5" t="n">
        <v>75</v>
      </c>
      <c r="M90" s="5" t="n">
        <v>2</v>
      </c>
      <c r="N90" s="5" t="n">
        <v>3</v>
      </c>
      <c r="O90" s="5" t="n">
        <v>6621</v>
      </c>
      <c r="P90" s="5" t="n">
        <v>1</v>
      </c>
      <c r="Q90">
        <f>L90+IF(M90&gt;1,N(N90)*(M90-1),0)</f>
        <v/>
      </c>
      <c r="R90">
        <f>IFERROR(K90*MAX(M90,1)/Q90*P90,0)</f>
        <v/>
      </c>
      <c r="AA90" s="6" t="inlineStr">
        <is>
          <t>^SmallArms</t>
        </is>
      </c>
    </row>
    <row r="91">
      <c r="B91" s="6" t="inlineStr">
        <is>
          <t xml:space="preserve">  ↳ NaxiRifle</t>
        </is>
      </c>
      <c r="C91" s="6" t="inlineStr">
        <is>
          <t>Armament@GARRISONED</t>
        </is>
      </c>
      <c r="K91" s="5" t="n">
        <v>6000</v>
      </c>
      <c r="L91" s="5" t="n">
        <v>75</v>
      </c>
      <c r="M91" s="5" t="n">
        <v>1</v>
      </c>
      <c r="N91" s="5" t="n"/>
      <c r="O91" s="5" t="n">
        <v>5621</v>
      </c>
      <c r="P91" s="5" t="n">
        <v>1</v>
      </c>
      <c r="Q91">
        <f>L91+IF(M91&gt;1,N(N91)*(M91-1),0)</f>
        <v/>
      </c>
      <c r="R91">
        <f>IFERROR(K91*MAX(M91,1)/Q91*P91,0)</f>
        <v/>
      </c>
      <c r="AA91" s="6" t="inlineStr">
        <is>
          <t>^SmallArms</t>
        </is>
      </c>
    </row>
    <row r="92">
      <c r="B92" s="6" t="inlineStr">
        <is>
          <t xml:space="preserve">  ↳ NaxiRifleE</t>
        </is>
      </c>
      <c r="C92" s="6" t="inlineStr">
        <is>
          <t>Armament@GARRISONEDELITE</t>
        </is>
      </c>
      <c r="K92" s="5" t="n">
        <v>6000</v>
      </c>
      <c r="L92" s="5" t="n">
        <v>75</v>
      </c>
      <c r="M92" s="5" t="n">
        <v>2</v>
      </c>
      <c r="N92" s="5" t="n">
        <v>3</v>
      </c>
      <c r="O92" s="5" t="n">
        <v>6621</v>
      </c>
      <c r="P92" s="5" t="n">
        <v>1</v>
      </c>
      <c r="Q92">
        <f>L92+IF(M92&gt;1,N(N92)*(M92-1),0)</f>
        <v/>
      </c>
      <c r="R92">
        <f>IFERROR(K92*MAX(M92,1)/Q92*P92,0)</f>
        <v/>
      </c>
      <c r="AA92" s="6" t="inlineStr">
        <is>
          <t>^SmallArms</t>
        </is>
      </c>
    </row>
    <row r="93">
      <c r="A93" s="3" t="inlineStr">
        <is>
          <t>VEHICLES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</row>
    <row r="94">
      <c r="A94" t="inlineStr">
        <is>
          <t>redalert2mod</t>
        </is>
      </c>
      <c r="B94" t="inlineStr">
        <is>
          <t>assault.nax</t>
        </is>
      </c>
      <c r="C94" t="inlineStr">
        <is>
          <t>Imperial Assault Tank</t>
        </is>
      </c>
      <c r="D94" t="inlineStr"/>
      <c r="E94" s="5" t="n">
        <v>130000</v>
      </c>
      <c r="F94" s="5" t="n">
        <v>100</v>
      </c>
      <c r="G94" t="inlineStr">
        <is>
          <t>Heavy</t>
        </is>
      </c>
      <c r="H94" s="5" t="n">
        <v>1</v>
      </c>
      <c r="I94" s="5" t="n">
        <v>1</v>
      </c>
      <c r="J94" s="5" t="n">
        <v>1</v>
      </c>
      <c r="O94">
        <f>MAX(O95,O96,O97)</f>
        <v/>
      </c>
      <c r="R94">
        <f>R95+R96+R97</f>
        <v/>
      </c>
      <c r="S94">
        <f>(E94/100000+F94/100+(O94/1000)*J94/5+R94/200)*200*I94*H94</f>
        <v/>
      </c>
      <c r="T94">
        <f>((E94*F94/25000)+((O94/1000)*J94*R94/2.5))*I94*H94</f>
        <v/>
      </c>
      <c r="U94">
        <f>(E94*F94*(O94/1000)*J94*R94*I94*H94)/12500000</f>
        <v/>
      </c>
      <c r="V94">
        <f>(S94+T94+U94)/3</f>
        <v/>
      </c>
      <c r="W94" s="5" t="n">
        <v>900</v>
      </c>
      <c r="X94">
        <f>IFERROR(V94-W94,"")</f>
        <v/>
      </c>
      <c r="Y94">
        <f>IFERROR(ABS(X94)/MAX(W94,1),"")</f>
        <v/>
      </c>
      <c r="Z94">
        <f>IFERROR((W94-(((E94/100000+F94/100+R94/200)*200*I94*H94)+((E94*F94/25000)*I94*H94))/3)/(((J94/5)*200*I94*H94)+((J94*R94/2.5)*I94*H94)+((E94*F94*J94*R94*I94*H94)/12500000))/3*1000,"")</f>
        <v/>
      </c>
    </row>
    <row r="95">
      <c r="B95" s="6" t="inlineStr">
        <is>
          <t xml:space="preserve">  ↳ Nax120mmAssault</t>
        </is>
      </c>
      <c r="C95" s="6" t="inlineStr">
        <is>
          <t>Armament</t>
        </is>
      </c>
      <c r="K95" s="5" t="n">
        <v>10000</v>
      </c>
      <c r="L95" s="5" t="n">
        <v>28</v>
      </c>
      <c r="M95" s="5" t="n">
        <v>1</v>
      </c>
      <c r="N95" s="5" t="n"/>
      <c r="O95" s="5" t="n">
        <v>5200</v>
      </c>
      <c r="P95" s="5" t="n">
        <v>1</v>
      </c>
      <c r="Q95">
        <f>L95+IF(M95&gt;1,N(N95)*(M95-1),0)</f>
        <v/>
      </c>
      <c r="R95">
        <f>IFERROR(K95*MAX(M95,1)/Q95*P95,0)</f>
        <v/>
      </c>
      <c r="AA95" s="6" t="inlineStr">
        <is>
          <t>^RA2MediumCannon</t>
        </is>
      </c>
    </row>
    <row r="96">
      <c r="B96" s="6" t="inlineStr">
        <is>
          <t xml:space="preserve">  ↳ Nax120mmAssault_elite</t>
        </is>
      </c>
      <c r="C96" s="6" t="inlineStr">
        <is>
          <t>Armament@elite</t>
        </is>
      </c>
      <c r="K96" s="5" t="n">
        <v>10000</v>
      </c>
      <c r="L96" s="5" t="n">
        <v>28</v>
      </c>
      <c r="M96" s="5" t="n">
        <v>2</v>
      </c>
      <c r="N96" s="5" t="n">
        <v>3</v>
      </c>
      <c r="O96" s="5" t="n">
        <v>6200</v>
      </c>
      <c r="P96" s="5" t="n">
        <v>1</v>
      </c>
      <c r="Q96">
        <f>L96+IF(M96&gt;1,N(N96)*(M96-1),0)</f>
        <v/>
      </c>
      <c r="R96">
        <f>IFERROR(K96*MAX(M96,1)/Q96*P96,0)</f>
        <v/>
      </c>
      <c r="AA96" s="6" t="inlineStr">
        <is>
          <t>^RA2MediumCannon, ^RA2EliteEffects</t>
        </is>
      </c>
    </row>
    <row r="97">
      <c r="B97" s="6" t="inlineStr">
        <is>
          <t xml:space="preserve">  ↳ SyndicateFireballLauncher</t>
        </is>
      </c>
      <c r="C97" s="6" t="inlineStr">
        <is>
          <t>Armament@Flam</t>
        </is>
      </c>
      <c r="K97" s="5" t="n">
        <v>2000</v>
      </c>
      <c r="L97" s="5" t="n">
        <v>44</v>
      </c>
      <c r="M97" s="5" t="n">
        <v>4</v>
      </c>
      <c r="N97" s="5" t="n">
        <v>4</v>
      </c>
      <c r="O97" s="5" t="n">
        <v>5555</v>
      </c>
      <c r="P97" s="5" t="n">
        <v>1</v>
      </c>
      <c r="Q97">
        <f>L97+IF(M97&gt;1,N(N97)*(M97-1),0)</f>
        <v/>
      </c>
      <c r="R97">
        <f>IFERROR(K97*MAX(M97,1)/Q97*P97,0)</f>
        <v/>
      </c>
      <c r="AA97" s="6" t="inlineStr">
        <is>
          <t>^LightFlameWeapon, ^MediumFlameWeapon, ^HeavyFlameWeapon</t>
        </is>
      </c>
    </row>
    <row r="98">
      <c r="A98" t="inlineStr">
        <is>
          <t>redalert2mod</t>
        </is>
      </c>
      <c r="B98" t="inlineStr">
        <is>
          <t>car.nax</t>
        </is>
      </c>
      <c r="C98" t="inlineStr">
        <is>
          <t>Combat Car</t>
        </is>
      </c>
      <c r="D98" t="inlineStr"/>
      <c r="E98" s="5" t="n">
        <v>47500</v>
      </c>
      <c r="F98" s="5" t="n">
        <v>85</v>
      </c>
      <c r="G98" t="inlineStr">
        <is>
          <t>Medium</t>
        </is>
      </c>
      <c r="H98" s="5" t="n">
        <v>1</v>
      </c>
      <c r="I98" s="5" t="n">
        <v>1</v>
      </c>
      <c r="J98" s="5" t="n">
        <v>1</v>
      </c>
      <c r="O98">
        <f>MAX(O99,O100)</f>
        <v/>
      </c>
      <c r="R98">
        <f>R99+R100</f>
        <v/>
      </c>
      <c r="S98">
        <f>(E98/100000+F98/100+(O98/1000)*J98/5+R98/200)*200*I98*H98</f>
        <v/>
      </c>
      <c r="T98">
        <f>((E98*F98/25000)+((O98/1000)*J98*R98/2.5))*I98*H98</f>
        <v/>
      </c>
      <c r="U98">
        <f>(E98*F98*(O98/1000)*J98*R98*I98*H98)/12500000</f>
        <v/>
      </c>
      <c r="V98">
        <f>(S98+T98+U98)/3</f>
        <v/>
      </c>
      <c r="W98" s="5" t="n">
        <v>800</v>
      </c>
      <c r="X98">
        <f>IFERROR(V98-W98,"")</f>
        <v/>
      </c>
      <c r="Y98">
        <f>IFERROR(ABS(X98)/MAX(W98,1),"")</f>
        <v/>
      </c>
      <c r="Z98">
        <f>IFERROR((W98-(((E98/100000+F98/100+R98/200)*200*I98*H98)+((E98*F98/25000)*I98*H98))/3)/(((J98/5)*200*I98*H98)+((J98*R98/2.5)*I98*H98)+((E98*F98*J98*R98*I98*H98)/12500000))/3*1000,"")</f>
        <v/>
      </c>
    </row>
    <row r="99">
      <c r="B99" s="6" t="inlineStr">
        <is>
          <t xml:space="preserve">  ↳ NaxiWW2MachinegunTop</t>
        </is>
      </c>
      <c r="C99" s="6" t="inlineStr">
        <is>
          <t>Armament</t>
        </is>
      </c>
      <c r="K99" s="5" t="n">
        <v>4000</v>
      </c>
      <c r="L99" s="5" t="n">
        <v>60</v>
      </c>
      <c r="M99" s="5" t="n">
        <v>6</v>
      </c>
      <c r="N99" s="5" t="n">
        <v>4</v>
      </c>
      <c r="O99" s="5" t="n">
        <v>7555</v>
      </c>
      <c r="P99" s="5" t="n">
        <v>1</v>
      </c>
      <c r="Q99">
        <f>L99+IF(M99&gt;1,N(N99)*(M99-1),0)</f>
        <v/>
      </c>
      <c r="R99">
        <f>IFERROR(K99*MAX(M99,1)/Q99*P99,0)</f>
        <v/>
      </c>
      <c r="AA99" s="6" t="inlineStr">
        <is>
          <t>^RA2SmallArms, ^RA2Chaingun</t>
        </is>
      </c>
    </row>
    <row r="100">
      <c r="B100" s="6" t="inlineStr">
        <is>
          <t xml:space="preserve">  ↳ NaxiWW2MachinegunTopAA</t>
        </is>
      </c>
      <c r="C100" s="6" t="inlineStr">
        <is>
          <t>Armament@AA</t>
        </is>
      </c>
      <c r="K100" s="5" t="n">
        <v>4000</v>
      </c>
      <c r="L100" s="5" t="n">
        <v>60</v>
      </c>
      <c r="M100" s="5" t="n">
        <v>6</v>
      </c>
      <c r="N100" s="5" t="n">
        <v>4</v>
      </c>
      <c r="O100" s="5" t="n">
        <v>7555</v>
      </c>
      <c r="P100" s="5" t="n">
        <v>1</v>
      </c>
      <c r="Q100">
        <f>L100+IF(M100&gt;1,N(N100)*(M100-1),0)</f>
        <v/>
      </c>
      <c r="R100">
        <f>IFERROR(K100*MAX(M100,1)/Q100*P100,0)</f>
        <v/>
      </c>
      <c r="AA100" s="6" t="inlineStr">
        <is>
          <t>^RA2SmallArms, ^RA2Chaingun</t>
        </is>
      </c>
    </row>
    <row r="101">
      <c r="A101" t="inlineStr">
        <is>
          <t>redalert2mod</t>
        </is>
      </c>
      <c r="B101" t="inlineStr">
        <is>
          <t>naxis_brummbr</t>
        </is>
      </c>
      <c r="C101" t="inlineStr">
        <is>
          <t>Brummbär</t>
        </is>
      </c>
      <c r="D101" t="inlineStr"/>
      <c r="E101" s="5" t="n">
        <v>90000</v>
      </c>
      <c r="F101" s="5" t="n">
        <v>60</v>
      </c>
      <c r="G101" t="inlineStr">
        <is>
          <t>Light</t>
        </is>
      </c>
      <c r="H101" s="5" t="n">
        <v>1</v>
      </c>
      <c r="I101" s="5" t="n">
        <v>0.5</v>
      </c>
      <c r="J101" s="5" t="n">
        <v>1</v>
      </c>
      <c r="O101">
        <f>MAX(O102,O103)</f>
        <v/>
      </c>
      <c r="R101">
        <f>R102+R103</f>
        <v/>
      </c>
      <c r="S101">
        <f>(E101/100000+F101/100+(O101/1000)*J101/5+R101/200)*200*I101*H101</f>
        <v/>
      </c>
      <c r="T101">
        <f>((E101*F101/25000)+((O101/1000)*J101*R101/2.5))*I101*H101</f>
        <v/>
      </c>
      <c r="U101">
        <f>(E101*F101*(O101/1000)*J101*R101*I101*H101)/12500000</f>
        <v/>
      </c>
      <c r="V101">
        <f>(S101+T101+U101)/3</f>
        <v/>
      </c>
      <c r="W101" s="5" t="n">
        <v>1100</v>
      </c>
      <c r="X101">
        <f>IFERROR(V101-W101,"")</f>
        <v/>
      </c>
      <c r="Y101">
        <f>IFERROR(ABS(X101)/MAX(W101,1),"")</f>
        <v/>
      </c>
      <c r="Z101">
        <f>IFERROR((W101-(((E101/100000+F101/100+R101/200)*200*I101*H101)+((E101*F101/25000)*I101*H101))/3)/(((J101/5)*200*I101*H101)+((J101*R101/2.5)*I101*H101)+((E101*F101*J101*R101*I101*H101)/12500000))/3*1000,"")</f>
        <v/>
      </c>
    </row>
    <row r="102">
      <c r="B102" s="6" t="inlineStr">
        <is>
          <t xml:space="preserve">  ↳ NaxBrummbarArty</t>
        </is>
      </c>
      <c r="C102" s="6" t="inlineStr">
        <is>
          <t>Armament@AG</t>
        </is>
      </c>
      <c r="K102" s="5" t="n">
        <v>14000</v>
      </c>
      <c r="L102" s="5" t="n">
        <v>140</v>
      </c>
      <c r="M102" s="5" t="n">
        <v>1</v>
      </c>
      <c r="N102" s="5" t="n"/>
      <c r="O102" s="5" t="n">
        <v>14000</v>
      </c>
      <c r="P102" s="5" t="n">
        <v>1</v>
      </c>
      <c r="Q102">
        <f>L102+IF(M102&gt;1,N(N102)*(M102-1),0)</f>
        <v/>
      </c>
      <c r="R102">
        <f>IFERROR(K102*MAX(M102,1)/Q102*P102,0)</f>
        <v/>
      </c>
      <c r="AA102" s="6" t="inlineStr">
        <is>
          <t>^HeavyBomb, ^HeavyCannon, ^ShrapnelWeapon, ^RA2MediumCannon</t>
        </is>
      </c>
    </row>
    <row r="103">
      <c r="B103" s="6" t="inlineStr">
        <is>
          <t xml:space="preserve">  ↳ NaxBrummbarArtyE</t>
        </is>
      </c>
      <c r="C103" s="6" t="inlineStr">
        <is>
          <t>Armament@elite</t>
        </is>
      </c>
      <c r="K103" s="5" t="n">
        <v>14000</v>
      </c>
      <c r="L103" s="5" t="n">
        <v>140</v>
      </c>
      <c r="M103" s="5" t="n">
        <v>2</v>
      </c>
      <c r="N103" s="5" t="n">
        <v>3</v>
      </c>
      <c r="O103" s="5" t="n">
        <v>15000</v>
      </c>
      <c r="P103" s="5" t="n">
        <v>1</v>
      </c>
      <c r="Q103">
        <f>L103+IF(M103&gt;1,N(N103)*(M103-1),0)</f>
        <v/>
      </c>
      <c r="R103">
        <f>IFERROR(K103*MAX(M103,1)/Q103*P103,0)</f>
        <v/>
      </c>
      <c r="AA103" s="6" t="inlineStr">
        <is>
          <t>^HeavyBomb, ^HeavyCannon, ^ShrapnelWeapon, ^RA2MediumCannon, ^RA2EliteEffects</t>
        </is>
      </c>
    </row>
    <row r="104">
      <c r="A104" t="inlineStr">
        <is>
          <t>redalert2mod</t>
        </is>
      </c>
      <c r="B104" t="inlineStr">
        <is>
          <t>naxis_donnerschlag</t>
        </is>
      </c>
      <c r="C104" t="inlineStr">
        <is>
          <t>Donnerschlag</t>
        </is>
      </c>
      <c r="D104" t="inlineStr"/>
      <c r="E104" s="5" t="n">
        <v>80000</v>
      </c>
      <c r="F104" s="5" t="n">
        <v>40</v>
      </c>
      <c r="G104" t="inlineStr">
        <is>
          <t>Medium</t>
        </is>
      </c>
      <c r="H104" s="5" t="n">
        <v>1</v>
      </c>
      <c r="I104" s="5" t="n">
        <v>0.5</v>
      </c>
      <c r="J104" s="5" t="n">
        <v>1</v>
      </c>
      <c r="O104">
        <f>MAX(O105,O106)</f>
        <v/>
      </c>
      <c r="R104">
        <f>R105+R106</f>
        <v/>
      </c>
      <c r="S104">
        <f>(E104/100000+F104/100+(O104/1000)*J104/5+R104/200)*200*I104*H104</f>
        <v/>
      </c>
      <c r="T104">
        <f>((E104*F104/25000)+((O104/1000)*J104*R104/2.5))*I104*H104</f>
        <v/>
      </c>
      <c r="U104">
        <f>(E104*F104*(O104/1000)*J104*R104*I104*H104)/12500000</f>
        <v/>
      </c>
      <c r="V104">
        <f>(S104+T104+U104)/3</f>
        <v/>
      </c>
      <c r="W104" s="5" t="n">
        <v>2300</v>
      </c>
      <c r="X104">
        <f>IFERROR(V104-W104,"")</f>
        <v/>
      </c>
      <c r="Y104">
        <f>IFERROR(ABS(X104)/MAX(W104,1),"")</f>
        <v/>
      </c>
      <c r="Z104">
        <f>IFERROR((W104-(((E104/100000+F104/100+R104/200)*200*I104*H104)+((E104*F104/25000)*I104*H104))/3)/(((J104/5)*200*I104*H104)+((J104*R104/2.5)*I104*H104)+((E104*F104*J104*R104*I104*H104)/12500000))/3*1000,"")</f>
        <v/>
      </c>
    </row>
    <row r="105">
      <c r="B105" s="6" t="inlineStr">
        <is>
          <t xml:space="preserve">  ↳ NaxisDonnerschlagTarget</t>
        </is>
      </c>
      <c r="C105" s="6" t="inlineStr">
        <is>
          <t>Armament</t>
        </is>
      </c>
      <c r="K105" s="5" t="n"/>
      <c r="L105" s="5" t="n">
        <v>15</v>
      </c>
      <c r="M105" s="5" t="n">
        <v>1</v>
      </c>
      <c r="N105" s="5" t="n"/>
      <c r="O105" s="5" t="n">
        <v>20130</v>
      </c>
      <c r="P105" s="5" t="n">
        <v>1</v>
      </c>
      <c r="Q105">
        <f>L105+IF(M105&gt;1,N(N105)*(M105-1),0)</f>
        <v/>
      </c>
      <c r="R105">
        <f>IFERROR(K105*MAX(M105,1)/Q105*P105,0)</f>
        <v/>
      </c>
      <c r="AA105" s="6" t="inlineStr"/>
    </row>
    <row r="106">
      <c r="B106" s="6" t="inlineStr">
        <is>
          <t xml:space="preserve">  ↳ NaxisDonnerschlagTargetVisualLaser</t>
        </is>
      </c>
      <c r="C106" s="6" t="inlineStr">
        <is>
          <t>Armament@VISUAL</t>
        </is>
      </c>
      <c r="K106" s="5" t="n"/>
      <c r="L106" s="5" t="n">
        <v>3</v>
      </c>
      <c r="M106" s="5" t="n">
        <v>1</v>
      </c>
      <c r="N106" s="5" t="n"/>
      <c r="O106" s="5" t="n">
        <v>20130</v>
      </c>
      <c r="P106" s="5" t="n">
        <v>1</v>
      </c>
      <c r="Q106">
        <f>L106+IF(M106&gt;1,N(N106)*(M106-1),0)</f>
        <v/>
      </c>
      <c r="R106">
        <f>IFERROR(K106*MAX(M106,1)/Q106*P106,0)</f>
        <v/>
      </c>
      <c r="AA106" s="6" t="inlineStr"/>
    </row>
    <row r="107">
      <c r="A107" t="inlineStr">
        <is>
          <t>redalert2mod</t>
        </is>
      </c>
      <c r="B107" t="inlineStr">
        <is>
          <t>naxis_engineeringtruck</t>
        </is>
      </c>
      <c r="C107" t="inlineStr">
        <is>
          <t>Engineering Truck</t>
        </is>
      </c>
      <c r="D107" t="inlineStr"/>
      <c r="E107" s="5" t="n">
        <v>50000</v>
      </c>
      <c r="F107" s="5" t="n">
        <v>75</v>
      </c>
      <c r="G107" t="inlineStr">
        <is>
          <t>Light</t>
        </is>
      </c>
      <c r="H107" s="5" t="n">
        <v>1</v>
      </c>
      <c r="I107" s="5" t="n">
        <v>0.5</v>
      </c>
      <c r="J107" s="5" t="n">
        <v>2</v>
      </c>
      <c r="O107">
        <f>MAX(O108)</f>
        <v/>
      </c>
      <c r="R107">
        <f>R108</f>
        <v/>
      </c>
      <c r="S107">
        <f>(E107/100000+F107/100+(O107/1000)*J107/5+R107/200)*200*I107*H107</f>
        <v/>
      </c>
      <c r="T107">
        <f>((E107*F107/25000)+((O107/1000)*J107*R107/2.5))*I107*H107</f>
        <v/>
      </c>
      <c r="U107">
        <f>(E107*F107*(O107/1000)*J107*R107*I107*H107)/12500000</f>
        <v/>
      </c>
      <c r="V107">
        <f>(S107+T107+U107)/3</f>
        <v/>
      </c>
      <c r="W107" s="5" t="n">
        <v>1000</v>
      </c>
      <c r="X107">
        <f>IFERROR(V107-W107,"")</f>
        <v/>
      </c>
      <c r="Y107">
        <f>IFERROR(ABS(X107)/MAX(W107,1),"")</f>
        <v/>
      </c>
      <c r="Z107">
        <f>IFERROR((W107-(((E107/100000+F107/100+R107/200)*200*I107*H107)+((E107*F107/25000)*I107*H107))/3)/(((J107/5)*200*I107*H107)+((J107*R107/2.5)*I107*H107)+((E107*F107*J107*R107*I107*H107)/12500000))/3*1000,"")</f>
        <v/>
      </c>
    </row>
    <row r="108">
      <c r="B108" s="6" t="inlineStr">
        <is>
          <t xml:space="preserve">  ↳ RA2IFVRepair</t>
        </is>
      </c>
      <c r="C108" s="6" t="inlineStr">
        <is>
          <t>Armament</t>
        </is>
      </c>
      <c r="K108" s="5" t="n">
        <v>-1</v>
      </c>
      <c r="L108" s="5" t="n">
        <v>50</v>
      </c>
      <c r="M108" s="5" t="n">
        <v>10</v>
      </c>
      <c r="N108" s="5" t="n">
        <v>1</v>
      </c>
      <c r="O108" s="5" t="n">
        <v>5000</v>
      </c>
      <c r="P108" s="5" t="n">
        <v>1</v>
      </c>
      <c r="Q108">
        <f>L108+IF(M108&gt;1,N(N108)*(M108-1),0)</f>
        <v/>
      </c>
      <c r="R108">
        <f>IFERROR(K108*MAX(M108,1)/Q108*P108,0)</f>
        <v/>
      </c>
      <c r="AA108" s="6" t="inlineStr">
        <is>
          <t>^RepairWeapon</t>
        </is>
      </c>
    </row>
    <row r="109">
      <c r="A109" t="inlineStr">
        <is>
          <t>redalert2mod</t>
        </is>
      </c>
      <c r="B109" t="inlineStr">
        <is>
          <t>naxis_grille</t>
        </is>
      </c>
      <c r="C109" t="inlineStr">
        <is>
          <t>Grille</t>
        </is>
      </c>
      <c r="D109" t="inlineStr"/>
      <c r="E109" s="5" t="n">
        <v>40000</v>
      </c>
      <c r="F109" s="5" t="n">
        <v>80</v>
      </c>
      <c r="G109" t="inlineStr">
        <is>
          <t>Light</t>
        </is>
      </c>
      <c r="H109" s="5" t="n">
        <v>1</v>
      </c>
      <c r="I109" s="5" t="n">
        <v>0.5</v>
      </c>
      <c r="J109" s="5" t="n">
        <v>1</v>
      </c>
      <c r="O109">
        <f>MAX(O110,O111)</f>
        <v/>
      </c>
      <c r="R109">
        <f>R110+R111</f>
        <v/>
      </c>
      <c r="S109">
        <f>(E109/100000+F109/100+(O109/1000)*J109/5+R109/200)*200*I109*H109</f>
        <v/>
      </c>
      <c r="T109">
        <f>((E109*F109/25000)+((O109/1000)*J109*R109/2.5))*I109*H109</f>
        <v/>
      </c>
      <c r="U109">
        <f>(E109*F109*(O109/1000)*J109*R109*I109*H109)/12500000</f>
        <v/>
      </c>
      <c r="V109">
        <f>(S109+T109+U109)/3</f>
        <v/>
      </c>
      <c r="W109" s="5" t="n">
        <v>800</v>
      </c>
      <c r="X109">
        <f>IFERROR(V109-W109,"")</f>
        <v/>
      </c>
      <c r="Y109">
        <f>IFERROR(ABS(X109)/MAX(W109,1),"")</f>
        <v/>
      </c>
      <c r="Z109">
        <f>IFERROR((W109-(((E109/100000+F109/100+R109/200)*200*I109*H109)+((E109*F109/25000)*I109*H109))/3)/(((J109/5)*200*I109*H109)+((J109*R109/2.5)*I109*H109)+((E109*F109*J109*R109*I109*H109)/12500000))/3*1000,"")</f>
        <v/>
      </c>
    </row>
    <row r="110">
      <c r="B110" s="6" t="inlineStr">
        <is>
          <t xml:space="preserve">  ↳ NaxGrilleArty</t>
        </is>
      </c>
      <c r="C110" s="6" t="inlineStr">
        <is>
          <t>Armament@AG</t>
        </is>
      </c>
      <c r="K110" s="5" t="n">
        <v>16000</v>
      </c>
      <c r="L110" s="5" t="n">
        <v>111</v>
      </c>
      <c r="M110" s="5" t="n">
        <v>1</v>
      </c>
      <c r="N110" s="5" t="n"/>
      <c r="O110" s="5" t="n">
        <v>12345</v>
      </c>
      <c r="P110" s="5" t="n">
        <v>1</v>
      </c>
      <c r="Q110">
        <f>L110+IF(M110&gt;1,N(N110)*(M110-1),0)</f>
        <v/>
      </c>
      <c r="R110">
        <f>IFERROR(K110*MAX(M110,1)/Q110*P110,0)</f>
        <v/>
      </c>
      <c r="AA110" s="6" t="inlineStr">
        <is>
          <t>^HeavyCannon, ^ShrapnelWeapon, ^RA2Grenade</t>
        </is>
      </c>
    </row>
    <row r="111">
      <c r="B111" s="6" t="inlineStr">
        <is>
          <t xml:space="preserve">  ↳ NaxGrilleArtyE</t>
        </is>
      </c>
      <c r="C111" s="6" t="inlineStr">
        <is>
          <t>Armament@elite</t>
        </is>
      </c>
      <c r="K111" s="5" t="n">
        <v>16000</v>
      </c>
      <c r="L111" s="5" t="n">
        <v>111</v>
      </c>
      <c r="M111" s="5" t="n">
        <v>2</v>
      </c>
      <c r="N111" s="5" t="n">
        <v>3</v>
      </c>
      <c r="O111" s="5" t="n">
        <v>13333</v>
      </c>
      <c r="P111" s="5" t="n">
        <v>1</v>
      </c>
      <c r="Q111">
        <f>L111+IF(M111&gt;1,N(N111)*(M111-1),0)</f>
        <v/>
      </c>
      <c r="R111">
        <f>IFERROR(K111*MAX(M111,1)/Q111*P111,0)</f>
        <v/>
      </c>
      <c r="AA111" s="6" t="inlineStr">
        <is>
          <t>^HeavyCannon, ^ShrapnelWeapon, ^RA2Grenade, ^RA2EliteEffects</t>
        </is>
      </c>
    </row>
    <row r="112">
      <c r="A112" t="inlineStr">
        <is>
          <t>redalert2mod</t>
        </is>
      </c>
      <c r="B112" t="inlineStr">
        <is>
          <t>naxis_halftrack</t>
        </is>
      </c>
      <c r="C112" t="inlineStr">
        <is>
          <t>Halftrack</t>
        </is>
      </c>
      <c r="D112" t="inlineStr"/>
      <c r="E112" s="5" t="n">
        <v>115000</v>
      </c>
      <c r="F112" s="5" t="n">
        <v>115</v>
      </c>
      <c r="G112" t="inlineStr">
        <is>
          <t>Medium</t>
        </is>
      </c>
      <c r="H112" s="5" t="n">
        <v>1</v>
      </c>
      <c r="I112" s="5" t="n">
        <v>1</v>
      </c>
      <c r="J112" s="5" t="n">
        <v>1</v>
      </c>
      <c r="O112">
        <f>MAX(O113,O114)</f>
        <v/>
      </c>
      <c r="R112">
        <f>R113+R114</f>
        <v/>
      </c>
      <c r="S112">
        <f>(E112/100000+F112/100+(O112/1000)*J112/5+R112/200)*200*I112*H112</f>
        <v/>
      </c>
      <c r="T112">
        <f>((E112*F112/25000)+((O112/1000)*J112*R112/2.5))*I112*H112</f>
        <v/>
      </c>
      <c r="U112">
        <f>(E112*F112*(O112/1000)*J112*R112*I112*H112)/12500000</f>
        <v/>
      </c>
      <c r="V112">
        <f>(S112+T112+U112)/3</f>
        <v/>
      </c>
      <c r="W112" s="5" t="n">
        <v>2500</v>
      </c>
      <c r="X112">
        <f>IFERROR(V112-W112,"")</f>
        <v/>
      </c>
      <c r="Y112">
        <f>IFERROR(ABS(X112)/MAX(W112,1),"")</f>
        <v/>
      </c>
      <c r="Z112">
        <f>IFERROR((W112-(((E112/100000+F112/100+R112/200)*200*I112*H112)+((E112*F112/25000)*I112*H112))/3)/(((J112/5)*200*I112*H112)+((J112*R112/2.5)*I112*H112)+((E112*F112*J112*R112*I112*H112)/12500000))/3*1000,"")</f>
        <v/>
      </c>
    </row>
    <row r="113">
      <c r="B113" s="6" t="inlineStr">
        <is>
          <t xml:space="preserve">  ↳ NaxiWW2Machinegun</t>
        </is>
      </c>
      <c r="C113" s="6" t="inlineStr">
        <is>
          <t>Armament@AG</t>
        </is>
      </c>
      <c r="K113" s="5" t="n">
        <v>4000</v>
      </c>
      <c r="L113" s="5" t="n">
        <v>60</v>
      </c>
      <c r="M113" s="5" t="n">
        <v>6</v>
      </c>
      <c r="N113" s="5" t="n">
        <v>4</v>
      </c>
      <c r="O113" s="5" t="n">
        <v>5570</v>
      </c>
      <c r="P113" s="5" t="n">
        <v>1</v>
      </c>
      <c r="Q113">
        <f>L113+IF(M113&gt;1,N(N113)*(M113-1),0)</f>
        <v/>
      </c>
      <c r="R113">
        <f>IFERROR(K113*MAX(M113,1)/Q113*P113,0)</f>
        <v/>
      </c>
      <c r="AA113" s="6" t="inlineStr">
        <is>
          <t>^RA2SmallArms, ^RA2Chaingun</t>
        </is>
      </c>
    </row>
    <row r="114">
      <c r="B114" s="6" t="inlineStr">
        <is>
          <t xml:space="preserve">  ↳ NaxiWW2MachinegunAA</t>
        </is>
      </c>
      <c r="C114" s="6" t="inlineStr">
        <is>
          <t>Armament@AA</t>
        </is>
      </c>
      <c r="K114" s="5" t="n">
        <v>4000</v>
      </c>
      <c r="L114" s="5" t="n">
        <v>60</v>
      </c>
      <c r="M114" s="5" t="n">
        <v>6</v>
      </c>
      <c r="N114" s="5" t="n">
        <v>4</v>
      </c>
      <c r="O114" s="5" t="n">
        <v>8355</v>
      </c>
      <c r="P114" s="5" t="n">
        <v>1</v>
      </c>
      <c r="Q114">
        <f>L114+IF(M114&gt;1,N(N114)*(M114-1),0)</f>
        <v/>
      </c>
      <c r="R114">
        <f>IFERROR(K114*MAX(M114,1)/Q114*P114,0)</f>
        <v/>
      </c>
      <c r="AA114" s="6" t="inlineStr">
        <is>
          <t>^RA2SmallArms, ^RA2Chaingun</t>
        </is>
      </c>
    </row>
    <row r="115">
      <c r="A115" t="inlineStr">
        <is>
          <t>redalert2mod</t>
        </is>
      </c>
      <c r="B115" t="inlineStr">
        <is>
          <t>naxis_hetzer</t>
        </is>
      </c>
      <c r="C115" t="inlineStr">
        <is>
          <t>Hetzer</t>
        </is>
      </c>
      <c r="D115" t="inlineStr"/>
      <c r="E115" s="5" t="n">
        <v>75000</v>
      </c>
      <c r="F115" s="5" t="n">
        <v>75</v>
      </c>
      <c r="G115" t="inlineStr">
        <is>
          <t>Medium</t>
        </is>
      </c>
      <c r="H115" s="5" t="n">
        <v>1</v>
      </c>
      <c r="I115" s="5" t="n">
        <v>1</v>
      </c>
      <c r="J115" s="5" t="n">
        <v>1</v>
      </c>
      <c r="O115">
        <f>MAX(O116,O117)</f>
        <v/>
      </c>
      <c r="R115">
        <f>R116+R117</f>
        <v/>
      </c>
      <c r="S115">
        <f>(E115/100000+F115/100+(O115/1000)*J115/5+R115/200)*200*I115*H115</f>
        <v/>
      </c>
      <c r="T115">
        <f>((E115*F115/25000)+((O115/1000)*J115*R115/2.5))*I115*H115</f>
        <v/>
      </c>
      <c r="U115">
        <f>(E115*F115*(O115/1000)*J115*R115*I115*H115)/12500000</f>
        <v/>
      </c>
      <c r="V115">
        <f>(S115+T115+U115)/3</f>
        <v/>
      </c>
      <c r="W115" s="5" t="n">
        <v>1300</v>
      </c>
      <c r="X115">
        <f>IFERROR(V115-W115,"")</f>
        <v/>
      </c>
      <c r="Y115">
        <f>IFERROR(ABS(X115)/MAX(W115,1),"")</f>
        <v/>
      </c>
      <c r="Z115">
        <f>IFERROR((W115-(((E115/100000+F115/100+R115/200)*200*I115*H115)+((E115*F115/25000)*I115*H115))/3)/(((J115/5)*200*I115*H115)+((J115*R115/2.5)*I115*H115)+((E115*F115*J115*R115*I115*H115)/12500000))/3*1000,"")</f>
        <v/>
      </c>
    </row>
    <row r="116">
      <c r="B116" s="6" t="inlineStr">
        <is>
          <t xml:space="preserve">  ↳ NaxiHetzerDestroyer</t>
        </is>
      </c>
      <c r="C116" s="6" t="inlineStr">
        <is>
          <t>Armament@AG</t>
        </is>
      </c>
      <c r="K116" s="5" t="n">
        <v>20000</v>
      </c>
      <c r="L116" s="5" t="n">
        <v>80</v>
      </c>
      <c r="M116" s="5" t="n">
        <v>1</v>
      </c>
      <c r="N116" s="5" t="n"/>
      <c r="O116" s="5" t="n">
        <v>7132</v>
      </c>
      <c r="P116" s="5" t="n">
        <v>1</v>
      </c>
      <c r="Q116">
        <f>L116+IF(M116&gt;1,N(N116)*(M116-1),0)</f>
        <v/>
      </c>
      <c r="R116">
        <f>IFERROR(K116*MAX(M116,1)/Q116*P116,0)</f>
        <v/>
      </c>
      <c r="AA116" s="6" t="inlineStr">
        <is>
          <t>^MediumCannon, ^RA2TankDestroyerCannon</t>
        </is>
      </c>
    </row>
    <row r="117">
      <c r="B117" s="6" t="inlineStr">
        <is>
          <t xml:space="preserve">  ↳ NaxiHetzerDestroyer_elite</t>
        </is>
      </c>
      <c r="C117" s="6" t="inlineStr">
        <is>
          <t>Armament@elite</t>
        </is>
      </c>
      <c r="K117" s="5" t="n">
        <v>20000</v>
      </c>
      <c r="L117" s="5" t="n">
        <v>80</v>
      </c>
      <c r="M117" s="5" t="n">
        <v>2</v>
      </c>
      <c r="N117" s="5" t="n">
        <v>3</v>
      </c>
      <c r="O117" s="5" t="n">
        <v>6000</v>
      </c>
      <c r="P117" s="5" t="n">
        <v>1</v>
      </c>
      <c r="Q117">
        <f>L117+IF(M117&gt;1,N(N117)*(M117-1),0)</f>
        <v/>
      </c>
      <c r="R117">
        <f>IFERROR(K117*MAX(M117,1)/Q117*P117,0)</f>
        <v/>
      </c>
      <c r="AA117" s="6" t="inlineStr">
        <is>
          <t>^MediumCannon, ^RA2TankDestroyerCannon, ^RA2EliteEffects</t>
        </is>
      </c>
    </row>
    <row r="118">
      <c r="A118" t="inlineStr">
        <is>
          <t>redalert2mod</t>
        </is>
      </c>
      <c r="B118" t="inlineStr">
        <is>
          <t>naxis_imperialturbotank</t>
        </is>
      </c>
      <c r="C118" t="inlineStr">
        <is>
          <t>Imperial Turbo Tank</t>
        </is>
      </c>
      <c r="D118" t="inlineStr"/>
      <c r="E118" s="5" t="n">
        <v>82500</v>
      </c>
      <c r="F118" s="5" t="n">
        <v>110</v>
      </c>
      <c r="G118" t="inlineStr">
        <is>
          <t>Medium</t>
        </is>
      </c>
      <c r="H118" s="5" t="n">
        <v>1</v>
      </c>
      <c r="I118" s="5" t="n">
        <v>1</v>
      </c>
      <c r="J118" s="5" t="n">
        <v>1</v>
      </c>
      <c r="O118">
        <f>MAX(O119,O120,O121)</f>
        <v/>
      </c>
      <c r="R118">
        <f>R119+R120+R121</f>
        <v/>
      </c>
      <c r="S118">
        <f>(E118/100000+F118/100+(O118/1000)*J118/5+R118/200)*200*I118*H118</f>
        <v/>
      </c>
      <c r="T118">
        <f>((E118*F118/25000)+((O118/1000)*J118*R118/2.5))*I118*H118</f>
        <v/>
      </c>
      <c r="U118">
        <f>(E118*F118*(O118/1000)*J118*R118*I118*H118)/12500000</f>
        <v/>
      </c>
      <c r="V118">
        <f>(S118+T118+U118)/3</f>
        <v/>
      </c>
      <c r="W118" s="5" t="n">
        <v>950</v>
      </c>
      <c r="X118">
        <f>IFERROR(V118-W118,"")</f>
        <v/>
      </c>
      <c r="Y118">
        <f>IFERROR(ABS(X118)/MAX(W118,1),"")</f>
        <v/>
      </c>
      <c r="Z118">
        <f>IFERROR((W118-(((E118/100000+F118/100+R118/200)*200*I118*H118)+((E118*F118/25000)*I118*H118))/3)/(((J118/5)*200*I118*H118)+((J118*R118/2.5)*I118*H118)+((E118*F118*J118*R118*I118*H118)/12500000))/3*1000,"")</f>
        <v/>
      </c>
    </row>
    <row r="119">
      <c r="B119" s="6" t="inlineStr">
        <is>
          <t xml:space="preserve">  ↳ NaxiJadgDestroyer</t>
        </is>
      </c>
      <c r="C119" s="6" t="inlineStr">
        <is>
          <t>Armament@AG</t>
        </is>
      </c>
      <c r="K119" s="5" t="n">
        <v>20000</v>
      </c>
      <c r="L119" s="5" t="n">
        <v>90</v>
      </c>
      <c r="M119" s="5" t="n">
        <v>1</v>
      </c>
      <c r="N119" s="5" t="n"/>
      <c r="O119" s="5" t="n">
        <v>7396</v>
      </c>
      <c r="P119" s="5" t="n">
        <v>1</v>
      </c>
      <c r="Q119">
        <f>L119+IF(M119&gt;1,N(N119)*(M119-1),0)</f>
        <v/>
      </c>
      <c r="R119">
        <f>IFERROR(K119*MAX(M119,1)/Q119*P119,0)</f>
        <v/>
      </c>
      <c r="AA119" s="6" t="inlineStr">
        <is>
          <t>^HeavyCannon, ^ShrapnelWeapon, ^RA2TankDestroyerCannon</t>
        </is>
      </c>
    </row>
    <row r="120">
      <c r="B120" s="6" t="inlineStr">
        <is>
          <t xml:space="preserve">  ↳ Nax120mmAssault</t>
        </is>
      </c>
      <c r="C120" s="6" t="inlineStr">
        <is>
          <t>Armament</t>
        </is>
      </c>
      <c r="K120" s="5" t="n">
        <v>10000</v>
      </c>
      <c r="L120" s="5" t="n">
        <v>28</v>
      </c>
      <c r="M120" s="5" t="n">
        <v>1</v>
      </c>
      <c r="N120" s="5" t="n"/>
      <c r="O120" s="5" t="n">
        <v>5200</v>
      </c>
      <c r="P120" s="5" t="n">
        <v>1</v>
      </c>
      <c r="Q120">
        <f>L120+IF(M120&gt;1,N(N120)*(M120-1),0)</f>
        <v/>
      </c>
      <c r="R120">
        <f>IFERROR(K120*MAX(M120,1)/Q120*P120,0)</f>
        <v/>
      </c>
      <c r="AA120" s="6" t="inlineStr">
        <is>
          <t>^RA2MediumCannon</t>
        </is>
      </c>
    </row>
    <row r="121">
      <c r="B121" s="6" t="inlineStr">
        <is>
          <t xml:space="preserve">  ↳ Nax120mmAssault_elite</t>
        </is>
      </c>
      <c r="C121" s="6" t="inlineStr">
        <is>
          <t>Armament@elite</t>
        </is>
      </c>
      <c r="K121" s="5" t="n">
        <v>10000</v>
      </c>
      <c r="L121" s="5" t="n">
        <v>28</v>
      </c>
      <c r="M121" s="5" t="n">
        <v>2</v>
      </c>
      <c r="N121" s="5" t="n">
        <v>3</v>
      </c>
      <c r="O121" s="5" t="n">
        <v>6200</v>
      </c>
      <c r="P121" s="5" t="n">
        <v>1</v>
      </c>
      <c r="Q121">
        <f>L121+IF(M121&gt;1,N(N121)*(M121-1),0)</f>
        <v/>
      </c>
      <c r="R121">
        <f>IFERROR(K121*MAX(M121,1)/Q121*P121,0)</f>
        <v/>
      </c>
      <c r="AA121" s="6" t="inlineStr">
        <is>
          <t>^RA2MediumCannon, ^RA2EliteEffects</t>
        </is>
      </c>
    </row>
    <row r="122">
      <c r="A122" t="inlineStr">
        <is>
          <t>redalert2mod</t>
        </is>
      </c>
      <c r="B122" t="inlineStr">
        <is>
          <t>naxis_jagdpanzer</t>
        </is>
      </c>
      <c r="C122" t="inlineStr">
        <is>
          <t>Jagdpanzer</t>
        </is>
      </c>
      <c r="D122" t="inlineStr"/>
      <c r="E122" s="5" t="n">
        <v>125000</v>
      </c>
      <c r="F122" s="5" t="n">
        <v>50</v>
      </c>
      <c r="G122" t="inlineStr">
        <is>
          <t>Heavy</t>
        </is>
      </c>
      <c r="H122" s="5" t="n">
        <v>1</v>
      </c>
      <c r="I122" s="5" t="n">
        <v>1</v>
      </c>
      <c r="J122" s="5" t="n">
        <v>1</v>
      </c>
      <c r="O122">
        <f>MAX(O123,O124)</f>
        <v/>
      </c>
      <c r="R122">
        <f>R123+R124</f>
        <v/>
      </c>
      <c r="S122">
        <f>(E122/100000+F122/100+(O122/1000)*J122/5+R122/200)*200*I122*H122</f>
        <v/>
      </c>
      <c r="T122">
        <f>((E122*F122/25000)+((O122/1000)*J122*R122/2.5))*I122*H122</f>
        <v/>
      </c>
      <c r="U122">
        <f>(E122*F122*(O122/1000)*J122*R122*I122*H122)/12500000</f>
        <v/>
      </c>
      <c r="V122">
        <f>(S122+T122+U122)/3</f>
        <v/>
      </c>
      <c r="W122" s="5" t="n">
        <v>2000</v>
      </c>
      <c r="X122">
        <f>IFERROR(V122-W122,"")</f>
        <v/>
      </c>
      <c r="Y122">
        <f>IFERROR(ABS(X122)/MAX(W122,1),"")</f>
        <v/>
      </c>
      <c r="Z122">
        <f>IFERROR((W122-(((E122/100000+F122/100+R122/200)*200*I122*H122)+((E122*F122/25000)*I122*H122))/3)/(((J122/5)*200*I122*H122)+((J122*R122/2.5)*I122*H122)+((E122*F122*J122*R122*I122*H122)/12500000))/3*1000,"")</f>
        <v/>
      </c>
    </row>
    <row r="123">
      <c r="B123" s="6" t="inlineStr">
        <is>
          <t xml:space="preserve">  ↳ NaxiJadgDestroyer</t>
        </is>
      </c>
      <c r="C123" s="6" t="inlineStr">
        <is>
          <t>Armament@AG</t>
        </is>
      </c>
      <c r="K123" s="5" t="n">
        <v>20000</v>
      </c>
      <c r="L123" s="5" t="n">
        <v>90</v>
      </c>
      <c r="M123" s="5" t="n">
        <v>1</v>
      </c>
      <c r="N123" s="5" t="n"/>
      <c r="O123" s="5" t="n">
        <v>7396</v>
      </c>
      <c r="P123" s="5" t="n">
        <v>1</v>
      </c>
      <c r="Q123">
        <f>L123+IF(M123&gt;1,N(N123)*(M123-1),0)</f>
        <v/>
      </c>
      <c r="R123">
        <f>IFERROR(K123*MAX(M123,1)/Q123*P123,0)</f>
        <v/>
      </c>
      <c r="AA123" s="6" t="inlineStr">
        <is>
          <t>^HeavyCannon, ^ShrapnelWeapon, ^RA2TankDestroyerCannon</t>
        </is>
      </c>
    </row>
    <row r="124">
      <c r="B124" s="6" t="inlineStr">
        <is>
          <t xml:space="preserve">  ↳ NaxiJadgDestroyer_elite</t>
        </is>
      </c>
      <c r="C124" s="6" t="inlineStr">
        <is>
          <t>Armament@elite</t>
        </is>
      </c>
      <c r="K124" s="5" t="n">
        <v>20000</v>
      </c>
      <c r="L124" s="5" t="n">
        <v>90</v>
      </c>
      <c r="M124" s="5" t="n">
        <v>2</v>
      </c>
      <c r="N124" s="5" t="n">
        <v>3</v>
      </c>
      <c r="O124" s="5" t="n">
        <v>8396</v>
      </c>
      <c r="P124" s="5" t="n">
        <v>1</v>
      </c>
      <c r="Q124">
        <f>L124+IF(M124&gt;1,N(N124)*(M124-1),0)</f>
        <v/>
      </c>
      <c r="R124">
        <f>IFERROR(K124*MAX(M124,1)/Q124*P124,0)</f>
        <v/>
      </c>
      <c r="AA124" s="6" t="inlineStr">
        <is>
          <t>^HeavyCannon, ^ShrapnelWeapon, ^RA2TankDestroyerCannon, ^RA2EliteEffects</t>
        </is>
      </c>
    </row>
    <row r="125">
      <c r="A125" t="inlineStr">
        <is>
          <t>redalert2mod</t>
        </is>
      </c>
      <c r="B125" t="inlineStr">
        <is>
          <t>naxis_kbelwagen</t>
        </is>
      </c>
      <c r="C125" t="inlineStr">
        <is>
          <t>Kübelwagen</t>
        </is>
      </c>
      <c r="D125" t="inlineStr"/>
      <c r="E125" s="5" t="n">
        <v>50000</v>
      </c>
      <c r="F125" s="5" t="n">
        <v>115</v>
      </c>
      <c r="G125" t="inlineStr">
        <is>
          <t>Light</t>
        </is>
      </c>
      <c r="H125" s="5" t="n">
        <v>1</v>
      </c>
      <c r="I125" s="5" t="n">
        <v>1.25</v>
      </c>
      <c r="J125" s="5" t="n">
        <v>1</v>
      </c>
      <c r="O125">
        <f>MAX(O126)</f>
        <v/>
      </c>
      <c r="R125">
        <f>R126</f>
        <v/>
      </c>
      <c r="S125">
        <f>(E125/100000+F125/100+(O125/1000)*J125/5+R125/200)*200*I125*H125</f>
        <v/>
      </c>
      <c r="T125">
        <f>((E125*F125/25000)+((O125/1000)*J125*R125/2.5))*I125*H125</f>
        <v/>
      </c>
      <c r="U125">
        <f>(E125*F125*(O125/1000)*J125*R125*I125*H125)/12500000</f>
        <v/>
      </c>
      <c r="V125">
        <f>(S125+T125+U125)/3</f>
        <v/>
      </c>
      <c r="W125" s="5" t="n">
        <v>850</v>
      </c>
      <c r="X125">
        <f>IFERROR(V125-W125,"")</f>
        <v/>
      </c>
      <c r="Y125">
        <f>IFERROR(ABS(X125)/MAX(W125,1),"")</f>
        <v/>
      </c>
      <c r="Z125">
        <f>IFERROR((W125-(((E125/100000+F125/100+R125/200)*200*I125*H125)+((E125*F125/25000)*I125*H125))/3)/(((J125/5)*200*I125*H125)+((J125*R125/2.5)*I125*H125)+((E125*F125*J125*R125*I125*H125)/12500000))/3*1000,"")</f>
        <v/>
      </c>
    </row>
    <row r="126">
      <c r="B126" s="6" t="inlineStr">
        <is>
          <t xml:space="preserve">  ↳ NaxiWW2KübelwagenMachinegun</t>
        </is>
      </c>
      <c r="C126" s="6" t="inlineStr">
        <is>
          <t>Armament@AG</t>
        </is>
      </c>
      <c r="K126" s="5" t="n">
        <v>2000</v>
      </c>
      <c r="L126" s="5" t="n">
        <v>80</v>
      </c>
      <c r="M126" s="5" t="n">
        <v>6</v>
      </c>
      <c r="N126" s="5" t="n">
        <v>4</v>
      </c>
      <c r="O126" s="5" t="n">
        <v>5757</v>
      </c>
      <c r="P126" s="5" t="n">
        <v>1</v>
      </c>
      <c r="Q126">
        <f>L126+IF(M126&gt;1,N(N126)*(M126-1),0)</f>
        <v/>
      </c>
      <c r="R126">
        <f>IFERROR(K126*MAX(M126,1)/Q126*P126,0)</f>
        <v/>
      </c>
      <c r="AA126" s="6" t="inlineStr">
        <is>
          <t>^RA2SmallArms, ^RA2Chaingun</t>
        </is>
      </c>
    </row>
    <row r="127">
      <c r="A127" t="inlineStr">
        <is>
          <t>redalert2mod</t>
        </is>
      </c>
      <c r="B127" t="inlineStr">
        <is>
          <t>naxis_kingtigerheavytank</t>
        </is>
      </c>
      <c r="C127" t="inlineStr">
        <is>
          <t>King Tiger Heavy Tank</t>
        </is>
      </c>
      <c r="D127" t="inlineStr"/>
      <c r="E127" s="5" t="n">
        <v>200000</v>
      </c>
      <c r="F127" s="5" t="n">
        <v>100</v>
      </c>
      <c r="G127" t="inlineStr">
        <is>
          <t>Heavy</t>
        </is>
      </c>
      <c r="H127" s="5" t="n">
        <v>1</v>
      </c>
      <c r="I127" s="5" t="n">
        <v>1</v>
      </c>
      <c r="J127" s="5" t="n">
        <v>1</v>
      </c>
      <c r="O127">
        <f>MAX(O128,O129)</f>
        <v/>
      </c>
      <c r="R127">
        <f>R128+R129</f>
        <v/>
      </c>
      <c r="S127">
        <f>(E127/100000+F127/100+(O127/1000)*J127/5+R127/200)*200*I127*H127</f>
        <v/>
      </c>
      <c r="T127">
        <f>((E127*F127/25000)+((O127/1000)*J127*R127/2.5))*I127*H127</f>
        <v/>
      </c>
      <c r="U127">
        <f>(E127*F127*(O127/1000)*J127*R127*I127*H127)/12500000</f>
        <v/>
      </c>
      <c r="V127">
        <f>(S127+T127+U127)/3</f>
        <v/>
      </c>
      <c r="W127" s="5" t="n">
        <v>2000</v>
      </c>
      <c r="X127">
        <f>IFERROR(V127-W127,"")</f>
        <v/>
      </c>
      <c r="Y127">
        <f>IFERROR(ABS(X127)/MAX(W127,1),"")</f>
        <v/>
      </c>
      <c r="Z127">
        <f>IFERROR((W127-(((E127/100000+F127/100+R127/200)*200*I127*H127)+((E127*F127/25000)*I127*H127))/3)/(((J127/5)*200*I127*H127)+((J127*R127/2.5)*I127*H127)+((E127*F127*J127*R127*I127*H127)/12500000))/3*1000,"")</f>
        <v/>
      </c>
    </row>
    <row r="128">
      <c r="B128" s="6" t="inlineStr">
        <is>
          <t xml:space="preserve">  ↳ KingNaxTigerCannon</t>
        </is>
      </c>
      <c r="C128" s="6" t="inlineStr">
        <is>
          <t>Armament</t>
        </is>
      </c>
      <c r="K128" s="5" t="n">
        <v>20000</v>
      </c>
      <c r="L128" s="5" t="n">
        <v>50</v>
      </c>
      <c r="M128" s="5" t="n">
        <v>1</v>
      </c>
      <c r="N128" s="5" t="n"/>
      <c r="O128" s="5" t="n">
        <v>5000</v>
      </c>
      <c r="P128" s="5" t="n">
        <v>1</v>
      </c>
      <c r="Q128">
        <f>L128+IF(M128&gt;1,N(N128)*(M128-1),0)</f>
        <v/>
      </c>
      <c r="R128">
        <f>IFERROR(K128*MAX(M128,1)/Q128*P128,0)</f>
        <v/>
      </c>
      <c r="AA128" s="6" t="inlineStr">
        <is>
          <t>^RA2MediumCannon</t>
        </is>
      </c>
    </row>
    <row r="129">
      <c r="B129" s="6" t="inlineStr">
        <is>
          <t xml:space="preserve">  ↳ KingNaxTigerCannon_elite</t>
        </is>
      </c>
      <c r="C129" s="6" t="inlineStr">
        <is>
          <t>Armament@elite</t>
        </is>
      </c>
      <c r="K129" s="5" t="n">
        <v>20000</v>
      </c>
      <c r="L129" s="5" t="n">
        <v>50</v>
      </c>
      <c r="M129" s="5" t="n">
        <v>2</v>
      </c>
      <c r="N129" s="5" t="n">
        <v>3</v>
      </c>
      <c r="O129" s="5" t="n">
        <v>6000</v>
      </c>
      <c r="P129" s="5" t="n">
        <v>1</v>
      </c>
      <c r="Q129">
        <f>L129+IF(M129&gt;1,N(N129)*(M129-1),0)</f>
        <v/>
      </c>
      <c r="R129">
        <f>IFERROR(K129*MAX(M129,1)/Q129*P129,0)</f>
        <v/>
      </c>
      <c r="AA129" s="6" t="inlineStr">
        <is>
          <t>^RA2MediumCannon, ^RA2EliteEffects</t>
        </is>
      </c>
    </row>
    <row r="130">
      <c r="A130" t="inlineStr">
        <is>
          <t>redalert2mod</t>
        </is>
      </c>
      <c r="B130" t="inlineStr">
        <is>
          <t>naxis_maus</t>
        </is>
      </c>
      <c r="C130" t="inlineStr">
        <is>
          <t>Maus</t>
        </is>
      </c>
      <c r="D130" t="inlineStr"/>
      <c r="E130" s="5" t="n">
        <v>600000</v>
      </c>
      <c r="F130" s="5" t="n">
        <v>60</v>
      </c>
      <c r="G130" t="inlineStr">
        <is>
          <t>Superheavy</t>
        </is>
      </c>
      <c r="H130" s="5" t="n">
        <v>0.75</v>
      </c>
      <c r="I130" s="5" t="n">
        <v>1</v>
      </c>
      <c r="J130" s="5" t="n">
        <v>1</v>
      </c>
      <c r="O130">
        <f>MAX(O131,O132)</f>
        <v/>
      </c>
      <c r="R130">
        <f>R131+R132</f>
        <v/>
      </c>
      <c r="S130">
        <f>(E130/100000+F130/100+(O130/1000)*J130/5+R130/200)*200*I130*H130</f>
        <v/>
      </c>
      <c r="T130">
        <f>((E130*F130/25000)+((O130/1000)*J130*R130/2.5))*I130*H130</f>
        <v/>
      </c>
      <c r="U130">
        <f>(E130*F130*(O130/1000)*J130*R130*I130*H130)/12500000</f>
        <v/>
      </c>
      <c r="V130">
        <f>(S130+T130+U130)/3</f>
        <v/>
      </c>
      <c r="W130" s="5" t="n">
        <v>4200</v>
      </c>
      <c r="X130">
        <f>IFERROR(V130-W130,"")</f>
        <v/>
      </c>
      <c r="Y130">
        <f>IFERROR(ABS(X130)/MAX(W130,1),"")</f>
        <v/>
      </c>
      <c r="Z130">
        <f>IFERROR((W130-(((E130/100000+F130/100+R130/200)*200*I130*H130)+((E130*F130/25000)*I130*H130))/3)/(((J130/5)*200*I130*H130)+((J130*R130/2.5)*I130*H130)+((E130*F130*J130*R130*I130*H130)/12500000))/3*1000,"")</f>
        <v/>
      </c>
    </row>
    <row r="131">
      <c r="B131" s="6" t="inlineStr">
        <is>
          <t xml:space="preserve">  ↳ NaxMausCannon</t>
        </is>
      </c>
      <c r="C131" s="6" t="inlineStr">
        <is>
          <t>Armament</t>
        </is>
      </c>
      <c r="K131" s="5" t="n">
        <v>10000</v>
      </c>
      <c r="L131" s="5" t="n">
        <v>99</v>
      </c>
      <c r="M131" s="5" t="n">
        <v>1</v>
      </c>
      <c r="N131" s="5" t="n"/>
      <c r="O131" s="5" t="n">
        <v>6666</v>
      </c>
      <c r="P131" s="5" t="n">
        <v>1</v>
      </c>
      <c r="Q131">
        <f>L131+IF(M131&gt;1,N(N131)*(M131-1),0)</f>
        <v/>
      </c>
      <c r="R131">
        <f>IFERROR(K131*MAX(M131,1)/Q131*P131,0)</f>
        <v/>
      </c>
      <c r="AA131" s="6" t="inlineStr">
        <is>
          <t>^LightChemicalWeapon, ^HeavyFlameWeapon, ^ShrapnelWeapon, ^HeavyBomb, ^TankDestroyerCannon, ^RA2MediumCannon</t>
        </is>
      </c>
    </row>
    <row r="132">
      <c r="B132" s="6" t="inlineStr">
        <is>
          <t xml:space="preserve">  ↳ NaxMausCannon_elite</t>
        </is>
      </c>
      <c r="C132" s="6" t="inlineStr">
        <is>
          <t>Armament@elite</t>
        </is>
      </c>
      <c r="K132" s="5" t="n">
        <v>10000</v>
      </c>
      <c r="L132" s="5" t="n">
        <v>99</v>
      </c>
      <c r="M132" s="5" t="n">
        <v>2</v>
      </c>
      <c r="N132" s="5" t="n">
        <v>3</v>
      </c>
      <c r="O132" s="5" t="n">
        <v>7777</v>
      </c>
      <c r="P132" s="5" t="n">
        <v>1</v>
      </c>
      <c r="Q132">
        <f>L132+IF(M132&gt;1,N(N132)*(M132-1),0)</f>
        <v/>
      </c>
      <c r="R132">
        <f>IFERROR(K132*MAX(M132,1)/Q132*P132,0)</f>
        <v/>
      </c>
      <c r="AA132" s="6" t="inlineStr">
        <is>
          <t>^LightChemicalWeapon, ^HeavyFlameWeapon, ^ShrapnelWeapon, ^HeavyBomb, ^TankDestroyerCannon, ^RA2MediumCannon, ^RA2EliteEffects</t>
        </is>
      </c>
    </row>
    <row r="133">
      <c r="A133" t="inlineStr">
        <is>
          <t>redalert2mod</t>
        </is>
      </c>
      <c r="B133" t="inlineStr">
        <is>
          <t>naxis_naximobileconstructionvehicle</t>
        </is>
      </c>
      <c r="C133" t="inlineStr">
        <is>
          <t>Naxi Mobile Construction Vehicle</t>
        </is>
      </c>
      <c r="D133" t="inlineStr"/>
      <c r="E133" s="5" t="n">
        <v>300000</v>
      </c>
      <c r="F133" s="5" t="n">
        <v>75</v>
      </c>
      <c r="G133" t="inlineStr">
        <is>
          <t>Medium</t>
        </is>
      </c>
      <c r="H133" s="5" t="n">
        <v>1</v>
      </c>
      <c r="I133" s="5" t="n">
        <v>1</v>
      </c>
      <c r="J133" s="5" t="n">
        <v>1</v>
      </c>
      <c r="W133" s="5" t="n">
        <v>5000</v>
      </c>
    </row>
    <row r="134">
      <c r="A134" t="inlineStr">
        <is>
          <t>redalert2mod</t>
        </is>
      </c>
      <c r="B134" t="inlineStr">
        <is>
          <t>naxis_nokana</t>
        </is>
      </c>
      <c r="C134" t="inlineStr">
        <is>
          <t>Nokana</t>
        </is>
      </c>
      <c r="D134" t="inlineStr"/>
      <c r="E134" s="5" t="n">
        <v>450000</v>
      </c>
      <c r="F134" s="5" t="n">
        <v>60</v>
      </c>
      <c r="G134" t="inlineStr">
        <is>
          <t>Heavy</t>
        </is>
      </c>
      <c r="H134" s="5" t="n">
        <v>1</v>
      </c>
      <c r="I134" s="5" t="n">
        <v>1</v>
      </c>
      <c r="J134" s="5" t="n">
        <v>1</v>
      </c>
      <c r="O134">
        <f>MAX(O135,O136,O137)</f>
        <v/>
      </c>
      <c r="R134">
        <f>R135+R136+R137</f>
        <v/>
      </c>
      <c r="S134">
        <f>(E134/100000+F134/100+(O134/1000)*J134/5+R134/200)*200*I134*H134</f>
        <v/>
      </c>
      <c r="T134">
        <f>((E134*F134/25000)+((O134/1000)*J134*R134/2.5))*I134*H134</f>
        <v/>
      </c>
      <c r="U134">
        <f>(E134*F134*(O134/1000)*J134*R134*I134*H134)/12500000</f>
        <v/>
      </c>
      <c r="V134">
        <f>(S134+T134+U134)/3</f>
        <v/>
      </c>
      <c r="W134" s="5" t="n">
        <v>3000</v>
      </c>
      <c r="X134">
        <f>IFERROR(V134-W134,"")</f>
        <v/>
      </c>
      <c r="Y134">
        <f>IFERROR(ABS(X134)/MAX(W134,1),"")</f>
        <v/>
      </c>
      <c r="Z134">
        <f>IFERROR((W134-(((E134/100000+F134/100+R134/200)*200*I134*H134)+((E134*F134/25000)*I134*H134))/3)/(((J134/5)*200*I134*H134)+((J134*R134/2.5)*I134*H134)+((E134*F134*J134*R134*I134*H134)/12500000))/3*1000,"")</f>
        <v/>
      </c>
    </row>
    <row r="135">
      <c r="B135" s="6" t="inlineStr">
        <is>
          <t xml:space="preserve">  ↳ NaxMausCannon</t>
        </is>
      </c>
      <c r="C135" s="6" t="inlineStr">
        <is>
          <t>Armament@AG</t>
        </is>
      </c>
      <c r="K135" s="5" t="n">
        <v>10000</v>
      </c>
      <c r="L135" s="5" t="n">
        <v>99</v>
      </c>
      <c r="M135" s="5" t="n">
        <v>1</v>
      </c>
      <c r="N135" s="5" t="n"/>
      <c r="O135" s="5" t="n">
        <v>6666</v>
      </c>
      <c r="P135" s="5" t="n">
        <v>1</v>
      </c>
      <c r="Q135">
        <f>L135+IF(M135&gt;1,N(N135)*(M135-1),0)</f>
        <v/>
      </c>
      <c r="R135">
        <f>IFERROR(K135*MAX(M135,1)/Q135*P135,0)</f>
        <v/>
      </c>
      <c r="AA135" s="6" t="inlineStr">
        <is>
          <t>^LightChemicalWeapon, ^HeavyFlameWeapon, ^ShrapnelWeapon, ^HeavyBomb, ^TankDestroyerCannon, ^RA2MediumCannon</t>
        </is>
      </c>
    </row>
    <row r="136">
      <c r="B136" s="6" t="inlineStr">
        <is>
          <t xml:space="preserve">  ↳ LatinBuggyRocketE</t>
        </is>
      </c>
      <c r="C136" s="6" t="inlineStr">
        <is>
          <t>Armament@RK</t>
        </is>
      </c>
      <c r="K136" s="5" t="n">
        <v>10000</v>
      </c>
      <c r="L136" s="5" t="n">
        <v>55</v>
      </c>
      <c r="M136" s="5" t="n">
        <v>2</v>
      </c>
      <c r="N136" s="5" t="n">
        <v>3</v>
      </c>
      <c r="O136" s="5" t="n">
        <v>7000</v>
      </c>
      <c r="P136" s="5" t="n">
        <v>1</v>
      </c>
      <c r="Q136">
        <f>L136+IF(M136&gt;1,N(N136)*(M136-1),0)</f>
        <v/>
      </c>
      <c r="R136">
        <f>IFERROR(K136*MAX(M136,1)/Q136*P136,0)</f>
        <v/>
      </c>
      <c r="AA136" s="6" t="inlineStr">
        <is>
          <t>^Grenade, ^ShrapnelWeapon, ^SteelLightMissile, ^RA2MediumMissile</t>
        </is>
      </c>
    </row>
    <row r="137">
      <c r="B137" s="6" t="inlineStr">
        <is>
          <t xml:space="preserve">  ↳ SyndicateFireballLauncher</t>
        </is>
      </c>
      <c r="C137" s="6" t="inlineStr">
        <is>
          <t>Armament@Flam</t>
        </is>
      </c>
      <c r="K137" s="5" t="n">
        <v>2000</v>
      </c>
      <c r="L137" s="5" t="n">
        <v>44</v>
      </c>
      <c r="M137" s="5" t="n">
        <v>4</v>
      </c>
      <c r="N137" s="5" t="n">
        <v>4</v>
      </c>
      <c r="O137" s="5" t="n">
        <v>5555</v>
      </c>
      <c r="P137" s="5" t="n">
        <v>1</v>
      </c>
      <c r="Q137">
        <f>L137+IF(M137&gt;1,N(N137)*(M137-1),0)</f>
        <v/>
      </c>
      <c r="R137">
        <f>IFERROR(K137*MAX(M137,1)/Q137*P137,0)</f>
        <v/>
      </c>
      <c r="AA137" s="6" t="inlineStr">
        <is>
          <t>^LightFlameWeapon, ^MediumFlameWeapon, ^HeavyFlameWeapon</t>
        </is>
      </c>
    </row>
    <row r="138">
      <c r="A138" t="inlineStr">
        <is>
          <t>redalert2mod</t>
        </is>
      </c>
      <c r="B138" t="inlineStr">
        <is>
          <t>naxis_nop03sarubia</t>
        </is>
      </c>
      <c r="C138" t="inlineStr">
        <is>
          <t>Nop-03 Sarubia</t>
        </is>
      </c>
      <c r="D138" t="inlineStr"/>
      <c r="E138" s="5" t="n">
        <v>62500</v>
      </c>
      <c r="F138" s="5" t="n">
        <v>65</v>
      </c>
      <c r="G138" t="inlineStr">
        <is>
          <t>Medium</t>
        </is>
      </c>
      <c r="H138" s="5" t="n">
        <v>1</v>
      </c>
      <c r="I138" s="5" t="n">
        <v>1</v>
      </c>
      <c r="J138" s="5" t="n">
        <v>1</v>
      </c>
      <c r="O138">
        <f>MAX(O139)</f>
        <v/>
      </c>
      <c r="R138">
        <f>R139</f>
        <v/>
      </c>
      <c r="S138">
        <f>(E138/100000+F138/100+(O138/1000)*J138/5+R138/200)*200*I138*H138</f>
        <v/>
      </c>
      <c r="T138">
        <f>((E138*F138/25000)+((O138/1000)*J138*R138/2.5))*I138*H138</f>
        <v/>
      </c>
      <c r="U138">
        <f>(E138*F138*(O138/1000)*J138*R138*I138*H138)/12500000</f>
        <v/>
      </c>
      <c r="V138">
        <f>(S138+T138+U138)/3</f>
        <v/>
      </c>
      <c r="W138" s="5" t="n">
        <v>1400</v>
      </c>
      <c r="X138">
        <f>IFERROR(V138-W138,"")</f>
        <v/>
      </c>
      <c r="Y138">
        <f>IFERROR(ABS(X138)/MAX(W138,1),"")</f>
        <v/>
      </c>
      <c r="Z138">
        <f>IFERROR((W138-(((E138/100000+F138/100+R138/200)*200*I138*H138)+((E138*F138/25000)*I138*H138))/3)/(((J138/5)*200*I138*H138)+((J138*R138/2.5)*I138*H138)+((E138*F138*J138*R138*I138*H138)/12500000))/3*1000,"")</f>
        <v/>
      </c>
    </row>
    <row r="139">
      <c r="B139" s="6" t="inlineStr">
        <is>
          <t xml:space="preserve">  ↳ NaxisSarubianTarget</t>
        </is>
      </c>
      <c r="C139" s="6" t="inlineStr">
        <is>
          <t>Armament@AG</t>
        </is>
      </c>
      <c r="K139" s="5" t="n"/>
      <c r="L139" s="5" t="n">
        <v>40</v>
      </c>
      <c r="M139" s="5" t="n">
        <v>1</v>
      </c>
      <c r="N139" s="5" t="n"/>
      <c r="O139" s="5" t="n">
        <v>7800</v>
      </c>
      <c r="P139" s="5" t="n">
        <v>1</v>
      </c>
      <c r="Q139">
        <f>L139+IF(M139&gt;1,N(N139)*(M139-1),0)</f>
        <v/>
      </c>
      <c r="R139">
        <f>IFERROR(K139*MAX(M139,1)/Q139*P139,0)</f>
        <v/>
      </c>
      <c r="AA139" s="6" t="inlineStr"/>
    </row>
    <row r="140">
      <c r="A140" t="inlineStr">
        <is>
          <t>redalert2mod</t>
        </is>
      </c>
      <c r="B140" t="inlineStr">
        <is>
          <t>naxis_oldtank</t>
        </is>
      </c>
      <c r="C140" t="inlineStr">
        <is>
          <t>Old Tank</t>
        </is>
      </c>
      <c r="D140" t="inlineStr"/>
      <c r="E140" s="5" t="n">
        <v>110000</v>
      </c>
      <c r="F140" s="5" t="n">
        <v>50</v>
      </c>
      <c r="G140" t="inlineStr">
        <is>
          <t>Medium</t>
        </is>
      </c>
      <c r="H140" s="5" t="n">
        <v>1</v>
      </c>
      <c r="I140" s="5" t="n">
        <v>1</v>
      </c>
      <c r="J140" s="5" t="n">
        <v>1</v>
      </c>
      <c r="O140">
        <f>MAX(O141)</f>
        <v/>
      </c>
      <c r="R140">
        <f>R141</f>
        <v/>
      </c>
      <c r="S140">
        <f>(E140/100000+F140/100+(O140/1000)*J140/5+R140/200)*200*I140*H140</f>
        <v/>
      </c>
      <c r="T140">
        <f>((E140*F140/25000)+((O140/1000)*J140*R140/2.5))*I140*H140</f>
        <v/>
      </c>
      <c r="U140">
        <f>(E140*F140*(O140/1000)*J140*R140*I140*H140)/12500000</f>
        <v/>
      </c>
      <c r="V140">
        <f>(S140+T140+U140)/3</f>
        <v/>
      </c>
      <c r="W140" s="5" t="n">
        <v>2000</v>
      </c>
      <c r="X140">
        <f>IFERROR(V140-W140,"")</f>
        <v/>
      </c>
      <c r="Y140">
        <f>IFERROR(ABS(X140)/MAX(W140,1),"")</f>
        <v/>
      </c>
      <c r="Z140">
        <f>IFERROR((W140-(((E140/100000+F140/100+R140/200)*200*I140*H140)+((E140*F140/25000)*I140*H140))/3)/(((J140/5)*200*I140*H140)+((J140*R140/2.5)*I140*H140)+((E140*F140*J140*R140*I140*H140)/12500000))/3*1000,"")</f>
        <v/>
      </c>
    </row>
    <row r="141">
      <c r="B141" s="6" t="inlineStr">
        <is>
          <t xml:space="preserve">  ↳ NaxiAntiTankCannon</t>
        </is>
      </c>
      <c r="C141" s="6" t="inlineStr">
        <is>
          <t>Armament</t>
        </is>
      </c>
      <c r="K141" s="5" t="n">
        <v>14000</v>
      </c>
      <c r="L141" s="5" t="n">
        <v>75</v>
      </c>
      <c r="M141" s="5" t="n">
        <v>1</v>
      </c>
      <c r="N141" s="5" t="n"/>
      <c r="O141" s="5" t="n">
        <v>7361</v>
      </c>
      <c r="P141" s="5" t="n">
        <v>1</v>
      </c>
      <c r="Q141">
        <f>L141+IF(M141&gt;1,N(N141)*(M141-1),0)</f>
        <v/>
      </c>
      <c r="R141">
        <f>IFERROR(K141*MAX(M141,1)/Q141*P141,0)</f>
        <v/>
      </c>
      <c r="AA141" s="6" t="inlineStr">
        <is>
          <t>^MediumCannon, ^RA2TankDestroyerCannon</t>
        </is>
      </c>
    </row>
    <row r="142">
      <c r="A142" t="inlineStr">
        <is>
          <t>redalert2mod</t>
        </is>
      </c>
      <c r="B142" t="inlineStr">
        <is>
          <t>naxis_ratte</t>
        </is>
      </c>
      <c r="C142" t="inlineStr">
        <is>
          <t>Ratte</t>
        </is>
      </c>
      <c r="D142" t="inlineStr"/>
      <c r="E142" s="5" t="n">
        <v>2000000</v>
      </c>
      <c r="F142" s="5" t="n">
        <v>35</v>
      </c>
      <c r="G142" t="inlineStr">
        <is>
          <t>Superheavy</t>
        </is>
      </c>
      <c r="H142" s="5" t="n">
        <v>0.75</v>
      </c>
      <c r="I142" s="5" t="n">
        <v>0.4</v>
      </c>
      <c r="J142" s="5" t="n">
        <v>1</v>
      </c>
      <c r="O142">
        <f>MAX(O143,O144,O145,O146)</f>
        <v/>
      </c>
      <c r="R142">
        <f>R143+R144+R145+R146</f>
        <v/>
      </c>
      <c r="S142">
        <f>(E142/100000+F142/100+(O142/1000)*J142/5+R142/200)*200*I142*H142</f>
        <v/>
      </c>
      <c r="T142">
        <f>((E142*F142/25000)+((O142/1000)*J142*R142/2.5))*I142*H142</f>
        <v/>
      </c>
      <c r="U142">
        <f>(E142*F142*(O142/1000)*J142*R142*I142*H142)/12500000</f>
        <v/>
      </c>
      <c r="V142">
        <f>(S142+T142+U142)/3</f>
        <v/>
      </c>
      <c r="W142" s="5" t="n">
        <v>8000</v>
      </c>
      <c r="X142">
        <f>IFERROR(V142-W142,"")</f>
        <v/>
      </c>
      <c r="Y142">
        <f>IFERROR(ABS(X142)/MAX(W142,1),"")</f>
        <v/>
      </c>
      <c r="Z142">
        <f>IFERROR((W142-(((E142/100000+F142/100+R142/200)*200*I142*H142)+((E142*F142/25000)*I142*H142))/3)/(((J142/5)*200*I142*H142)+((J142*R142/2.5)*I142*H142)+((E142*F142*J142*R142*I142*H142)/12500000))/3*1000,"")</f>
        <v/>
      </c>
    </row>
    <row r="143">
      <c r="B143" s="6" t="inlineStr">
        <is>
          <t xml:space="preserve">  ↳ NaxRatteCannon</t>
        </is>
      </c>
      <c r="C143" s="6" t="inlineStr">
        <is>
          <t>Armament</t>
        </is>
      </c>
      <c r="K143" s="5" t="n">
        <v>50000</v>
      </c>
      <c r="L143" s="5" t="n">
        <v>145</v>
      </c>
      <c r="M143" s="5" t="n">
        <v>2</v>
      </c>
      <c r="N143" s="5" t="n">
        <v>10</v>
      </c>
      <c r="O143" s="5" t="n">
        <v>6110</v>
      </c>
      <c r="P143" s="5" t="n">
        <v>1</v>
      </c>
      <c r="Q143">
        <f>L143+IF(M143&gt;1,N(N143)*(M143-1),0)</f>
        <v/>
      </c>
      <c r="R143">
        <f>IFERROR(K143*MAX(M143,1)/Q143*P143,0)</f>
        <v/>
      </c>
      <c r="AA143" s="6" t="inlineStr">
        <is>
          <t>^LightChemicalWeapon, ^HeavyBomb, ^RA2MediumCannon</t>
        </is>
      </c>
    </row>
    <row r="144">
      <c r="B144" s="6" t="inlineStr">
        <is>
          <t xml:space="preserve">  ↳ NaxRatteCannon_elite</t>
        </is>
      </c>
      <c r="C144" s="6" t="inlineStr">
        <is>
          <t>Armament@elite</t>
        </is>
      </c>
      <c r="K144" s="5" t="n">
        <v>50000</v>
      </c>
      <c r="L144" s="5" t="n">
        <v>145</v>
      </c>
      <c r="M144" s="5" t="n">
        <v>4</v>
      </c>
      <c r="N144" s="5" t="n">
        <v>3</v>
      </c>
      <c r="O144" s="5" t="n">
        <v>7110</v>
      </c>
      <c r="P144" s="5" t="n">
        <v>1</v>
      </c>
      <c r="Q144">
        <f>L144+IF(M144&gt;1,N(N144)*(M144-1),0)</f>
        <v/>
      </c>
      <c r="R144">
        <f>IFERROR(K144*MAX(M144,1)/Q144*P144,0)</f>
        <v/>
      </c>
      <c r="AA144" s="6" t="inlineStr">
        <is>
          <t>^LightChemicalWeapon, ^HeavyBomb, ^RA2MediumCannon, ^RA2EliteEffects</t>
        </is>
      </c>
    </row>
    <row r="145">
      <c r="B145" s="6" t="inlineStr">
        <is>
          <t xml:space="preserve">  ↳ NaxQuadCannonAAE</t>
        </is>
      </c>
      <c r="C145" s="6" t="inlineStr">
        <is>
          <t>Armament@AA1</t>
        </is>
      </c>
      <c r="K145" s="5" t="n">
        <v>2000</v>
      </c>
      <c r="L145" s="5" t="n">
        <v>47</v>
      </c>
      <c r="M145" s="5" t="n">
        <v>8</v>
      </c>
      <c r="N145" s="5" t="n">
        <v>3</v>
      </c>
      <c r="O145" s="5" t="n">
        <v>9052</v>
      </c>
      <c r="P145" s="5" t="n">
        <v>1</v>
      </c>
      <c r="Q145">
        <f>L145+IF(M145&gt;1,N(N145)*(M145-1),0)</f>
        <v/>
      </c>
      <c r="R145">
        <f>IFERROR(K145*MAX(M145,1)/Q145*P145,0)</f>
        <v/>
      </c>
      <c r="AA145" s="6" t="inlineStr">
        <is>
          <t>^Grenade, ^HeavyMissile, ^Chaingun, ^RA2FlakWeapon</t>
        </is>
      </c>
    </row>
    <row r="146">
      <c r="B146" s="6" t="inlineStr">
        <is>
          <t xml:space="preserve">  ↳ NaxQuadCannonAAE</t>
        </is>
      </c>
      <c r="C146" s="6" t="inlineStr">
        <is>
          <t>Armament@AA2</t>
        </is>
      </c>
      <c r="K146" s="5" t="n">
        <v>2000</v>
      </c>
      <c r="L146" s="5" t="n">
        <v>47</v>
      </c>
      <c r="M146" s="5" t="n">
        <v>8</v>
      </c>
      <c r="N146" s="5" t="n">
        <v>3</v>
      </c>
      <c r="O146" s="5" t="n">
        <v>9052</v>
      </c>
      <c r="P146" s="5" t="n">
        <v>1</v>
      </c>
      <c r="Q146">
        <f>L146+IF(M146&gt;1,N(N146)*(M146-1),0)</f>
        <v/>
      </c>
      <c r="R146">
        <f>IFERROR(K146*MAX(M146,1)/Q146*P146,0)</f>
        <v/>
      </c>
      <c r="AA146" s="6" t="inlineStr">
        <is>
          <t>^Grenade, ^HeavyMissile, ^Chaingun, ^RA2FlakWeapon</t>
        </is>
      </c>
    </row>
    <row r="147">
      <c r="A147" t="inlineStr">
        <is>
          <t>redalert2mod</t>
        </is>
      </c>
      <c r="B147" t="inlineStr">
        <is>
          <t>naxis_shoekarn</t>
        </is>
      </c>
      <c r="C147" t="inlineStr">
        <is>
          <t>Shoe Karn</t>
        </is>
      </c>
      <c r="D147" t="inlineStr"/>
      <c r="E147" s="5" t="n">
        <v>150000</v>
      </c>
      <c r="F147" s="5" t="n">
        <v>75</v>
      </c>
      <c r="G147" t="inlineStr">
        <is>
          <t>Heavy</t>
        </is>
      </c>
      <c r="H147" s="5" t="n">
        <v>1</v>
      </c>
      <c r="I147" s="5" t="n">
        <v>1</v>
      </c>
      <c r="J147" s="5" t="n">
        <v>1</v>
      </c>
      <c r="O147">
        <f>MAX(O148,O149,O150,O151)</f>
        <v/>
      </c>
      <c r="R147">
        <f>R148+R149+R150+R151</f>
        <v/>
      </c>
      <c r="S147">
        <f>(E147/100000+F147/100+(O147/1000)*J147/5+R147/200)*200*I147*H147</f>
        <v/>
      </c>
      <c r="T147">
        <f>((E147*F147/25000)+((O147/1000)*J147*R147/2.5))*I147*H147</f>
        <v/>
      </c>
      <c r="U147">
        <f>(E147*F147*(O147/1000)*J147*R147*I147*H147)/12500000</f>
        <v/>
      </c>
      <c r="V147">
        <f>(S147+T147+U147)/3</f>
        <v/>
      </c>
      <c r="W147" s="5" t="n">
        <v>2500</v>
      </c>
      <c r="X147">
        <f>IFERROR(V147-W147,"")</f>
        <v/>
      </c>
      <c r="Y147">
        <f>IFERROR(ABS(X147)/MAX(W147,1),"")</f>
        <v/>
      </c>
      <c r="Z147">
        <f>IFERROR((W147-(((E147/100000+F147/100+R147/200)*200*I147*H147)+((E147*F147/25000)*I147*H147))/3)/(((J147/5)*200*I147*H147)+((J147*R147/2.5)*I147*H147)+((E147*F147*J147*R147*I147*H147)/12500000))/3*1000,"")</f>
        <v/>
      </c>
    </row>
    <row r="148">
      <c r="B148" s="6" t="inlineStr">
        <is>
          <t xml:space="preserve">  ↳ RA2120mm</t>
        </is>
      </c>
      <c r="C148" s="6" t="inlineStr">
        <is>
          <t>Armament</t>
        </is>
      </c>
      <c r="K148" s="5" t="n">
        <v>10000</v>
      </c>
      <c r="L148" s="5" t="n">
        <v>54</v>
      </c>
      <c r="M148" s="5" t="n">
        <v>1</v>
      </c>
      <c r="N148" s="5" t="n"/>
      <c r="O148" s="5" t="n">
        <v>5374</v>
      </c>
      <c r="P148" s="5" t="n">
        <v>1</v>
      </c>
      <c r="Q148">
        <f>L148+IF(M148&gt;1,N(N148)*(M148-1),0)</f>
        <v/>
      </c>
      <c r="R148">
        <f>IFERROR(K148*MAX(M148,1)/Q148*P148,0)</f>
        <v/>
      </c>
      <c r="AA148" s="6" t="inlineStr">
        <is>
          <t>^RA2MediumCannon</t>
        </is>
      </c>
    </row>
    <row r="149">
      <c r="B149" s="6" t="inlineStr">
        <is>
          <t xml:space="preserve">  ↳ RA2120mm_elite</t>
        </is>
      </c>
      <c r="C149" s="6" t="inlineStr">
        <is>
          <t>Armament@elite</t>
        </is>
      </c>
      <c r="K149" s="5" t="n">
        <v>10000</v>
      </c>
      <c r="L149" s="5" t="n">
        <v>54</v>
      </c>
      <c r="M149" s="5" t="n">
        <v>2</v>
      </c>
      <c r="N149" s="5" t="n">
        <v>3</v>
      </c>
      <c r="O149" s="5" t="n">
        <v>6374</v>
      </c>
      <c r="P149" s="5" t="n">
        <v>1</v>
      </c>
      <c r="Q149">
        <f>L149+IF(M149&gt;1,N(N149)*(M149-1),0)</f>
        <v/>
      </c>
      <c r="R149">
        <f>IFERROR(K149*MAX(M149,1)/Q149*P149,0)</f>
        <v/>
      </c>
      <c r="AA149" s="6" t="inlineStr">
        <is>
          <t>^RA2MediumCannon, ^RA2EliteEffects</t>
        </is>
      </c>
    </row>
    <row r="150">
      <c r="B150" s="6" t="inlineStr">
        <is>
          <t xml:space="preserve">  ↳ NaxGrilleArty</t>
        </is>
      </c>
      <c r="C150" s="6" t="inlineStr">
        <is>
          <t>Armament@mortar</t>
        </is>
      </c>
      <c r="K150" s="5" t="n">
        <v>16000</v>
      </c>
      <c r="L150" s="5" t="n">
        <v>111</v>
      </c>
      <c r="M150" s="5" t="n">
        <v>1</v>
      </c>
      <c r="N150" s="5" t="n"/>
      <c r="O150" s="5" t="n">
        <v>12345</v>
      </c>
      <c r="P150" s="5" t="n">
        <v>1</v>
      </c>
      <c r="Q150">
        <f>L150+IF(M150&gt;1,N(N150)*(M150-1),0)</f>
        <v/>
      </c>
      <c r="R150">
        <f>IFERROR(K150*MAX(M150,1)/Q150*P150,0)</f>
        <v/>
      </c>
      <c r="AA150" s="6" t="inlineStr">
        <is>
          <t>^HeavyCannon, ^ShrapnelWeapon, ^RA2Grenade</t>
        </is>
      </c>
    </row>
    <row r="151">
      <c r="B151" s="6" t="inlineStr">
        <is>
          <t xml:space="preserve">  ↳ NaxShoeRocket</t>
        </is>
      </c>
      <c r="C151" s="6" t="inlineStr">
        <is>
          <t>Armament@scud</t>
        </is>
      </c>
      <c r="K151" s="5" t="n">
        <v>8000</v>
      </c>
      <c r="L151" s="5" t="n">
        <v>250</v>
      </c>
      <c r="M151" s="5" t="n">
        <v>1</v>
      </c>
      <c r="N151" s="5" t="n"/>
      <c r="O151" s="5" t="n">
        <v>12000</v>
      </c>
      <c r="P151" s="5" t="n">
        <v>1</v>
      </c>
      <c r="Q151">
        <f>L151+IF(M151&gt;1,N(N151)*(M151-1),0)</f>
        <v/>
      </c>
      <c r="R151">
        <f>IFERROR(K151*MAX(M151,1)/Q151*P151,0)</f>
        <v/>
      </c>
      <c r="AA151" s="6" t="inlineStr">
        <is>
          <t>^HeavyBomb, ^RA2Grenade, ^RA2MediumMissile</t>
        </is>
      </c>
    </row>
    <row r="152">
      <c r="A152" t="inlineStr">
        <is>
          <t>redalert2mod</t>
        </is>
      </c>
      <c r="B152" t="inlineStr">
        <is>
          <t>naxis_sturmtiger</t>
        </is>
      </c>
      <c r="C152" t="inlineStr">
        <is>
          <t>Sturm Tiger</t>
        </is>
      </c>
      <c r="D152" t="inlineStr"/>
      <c r="E152" s="5" t="n">
        <v>250000</v>
      </c>
      <c r="F152" s="5" t="n">
        <v>30</v>
      </c>
      <c r="G152" t="inlineStr">
        <is>
          <t>Heavy</t>
        </is>
      </c>
      <c r="H152" s="5" t="n">
        <v>1</v>
      </c>
      <c r="I152" s="5" t="n">
        <v>1</v>
      </c>
      <c r="J152" s="5" t="n">
        <v>1</v>
      </c>
      <c r="O152">
        <f>MAX(O153)</f>
        <v/>
      </c>
      <c r="R152">
        <f>R153</f>
        <v/>
      </c>
      <c r="S152">
        <f>(E152/100000+F152/100+(O152/1000)*J152/5+R152/200)*200*I152*H152</f>
        <v/>
      </c>
      <c r="T152">
        <f>((E152*F152/25000)+((O152/1000)*J152*R152/2.5))*I152*H152</f>
        <v/>
      </c>
      <c r="U152">
        <f>(E152*F152*(O152/1000)*J152*R152*I152*H152)/12500000</f>
        <v/>
      </c>
      <c r="V152">
        <f>(S152+T152+U152)/3</f>
        <v/>
      </c>
      <c r="W152" s="5" t="n">
        <v>2500</v>
      </c>
      <c r="X152">
        <f>IFERROR(V152-W152,"")</f>
        <v/>
      </c>
      <c r="Y152">
        <f>IFERROR(ABS(X152)/MAX(W152,1),"")</f>
        <v/>
      </c>
      <c r="Z152">
        <f>IFERROR((W152-(((E152/100000+F152/100+R152/200)*200*I152*H152)+((E152*F152/25000)*I152*H152))/3)/(((J152/5)*200*I152*H152)+((J152*R152/2.5)*I152*H152)+((E152*F152*J152*R152*I152*H152)/12500000))/3*1000,"")</f>
        <v/>
      </c>
    </row>
    <row r="153">
      <c r="B153" s="6" t="inlineStr">
        <is>
          <t xml:space="preserve">  ↳ NaxSturmArty</t>
        </is>
      </c>
      <c r="C153" s="6" t="inlineStr">
        <is>
          <t>Armament@AG</t>
        </is>
      </c>
      <c r="K153" s="5" t="n">
        <v>30000</v>
      </c>
      <c r="L153" s="5" t="n">
        <v>140</v>
      </c>
      <c r="M153" s="5" t="n">
        <v>1</v>
      </c>
      <c r="N153" s="5" t="n"/>
      <c r="O153" s="5" t="n">
        <v>14000</v>
      </c>
      <c r="P153" s="5" t="n">
        <v>1</v>
      </c>
      <c r="Q153">
        <f>L153+IF(M153&gt;1,N(N153)*(M153-1),0)</f>
        <v/>
      </c>
      <c r="R153">
        <f>IFERROR(K153*MAX(M153,1)/Q153*P153,0)</f>
        <v/>
      </c>
      <c r="AA153" s="6" t="inlineStr">
        <is>
          <t>^HeavyBomb, ^RA2MediumCannon, ^RA2Grenade</t>
        </is>
      </c>
    </row>
    <row r="154">
      <c r="A154" t="inlineStr">
        <is>
          <t>redalert2mod</t>
        </is>
      </c>
      <c r="B154" t="inlineStr">
        <is>
          <t>panzer.nax</t>
        </is>
      </c>
      <c r="C154" t="inlineStr">
        <is>
          <t>Panzer III</t>
        </is>
      </c>
      <c r="D154" t="inlineStr"/>
      <c r="E154" s="5" t="n">
        <v>100000</v>
      </c>
      <c r="F154" s="5" t="n">
        <v>100</v>
      </c>
      <c r="G154" t="inlineStr">
        <is>
          <t>Medium</t>
        </is>
      </c>
      <c r="H154" s="5" t="n">
        <v>1</v>
      </c>
      <c r="I154" s="5" t="n">
        <v>1</v>
      </c>
      <c r="J154" s="5" t="n">
        <v>1</v>
      </c>
      <c r="O154">
        <f>MAX(O155,O156)</f>
        <v/>
      </c>
      <c r="R154">
        <f>R155+R156</f>
        <v/>
      </c>
      <c r="S154">
        <f>(E154/100000+F154/100+(O154/1000)*J154/5+R154/200)*200*I154*H154</f>
        <v/>
      </c>
      <c r="T154">
        <f>((E154*F154/25000)+((O154/1000)*J154*R154/2.5))*I154*H154</f>
        <v/>
      </c>
      <c r="U154">
        <f>(E154*F154*(O154/1000)*J154*R154*I154*H154)/12500000</f>
        <v/>
      </c>
      <c r="V154">
        <f>(S154+T154+U154)/3</f>
        <v/>
      </c>
      <c r="W154" s="5" t="n">
        <v>600</v>
      </c>
      <c r="X154">
        <f>IFERROR(V154-W154,"")</f>
        <v/>
      </c>
      <c r="Y154">
        <f>IFERROR(ABS(X154)/MAX(W154,1),"")</f>
        <v/>
      </c>
      <c r="Z154">
        <f>IFERROR((W154-(((E154/100000+F154/100+R154/200)*200*I154*H154)+((E154*F154/25000)*I154*H154))/3)/(((J154/5)*200*I154*H154)+((J154*R154/2.5)*I154*H154)+((E154*F154*J154*R154*I154*H154)/12500000))/3*1000,"")</f>
        <v/>
      </c>
    </row>
    <row r="155">
      <c r="B155" s="6" t="inlineStr">
        <is>
          <t xml:space="preserve">  ↳ RA2105mm</t>
        </is>
      </c>
      <c r="C155" s="6" t="inlineStr">
        <is>
          <t>Armament</t>
        </is>
      </c>
      <c r="K155" s="5" t="n">
        <v>8000</v>
      </c>
      <c r="L155" s="5" t="n">
        <v>45</v>
      </c>
      <c r="M155" s="5" t="n">
        <v>1</v>
      </c>
      <c r="N155" s="5" t="n"/>
      <c r="O155" s="5" t="n">
        <v>5289</v>
      </c>
      <c r="P155" s="5" t="n">
        <v>1</v>
      </c>
      <c r="Q155">
        <f>L155+IF(M155&gt;1,N(N155)*(M155-1),0)</f>
        <v/>
      </c>
      <c r="R155">
        <f>IFERROR(K155*MAX(M155,1)/Q155*P155,0)</f>
        <v/>
      </c>
      <c r="AA155" s="6" t="inlineStr">
        <is>
          <t>^RA2MediumCannon</t>
        </is>
      </c>
    </row>
    <row r="156">
      <c r="B156" s="6" t="inlineStr">
        <is>
          <t xml:space="preserve">  ↳ RA2105mm_elite</t>
        </is>
      </c>
      <c r="C156" s="6" t="inlineStr">
        <is>
          <t>Armament@elite</t>
        </is>
      </c>
      <c r="K156" s="5" t="n">
        <v>8000</v>
      </c>
      <c r="L156" s="5" t="n">
        <v>45</v>
      </c>
      <c r="M156" s="5" t="n">
        <v>2</v>
      </c>
      <c r="N156" s="5" t="n">
        <v>3</v>
      </c>
      <c r="O156" s="5" t="n">
        <v>6289</v>
      </c>
      <c r="P156" s="5" t="n">
        <v>1</v>
      </c>
      <c r="Q156">
        <f>L156+IF(M156&gt;1,N(N156)*(M156-1),0)</f>
        <v/>
      </c>
      <c r="R156">
        <f>IFERROR(K156*MAX(M156,1)/Q156*P156,0)</f>
        <v/>
      </c>
      <c r="AA156" s="6" t="inlineStr">
        <is>
          <t>^RA2MediumCannon, ^RA2EliteEffects</t>
        </is>
      </c>
    </row>
    <row r="157">
      <c r="A157" t="inlineStr">
        <is>
          <t>redalert2mod</t>
        </is>
      </c>
      <c r="B157" t="inlineStr">
        <is>
          <t>tiger.nax</t>
        </is>
      </c>
      <c r="C157" t="inlineStr">
        <is>
          <t>Tiger Heavy Tank</t>
        </is>
      </c>
      <c r="D157" t="inlineStr"/>
      <c r="E157" s="5" t="n">
        <v>100000</v>
      </c>
      <c r="F157" s="5" t="n">
        <v>100</v>
      </c>
      <c r="G157" t="inlineStr">
        <is>
          <t>Heavy</t>
        </is>
      </c>
      <c r="H157" s="5" t="n">
        <v>1</v>
      </c>
      <c r="I157" s="5" t="n">
        <v>1</v>
      </c>
      <c r="J157" s="5" t="n">
        <v>1</v>
      </c>
      <c r="O157">
        <f>MAX(O158,O159)</f>
        <v/>
      </c>
      <c r="R157">
        <f>R158+R159</f>
        <v/>
      </c>
      <c r="S157">
        <f>(E157/100000+F157/100+(O157/1000)*J157/5+R157/200)*200*I157*H157</f>
        <v/>
      </c>
      <c r="T157">
        <f>((E157*F157/25000)+((O157/1000)*J157*R157/2.5))*I157*H157</f>
        <v/>
      </c>
      <c r="U157">
        <f>(E157*F157*(O157/1000)*J157*R157*I157*H157)/12500000</f>
        <v/>
      </c>
      <c r="V157">
        <f>(S157+T157+U157)/3</f>
        <v/>
      </c>
      <c r="W157" s="5" t="n">
        <v>800</v>
      </c>
      <c r="X157">
        <f>IFERROR(V157-W157,"")</f>
        <v/>
      </c>
      <c r="Y157">
        <f>IFERROR(ABS(X157)/MAX(W157,1),"")</f>
        <v/>
      </c>
      <c r="Z157">
        <f>IFERROR((W157-(((E157/100000+F157/100+R157/200)*200*I157*H157)+((E157*F157/25000)*I157*H157))/3)/(((J157/5)*200*I157*H157)+((J157*R157/2.5)*I157*H157)+((E157*F157*J157*R157*I157*H157)/12500000))/3*1000,"")</f>
        <v/>
      </c>
    </row>
    <row r="158">
      <c r="B158" s="6" t="inlineStr">
        <is>
          <t xml:space="preserve">  ↳ NaxTigerCannon</t>
        </is>
      </c>
      <c r="C158" s="6" t="inlineStr">
        <is>
          <t>Armament</t>
        </is>
      </c>
      <c r="K158" s="5" t="n">
        <v>10000</v>
      </c>
      <c r="L158" s="5" t="n">
        <v>50</v>
      </c>
      <c r="M158" s="5" t="n">
        <v>1</v>
      </c>
      <c r="N158" s="5" t="n"/>
      <c r="O158" s="5" t="n">
        <v>5000</v>
      </c>
      <c r="P158" s="5" t="n">
        <v>1</v>
      </c>
      <c r="Q158">
        <f>L158+IF(M158&gt;1,N(N158)*(M158-1),0)</f>
        <v/>
      </c>
      <c r="R158">
        <f>IFERROR(K158*MAX(M158,1)/Q158*P158,0)</f>
        <v/>
      </c>
      <c r="AA158" s="6" t="inlineStr">
        <is>
          <t>^RA2MediumCannon</t>
        </is>
      </c>
    </row>
    <row r="159">
      <c r="B159" s="6" t="inlineStr">
        <is>
          <t xml:space="preserve">  ↳ NaxTigerCannon_elite</t>
        </is>
      </c>
      <c r="C159" s="6" t="inlineStr">
        <is>
          <t>Armament@elite</t>
        </is>
      </c>
      <c r="K159" s="5" t="n">
        <v>10000</v>
      </c>
      <c r="L159" s="5" t="n">
        <v>50</v>
      </c>
      <c r="M159" s="5" t="n">
        <v>2</v>
      </c>
      <c r="N159" s="5" t="n">
        <v>3</v>
      </c>
      <c r="O159" s="5" t="n">
        <v>6000</v>
      </c>
      <c r="P159" s="5" t="n">
        <v>1</v>
      </c>
      <c r="Q159">
        <f>L159+IF(M159&gt;1,N(N159)*(M159-1),0)</f>
        <v/>
      </c>
      <c r="R159">
        <f>IFERROR(K159*MAX(M159,1)/Q159*P159,0)</f>
        <v/>
      </c>
      <c r="AA159" s="6" t="inlineStr">
        <is>
          <t>^RA2MediumCannon, ^RA2EliteEffects</t>
        </is>
      </c>
    </row>
    <row r="160">
      <c r="A160" t="inlineStr">
        <is>
          <t>redalert2mod</t>
        </is>
      </c>
      <c r="B160" t="inlineStr">
        <is>
          <t>wirbelwind.nax</t>
        </is>
      </c>
      <c r="C160" t="inlineStr">
        <is>
          <t>Wirbelwind</t>
        </is>
      </c>
      <c r="D160" t="inlineStr"/>
      <c r="E160" s="5" t="n">
        <v>87500</v>
      </c>
      <c r="F160" s="5" t="n">
        <v>85</v>
      </c>
      <c r="G160" t="inlineStr">
        <is>
          <t>Medium</t>
        </is>
      </c>
      <c r="H160" s="5" t="n">
        <v>1</v>
      </c>
      <c r="I160" s="5" t="n">
        <v>1</v>
      </c>
      <c r="J160" s="5" t="n">
        <v>1</v>
      </c>
      <c r="O160">
        <f>MAX(O161,O162,O163,O164)</f>
        <v/>
      </c>
      <c r="R160">
        <f>R161+R162+R163+R164</f>
        <v/>
      </c>
      <c r="S160">
        <f>(E160/100000+F160/100+(O160/1000)*J160/5+R160/200)*200*I160*H160</f>
        <v/>
      </c>
      <c r="T160">
        <f>((E160*F160/25000)+((O160/1000)*J160*R160/2.5))*I160*H160</f>
        <v/>
      </c>
      <c r="U160">
        <f>(E160*F160*(O160/1000)*J160*R160*I160*H160)/12500000</f>
        <v/>
      </c>
      <c r="V160">
        <f>(S160+T160+U160)/3</f>
        <v/>
      </c>
      <c r="W160" s="5" t="n">
        <v>1800</v>
      </c>
      <c r="X160">
        <f>IFERROR(V160-W160,"")</f>
        <v/>
      </c>
      <c r="Y160">
        <f>IFERROR(ABS(X160)/MAX(W160,1),"")</f>
        <v/>
      </c>
      <c r="Z160">
        <f>IFERROR((W160-(((E160/100000+F160/100+R160/200)*200*I160*H160)+((E160*F160/25000)*I160*H160))/3)/(((J160/5)*200*I160*H160)+((J160*R160/2.5)*I160*H160)+((E160*F160*J160*R160*I160*H160)/12500000))/3*1000,"")</f>
        <v/>
      </c>
    </row>
    <row r="161">
      <c r="B161" s="6" t="inlineStr">
        <is>
          <t xml:space="preserve">  ↳ NaxQuadCannon</t>
        </is>
      </c>
      <c r="C161" s="6" t="inlineStr">
        <is>
          <t>Armament</t>
        </is>
      </c>
      <c r="K161" s="5" t="n">
        <v>2000</v>
      </c>
      <c r="L161" s="5" t="n">
        <v>47</v>
      </c>
      <c r="M161" s="5" t="n">
        <v>6</v>
      </c>
      <c r="N161" s="5" t="n">
        <v>4</v>
      </c>
      <c r="O161" s="5" t="n">
        <v>5368</v>
      </c>
      <c r="P161" s="5" t="n">
        <v>1</v>
      </c>
      <c r="Q161">
        <f>L161+IF(M161&gt;1,N(N161)*(M161-1),0)</f>
        <v/>
      </c>
      <c r="R161">
        <f>IFERROR(K161*MAX(M161,1)/Q161*P161,0)</f>
        <v/>
      </c>
      <c r="AA161" s="6" t="inlineStr">
        <is>
          <t>^Grenade, ^HeavyMissile, ^Chaingun, ^RA2FlakWeapon</t>
        </is>
      </c>
    </row>
    <row r="162">
      <c r="B162" s="6" t="inlineStr">
        <is>
          <t xml:space="preserve">  ↳ NaxQuadCannonE</t>
        </is>
      </c>
      <c r="C162" s="6" t="inlineStr">
        <is>
          <t>Armament@elite</t>
        </is>
      </c>
      <c r="K162" s="5" t="n">
        <v>2000</v>
      </c>
      <c r="L162" s="5" t="n">
        <v>47</v>
      </c>
      <c r="M162" s="5" t="n">
        <v>8</v>
      </c>
      <c r="N162" s="5" t="n">
        <v>3</v>
      </c>
      <c r="O162" s="5" t="n">
        <v>6368</v>
      </c>
      <c r="P162" s="5" t="n">
        <v>1</v>
      </c>
      <c r="Q162">
        <f>L162+IF(M162&gt;1,N(N162)*(M162-1),0)</f>
        <v/>
      </c>
      <c r="R162">
        <f>IFERROR(K162*MAX(M162,1)/Q162*P162,0)</f>
        <v/>
      </c>
      <c r="AA162" s="6" t="inlineStr">
        <is>
          <t>^Grenade, ^HeavyMissile, ^Chaingun, ^RA2FlakWeapon</t>
        </is>
      </c>
    </row>
    <row r="163">
      <c r="B163" s="6" t="inlineStr">
        <is>
          <t xml:space="preserve">  ↳ NaxQuadCannonAA</t>
        </is>
      </c>
      <c r="C163" s="6" t="inlineStr">
        <is>
          <t>Armament@AA</t>
        </is>
      </c>
      <c r="K163" s="5" t="n">
        <v>2000</v>
      </c>
      <c r="L163" s="5" t="n">
        <v>47</v>
      </c>
      <c r="M163" s="5" t="n">
        <v>6</v>
      </c>
      <c r="N163" s="5" t="n">
        <v>4</v>
      </c>
      <c r="O163" s="5" t="n">
        <v>8052</v>
      </c>
      <c r="P163" s="5" t="n">
        <v>1</v>
      </c>
      <c r="Q163">
        <f>L163+IF(M163&gt;1,N(N163)*(M163-1),0)</f>
        <v/>
      </c>
      <c r="R163">
        <f>IFERROR(K163*MAX(M163,1)/Q163*P163,0)</f>
        <v/>
      </c>
      <c r="AA163" s="6" t="inlineStr">
        <is>
          <t>^Grenade, ^HeavyMissile, ^Chaingun, ^RA2FlakWeapon</t>
        </is>
      </c>
    </row>
    <row r="164">
      <c r="B164" s="6" t="inlineStr">
        <is>
          <t xml:space="preserve">  ↳ NaxQuadCannonAAE</t>
        </is>
      </c>
      <c r="C164" s="6" t="inlineStr">
        <is>
          <t>Armament@eliteAA</t>
        </is>
      </c>
      <c r="K164" s="5" t="n">
        <v>2000</v>
      </c>
      <c r="L164" s="5" t="n">
        <v>47</v>
      </c>
      <c r="M164" s="5" t="n">
        <v>8</v>
      </c>
      <c r="N164" s="5" t="n">
        <v>3</v>
      </c>
      <c r="O164" s="5" t="n">
        <v>9052</v>
      </c>
      <c r="P164" s="5" t="n">
        <v>1</v>
      </c>
      <c r="Q164">
        <f>L164+IF(M164&gt;1,N(N164)*(M164-1),0)</f>
        <v/>
      </c>
      <c r="R164">
        <f>IFERROR(K164*MAX(M164,1)/Q164*P164,0)</f>
        <v/>
      </c>
      <c r="AA164" s="6" t="inlineStr">
        <is>
          <t>^Grenade, ^HeavyMissile, ^Chaingun, ^RA2FlakWeapon</t>
        </is>
      </c>
    </row>
    <row r="165">
      <c r="A165" s="3" t="inlineStr">
        <is>
          <t>AIRCRAFT</t>
        </is>
      </c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</row>
    <row r="166">
      <c r="A166" t="inlineStr">
        <is>
          <t>redalert2mod</t>
        </is>
      </c>
      <c r="B166" t="inlineStr">
        <is>
          <t>cplane.nax</t>
        </is>
      </c>
      <c r="C166" t="inlineStr">
        <is>
          <t>Cargo Plane</t>
        </is>
      </c>
      <c r="D166" t="inlineStr"/>
      <c r="E166" s="5" t="n">
        <v>175000</v>
      </c>
      <c r="F166" s="5" t="n">
        <v>150</v>
      </c>
      <c r="G166" t="inlineStr">
        <is>
          <t>Bomber</t>
        </is>
      </c>
      <c r="H166" s="5" t="n">
        <v>1</v>
      </c>
      <c r="I166" s="5" t="n">
        <v>1</v>
      </c>
      <c r="J166" s="5" t="n">
        <v>1</v>
      </c>
      <c r="W166" s="5" t="n">
        <v>4000</v>
      </c>
    </row>
    <row r="167">
      <c r="A167" t="inlineStr">
        <is>
          <t>redalert2mod</t>
        </is>
      </c>
      <c r="B167" t="inlineStr">
        <is>
          <t>horten_bomber.nax</t>
        </is>
      </c>
      <c r="C167" t="inlineStr">
        <is>
          <t>Horten Bomber Plane</t>
        </is>
      </c>
      <c r="D167" t="inlineStr"/>
      <c r="E167" s="5" t="n">
        <v>150000</v>
      </c>
      <c r="F167" s="5" t="n">
        <v>175</v>
      </c>
      <c r="G167" t="inlineStr">
        <is>
          <t>Bomber</t>
        </is>
      </c>
      <c r="H167" s="5" t="n">
        <v>1</v>
      </c>
      <c r="I167" s="5" t="n">
        <v>1</v>
      </c>
      <c r="J167" s="5" t="n">
        <v>1</v>
      </c>
      <c r="O167">
        <f>MAX(O168)</f>
        <v/>
      </c>
      <c r="R167">
        <f>R168</f>
        <v/>
      </c>
      <c r="S167">
        <f>(E167/100000+F167/100+(O167/1000)*J167/5+R167/200)*200*I167*H167</f>
        <v/>
      </c>
      <c r="T167">
        <f>((E167*F167/25000)+((O167/1000)*J167*R167/2.5))*I167*H167</f>
        <v/>
      </c>
      <c r="U167">
        <f>(E167*F167*(O167/1000)*J167*R167*I167*H167)/12500000</f>
        <v/>
      </c>
      <c r="V167">
        <f>(S167+T167+U167)/3</f>
        <v/>
      </c>
      <c r="W167" s="5" t="n">
        <v>4000</v>
      </c>
      <c r="X167">
        <f>IFERROR(V167-W167,"")</f>
        <v/>
      </c>
      <c r="Y167">
        <f>IFERROR(ABS(X167)/MAX(W167,1),"")</f>
        <v/>
      </c>
      <c r="Z167">
        <f>IFERROR((W167-(((E167/100000+F167/100+R167/200)*200*I167*H167)+((E167*F167/25000)*I167*H167))/3)/(((J167/5)*200*I167*H167)+((J167*R167/2.5)*I167*H167)+((E167*F167*J167*R167*I167*H167)/12500000))/3*1000,"")</f>
        <v/>
      </c>
    </row>
    <row r="168">
      <c r="B168" s="6" t="inlineStr">
        <is>
          <t xml:space="preserve">  ↳ JapanSuperBomb</t>
        </is>
      </c>
      <c r="C168" s="6" t="inlineStr">
        <is>
          <t>Armament</t>
        </is>
      </c>
      <c r="K168" s="5" t="n">
        <v>10000</v>
      </c>
      <c r="L168" s="5" t="n">
        <v>5</v>
      </c>
      <c r="M168" s="5" t="n">
        <v>1</v>
      </c>
      <c r="N168" s="5" t="n"/>
      <c r="O168" s="5" t="n">
        <v>3000</v>
      </c>
      <c r="P168" s="5" t="n">
        <v>1</v>
      </c>
      <c r="Q168">
        <f>L168+IF(M168&gt;1,N(N168)*(M168-1),0)</f>
        <v/>
      </c>
      <c r="R168">
        <f>IFERROR(K168*MAX(M168,1)/Q168*P168,0)</f>
        <v/>
      </c>
      <c r="AA168" s="6" t="inlineStr">
        <is>
          <t>^Grenade, ^ShrapnelWeapon, ^MediumChemicalWeapon, ^MediumFlameWeapon, ^HeavyBomb</t>
        </is>
      </c>
    </row>
    <row r="169">
      <c r="A169" t="inlineStr">
        <is>
          <t>redalert2mod</t>
        </is>
      </c>
      <c r="B169" t="inlineStr">
        <is>
          <t>naxis_bf109</t>
        </is>
      </c>
      <c r="C169" t="inlineStr">
        <is>
          <t>BF 109</t>
        </is>
      </c>
      <c r="D169" t="inlineStr"/>
      <c r="E169" s="5" t="n">
        <v>60000</v>
      </c>
      <c r="F169" s="5" t="n">
        <v>115</v>
      </c>
      <c r="G169" t="inlineStr">
        <is>
          <t>Fighter</t>
        </is>
      </c>
      <c r="H169" s="5" t="n">
        <v>1</v>
      </c>
      <c r="I169" s="5" t="n">
        <v>1</v>
      </c>
      <c r="J169" s="5" t="n">
        <v>1</v>
      </c>
      <c r="O169">
        <f>MAX(O170,O171)</f>
        <v/>
      </c>
      <c r="R169">
        <f>R170+R171</f>
        <v/>
      </c>
      <c r="S169">
        <f>(E169/100000+F169/100+(O169/1000)*J169/5+R169/200)*200*I169*H169</f>
        <v/>
      </c>
      <c r="T169">
        <f>((E169*F169/25000)+((O169/1000)*J169*R169/2.5))*I169*H169</f>
        <v/>
      </c>
      <c r="U169">
        <f>(E169*F169*(O169/1000)*J169*R169*I169*H169)/12500000</f>
        <v/>
      </c>
      <c r="V169">
        <f>(S169+T169+U169)/3</f>
        <v/>
      </c>
      <c r="W169" s="5" t="n">
        <v>1100</v>
      </c>
      <c r="X169">
        <f>IFERROR(V169-W169,"")</f>
        <v/>
      </c>
      <c r="Y169">
        <f>IFERROR(ABS(X169)/MAX(W169,1),"")</f>
        <v/>
      </c>
      <c r="Z169">
        <f>IFERROR((W169-(((E169/100000+F169/100+R169/200)*200*I169*H169)+((E169*F169/25000)*I169*H169))/3)/(((J169/5)*200*I169*H169)+((J169*R169/2.5)*I169*H169)+((E169*F169*J169*R169*I169*H169)/12500000))/3*1000,"")</f>
        <v/>
      </c>
    </row>
    <row r="170">
      <c r="B170" s="6" t="inlineStr">
        <is>
          <t xml:space="preserve">  ↳ NaxPlanegunE</t>
        </is>
      </c>
      <c r="C170" s="6" t="inlineStr">
        <is>
          <t>Armament</t>
        </is>
      </c>
      <c r="K170" s="5" t="n">
        <v>2000</v>
      </c>
      <c r="L170" s="5" t="n">
        <v>127</v>
      </c>
      <c r="M170" s="5" t="n">
        <v>10</v>
      </c>
      <c r="N170" s="5" t="n">
        <v>2</v>
      </c>
      <c r="O170" s="5" t="n">
        <v>6090</v>
      </c>
      <c r="P170" s="5" t="n">
        <v>1</v>
      </c>
      <c r="Q170">
        <f>L170+IF(M170&gt;1,N(N170)*(M170-1),0)</f>
        <v/>
      </c>
      <c r="R170">
        <f>IFERROR(K170*MAX(M170,1)/Q170*P170,0)</f>
        <v/>
      </c>
      <c r="AA170" s="6" t="inlineStr">
        <is>
          <t>^Grenade, ^HeavyCannon, ^RA2Chaingun</t>
        </is>
      </c>
    </row>
    <row r="171">
      <c r="B171" s="6" t="inlineStr">
        <is>
          <t xml:space="preserve">  ↳ NaxPlanegunE</t>
        </is>
      </c>
      <c r="C171" s="6" t="inlineStr">
        <is>
          <t>Armament@ELITE</t>
        </is>
      </c>
      <c r="K171" s="5" t="n">
        <v>2000</v>
      </c>
      <c r="L171" s="5" t="n">
        <v>127</v>
      </c>
      <c r="M171" s="5" t="n">
        <v>10</v>
      </c>
      <c r="N171" s="5" t="n">
        <v>2</v>
      </c>
      <c r="O171" s="5" t="n">
        <v>6090</v>
      </c>
      <c r="P171" s="5" t="n">
        <v>1</v>
      </c>
      <c r="Q171">
        <f>L171+IF(M171&gt;1,N(N171)*(M171-1),0)</f>
        <v/>
      </c>
      <c r="R171">
        <f>IFERROR(K171*MAX(M171,1)/Q171*P171,0)</f>
        <v/>
      </c>
      <c r="AA171" s="6" t="inlineStr">
        <is>
          <t>^Grenade, ^HeavyCannon, ^RA2Chaingun</t>
        </is>
      </c>
    </row>
    <row r="172">
      <c r="A172" t="inlineStr">
        <is>
          <t>redalert2mod</t>
        </is>
      </c>
      <c r="B172" t="inlineStr">
        <is>
          <t>naxis_interceptor</t>
        </is>
      </c>
      <c r="C172" t="inlineStr">
        <is>
          <t>Interceptor</t>
        </is>
      </c>
      <c r="D172" t="inlineStr"/>
      <c r="E172" s="5" t="n">
        <v>10000</v>
      </c>
      <c r="F172" s="5" t="n">
        <v>160</v>
      </c>
      <c r="G172" t="inlineStr">
        <is>
          <t>Fighter</t>
        </is>
      </c>
      <c r="H172" s="5" t="n">
        <v>1</v>
      </c>
      <c r="I172" s="5" t="n">
        <v>1</v>
      </c>
      <c r="J172" s="5" t="n">
        <v>1</v>
      </c>
      <c r="O172">
        <f>MAX(O173,O174)</f>
        <v/>
      </c>
      <c r="R172">
        <f>R173+R174</f>
        <v/>
      </c>
      <c r="S172">
        <f>(E172/100000+F172/100+(O172/1000)*J172/5+R172/200)*200*I172*H172</f>
        <v/>
      </c>
      <c r="T172">
        <f>((E172*F172/25000)+((O172/1000)*J172*R172/2.5))*I172*H172</f>
        <v/>
      </c>
      <c r="U172">
        <f>(E172*F172*(O172/1000)*J172*R172*I172*H172)/12500000</f>
        <v/>
      </c>
      <c r="V172">
        <f>(S172+T172+U172)/3</f>
        <v/>
      </c>
      <c r="W172" s="5" t="n">
        <v>1000</v>
      </c>
      <c r="X172">
        <f>IFERROR(V172-W172,"")</f>
        <v/>
      </c>
      <c r="Y172">
        <f>IFERROR(ABS(X172)/MAX(W172,1),"")</f>
        <v/>
      </c>
      <c r="Z172">
        <f>IFERROR((W172-(((E172/100000+F172/100+R172/200)*200*I172*H172)+((E172*F172/25000)*I172*H172))/3)/(((J172/5)*200*I172*H172)+((J172*R172/2.5)*I172*H172)+((E172*F172*J172*R172*I172*H172)/12500000))/3*1000,"")</f>
        <v/>
      </c>
    </row>
    <row r="173">
      <c r="B173" s="6" t="inlineStr">
        <is>
          <t xml:space="preserve">  ↳ NaxiInterceptorGun</t>
        </is>
      </c>
      <c r="C173" s="6" t="inlineStr">
        <is>
          <t>Armament@PRIMARY</t>
        </is>
      </c>
      <c r="K173" s="5" t="n">
        <v>6000</v>
      </c>
      <c r="L173" s="5" t="n">
        <v>100</v>
      </c>
      <c r="M173" s="5" t="n">
        <v>4</v>
      </c>
      <c r="N173" s="5" t="n">
        <v>3</v>
      </c>
      <c r="O173" s="5" t="n">
        <v>6090</v>
      </c>
      <c r="P173" s="5" t="n">
        <v>1</v>
      </c>
      <c r="Q173">
        <f>L173+IF(M173&gt;1,N(N173)*(M173-1),0)</f>
        <v/>
      </c>
      <c r="R173">
        <f>IFERROR(K173*MAX(M173,1)/Q173*P173,0)</f>
        <v/>
      </c>
      <c r="AA173" s="6" t="inlineStr">
        <is>
          <t>^HeavyCannon, ^FlakWeapon, ^Chaingun, ^SmallArms</t>
        </is>
      </c>
    </row>
    <row r="174">
      <c r="B174" s="6" t="inlineStr">
        <is>
          <t xml:space="preserve">  ↳ NaxPlaneRocketsE</t>
        </is>
      </c>
      <c r="C174" s="6" t="inlineStr">
        <is>
          <t>Armament@Rockets</t>
        </is>
      </c>
      <c r="K174" s="5" t="n">
        <v>10000</v>
      </c>
      <c r="L174" s="5" t="n">
        <v>100</v>
      </c>
      <c r="M174" s="5" t="n">
        <v>2</v>
      </c>
      <c r="N174" s="5" t="n">
        <v>9</v>
      </c>
      <c r="O174" s="5" t="n">
        <v>6090</v>
      </c>
      <c r="P174" s="5" t="n">
        <v>1</v>
      </c>
      <c r="Q174">
        <f>L174+IF(M174&gt;1,N(N174)*(M174-1),0)</f>
        <v/>
      </c>
      <c r="R174">
        <f>IFERROR(K174*MAX(M174,1)/Q174*P174,0)</f>
        <v/>
      </c>
      <c r="AA174" s="6" t="inlineStr">
        <is>
          <t>^MediumMissile, ^D2KRocket</t>
        </is>
      </c>
    </row>
    <row r="175">
      <c r="A175" t="inlineStr">
        <is>
          <t>redalert2mod</t>
        </is>
      </c>
      <c r="B175" t="inlineStr">
        <is>
          <t>naxis_me262</t>
        </is>
      </c>
      <c r="C175" t="inlineStr">
        <is>
          <t>Me 262</t>
        </is>
      </c>
      <c r="D175" t="inlineStr"/>
      <c r="E175" s="5" t="n">
        <v>75000</v>
      </c>
      <c r="F175" s="5" t="n">
        <v>155</v>
      </c>
      <c r="G175" t="inlineStr">
        <is>
          <t>Fighter</t>
        </is>
      </c>
      <c r="H175" s="5" t="n">
        <v>1</v>
      </c>
      <c r="I175" s="5" t="n">
        <v>1</v>
      </c>
      <c r="J175" s="5" t="n">
        <v>1</v>
      </c>
      <c r="O175">
        <f>MAX(O176,O177,O178,O179)</f>
        <v/>
      </c>
      <c r="R175">
        <f>R176+R177+R178+R179</f>
        <v/>
      </c>
      <c r="S175">
        <f>(E175/100000+F175/100+(O175/1000)*J175/5+R175/200)*200*I175*H175</f>
        <v/>
      </c>
      <c r="T175">
        <f>((E175*F175/25000)+((O175/1000)*J175*R175/2.5))*I175*H175</f>
        <v/>
      </c>
      <c r="U175">
        <f>(E175*F175*(O175/1000)*J175*R175*I175*H175)/12500000</f>
        <v/>
      </c>
      <c r="V175">
        <f>(S175+T175+U175)/3</f>
        <v/>
      </c>
      <c r="W175" s="5" t="n">
        <v>1500</v>
      </c>
      <c r="X175">
        <f>IFERROR(V175-W175,"")</f>
        <v/>
      </c>
      <c r="Y175">
        <f>IFERROR(ABS(X175)/MAX(W175,1),"")</f>
        <v/>
      </c>
      <c r="Z175">
        <f>IFERROR((W175-(((E175/100000+F175/100+R175/200)*200*I175*H175)+((E175*F175/25000)*I175*H175))/3)/(((J175/5)*200*I175*H175)+((J175*R175/2.5)*I175*H175)+((E175*F175*J175*R175*I175*H175)/12500000))/3*1000,"")</f>
        <v/>
      </c>
    </row>
    <row r="176">
      <c r="B176" s="6" t="inlineStr">
        <is>
          <t xml:space="preserve">  ↳ NaxPlaneRocketsE</t>
        </is>
      </c>
      <c r="C176" s="6" t="inlineStr">
        <is>
          <t>Armament@Rockets</t>
        </is>
      </c>
      <c r="K176" s="5" t="n">
        <v>10000</v>
      </c>
      <c r="L176" s="5" t="n">
        <v>100</v>
      </c>
      <c r="M176" s="5" t="n">
        <v>2</v>
      </c>
      <c r="N176" s="5" t="n">
        <v>9</v>
      </c>
      <c r="O176" s="5" t="n">
        <v>6090</v>
      </c>
      <c r="P176" s="5" t="n">
        <v>1</v>
      </c>
      <c r="Q176">
        <f>L176+IF(M176&gt;1,N(N176)*(M176-1),0)</f>
        <v/>
      </c>
      <c r="R176">
        <f>IFERROR(K176*MAX(M176,1)/Q176*P176,0)</f>
        <v/>
      </c>
      <c r="AA176" s="6" t="inlineStr">
        <is>
          <t>^MediumMissile, ^D2KRocket</t>
        </is>
      </c>
    </row>
    <row r="177">
      <c r="B177" s="6" t="inlineStr">
        <is>
          <t xml:space="preserve">  ↳ NaxPlaneRocketsE</t>
        </is>
      </c>
      <c r="C177" s="6" t="inlineStr">
        <is>
          <t>Armament@RocketsELITE</t>
        </is>
      </c>
      <c r="K177" s="5" t="n">
        <v>10000</v>
      </c>
      <c r="L177" s="5" t="n">
        <v>100</v>
      </c>
      <c r="M177" s="5" t="n">
        <v>2</v>
      </c>
      <c r="N177" s="5" t="n">
        <v>9</v>
      </c>
      <c r="O177" s="5" t="n">
        <v>6090</v>
      </c>
      <c r="P177" s="5" t="n">
        <v>1</v>
      </c>
      <c r="Q177">
        <f>L177+IF(M177&gt;1,N(N177)*(M177-1),0)</f>
        <v/>
      </c>
      <c r="R177">
        <f>IFERROR(K177*MAX(M177,1)/Q177*P177,0)</f>
        <v/>
      </c>
      <c r="AA177" s="6" t="inlineStr">
        <is>
          <t>^MediumMissile, ^D2KRocket</t>
        </is>
      </c>
    </row>
    <row r="178">
      <c r="B178" s="6" t="inlineStr">
        <is>
          <t xml:space="preserve">  ↳ NaxPlanegunE</t>
        </is>
      </c>
      <c r="C178" s="6" t="inlineStr">
        <is>
          <t>Armament@MG</t>
        </is>
      </c>
      <c r="K178" s="5" t="n">
        <v>2000</v>
      </c>
      <c r="L178" s="5" t="n">
        <v>127</v>
      </c>
      <c r="M178" s="5" t="n">
        <v>10</v>
      </c>
      <c r="N178" s="5" t="n">
        <v>2</v>
      </c>
      <c r="O178" s="5" t="n">
        <v>6090</v>
      </c>
      <c r="P178" s="5" t="n">
        <v>1</v>
      </c>
      <c r="Q178">
        <f>L178+IF(M178&gt;1,N(N178)*(M178-1),0)</f>
        <v/>
      </c>
      <c r="R178">
        <f>IFERROR(K178*MAX(M178,1)/Q178*P178,0)</f>
        <v/>
      </c>
      <c r="AA178" s="6" t="inlineStr">
        <is>
          <t>^Grenade, ^HeavyCannon, ^RA2Chaingun</t>
        </is>
      </c>
    </row>
    <row r="179">
      <c r="B179" s="6" t="inlineStr">
        <is>
          <t xml:space="preserve">  ↳ NaxPlanegunE</t>
        </is>
      </c>
      <c r="C179" s="6" t="inlineStr">
        <is>
          <t>Armament@ELITE</t>
        </is>
      </c>
      <c r="K179" s="5" t="n">
        <v>2000</v>
      </c>
      <c r="L179" s="5" t="n">
        <v>127</v>
      </c>
      <c r="M179" s="5" t="n">
        <v>10</v>
      </c>
      <c r="N179" s="5" t="n">
        <v>2</v>
      </c>
      <c r="O179" s="5" t="n">
        <v>6090</v>
      </c>
      <c r="P179" s="5" t="n">
        <v>1</v>
      </c>
      <c r="Q179">
        <f>L179+IF(M179&gt;1,N(N179)*(M179-1),0)</f>
        <v/>
      </c>
      <c r="R179">
        <f>IFERROR(K179*MAX(M179,1)/Q179*P179,0)</f>
        <v/>
      </c>
      <c r="AA179" s="6" t="inlineStr">
        <is>
          <t>^Grenade, ^HeavyCannon, ^RA2Chaingun</t>
        </is>
      </c>
    </row>
    <row r="180">
      <c r="A180" t="inlineStr">
        <is>
          <t>redalert2mod</t>
        </is>
      </c>
      <c r="B180" t="inlineStr">
        <is>
          <t>naxis_transportzeppelin</t>
        </is>
      </c>
      <c r="C180" t="inlineStr">
        <is>
          <t>Transport Zeppelin</t>
        </is>
      </c>
      <c r="D180" t="inlineStr"/>
      <c r="E180" s="5" t="n">
        <v>1250000</v>
      </c>
      <c r="F180" s="5" t="n">
        <v>35</v>
      </c>
      <c r="G180" t="inlineStr">
        <is>
          <t>Helicopter</t>
        </is>
      </c>
      <c r="H180" s="5" t="n">
        <v>1</v>
      </c>
      <c r="I180" s="5" t="n">
        <v>1</v>
      </c>
      <c r="J180" s="5" t="n">
        <v>1</v>
      </c>
      <c r="O180">
        <f>MAX(O181,O182,O183,O184)</f>
        <v/>
      </c>
      <c r="R180">
        <f>R181+R182+R183+R184</f>
        <v/>
      </c>
      <c r="S180">
        <f>(E180/100000+F180/100+(O180/1000)*J180/5+R180/200)*200*I180*H180</f>
        <v/>
      </c>
      <c r="T180">
        <f>((E180*F180/25000)+((O180/1000)*J180*R180/2.5))*I180*H180</f>
        <v/>
      </c>
      <c r="U180">
        <f>(E180*F180*(O180/1000)*J180*R180*I180*H180)/12500000</f>
        <v/>
      </c>
      <c r="V180">
        <f>(S180+T180+U180)/3</f>
        <v/>
      </c>
      <c r="W180" s="5" t="n">
        <v>5000</v>
      </c>
      <c r="X180">
        <f>IFERROR(V180-W180,"")</f>
        <v/>
      </c>
      <c r="Y180">
        <f>IFERROR(ABS(X180)/MAX(W180,1),"")</f>
        <v/>
      </c>
      <c r="Z180">
        <f>IFERROR((W180-(((E180/100000+F180/100+R180/200)*200*I180*H180)+((E180*F180/25000)*I180*H180))/3)/(((J180/5)*200*I180*H180)+((J180*R180/2.5)*I180*H180)+((E180*F180*J180*R180*I180*H180)/12500000))/3*1000,"")</f>
        <v/>
      </c>
    </row>
    <row r="181">
      <c r="B181" s="6" t="inlineStr">
        <is>
          <t xml:space="preserve">  ↳ NaxQuadCannon</t>
        </is>
      </c>
      <c r="C181" s="6" t="inlineStr">
        <is>
          <t>Armament</t>
        </is>
      </c>
      <c r="K181" s="5" t="n">
        <v>2000</v>
      </c>
      <c r="L181" s="5" t="n">
        <v>47</v>
      </c>
      <c r="M181" s="5" t="n">
        <v>6</v>
      </c>
      <c r="N181" s="5" t="n">
        <v>4</v>
      </c>
      <c r="O181" s="5" t="n">
        <v>5368</v>
      </c>
      <c r="P181" s="5" t="n">
        <v>1</v>
      </c>
      <c r="Q181">
        <f>L181+IF(M181&gt;1,N(N181)*(M181-1),0)</f>
        <v/>
      </c>
      <c r="R181">
        <f>IFERROR(K181*MAX(M181,1)/Q181*P181,0)</f>
        <v/>
      </c>
      <c r="AA181" s="6" t="inlineStr">
        <is>
          <t>^Grenade, ^HeavyMissile, ^Chaingun, ^RA2FlakWeapon</t>
        </is>
      </c>
    </row>
    <row r="182">
      <c r="B182" s="6" t="inlineStr">
        <is>
          <t xml:space="preserve">  ↳ NaxQuadCannonE</t>
        </is>
      </c>
      <c r="C182" s="6" t="inlineStr">
        <is>
          <t>Armament@elite</t>
        </is>
      </c>
      <c r="K182" s="5" t="n">
        <v>2000</v>
      </c>
      <c r="L182" s="5" t="n">
        <v>47</v>
      </c>
      <c r="M182" s="5" t="n">
        <v>8</v>
      </c>
      <c r="N182" s="5" t="n">
        <v>3</v>
      </c>
      <c r="O182" s="5" t="n">
        <v>6368</v>
      </c>
      <c r="P182" s="5" t="n">
        <v>1</v>
      </c>
      <c r="Q182">
        <f>L182+IF(M182&gt;1,N(N182)*(M182-1),0)</f>
        <v/>
      </c>
      <c r="R182">
        <f>IFERROR(K182*MAX(M182,1)/Q182*P182,0)</f>
        <v/>
      </c>
      <c r="AA182" s="6" t="inlineStr">
        <is>
          <t>^Grenade, ^HeavyMissile, ^Chaingun, ^RA2FlakWeapon</t>
        </is>
      </c>
    </row>
    <row r="183">
      <c r="B183" s="6" t="inlineStr">
        <is>
          <t xml:space="preserve">  ↳ NaxQuadCannonAA</t>
        </is>
      </c>
      <c r="C183" s="6" t="inlineStr">
        <is>
          <t>Armament@AA</t>
        </is>
      </c>
      <c r="K183" s="5" t="n">
        <v>2000</v>
      </c>
      <c r="L183" s="5" t="n">
        <v>47</v>
      </c>
      <c r="M183" s="5" t="n">
        <v>6</v>
      </c>
      <c r="N183" s="5" t="n">
        <v>4</v>
      </c>
      <c r="O183" s="5" t="n">
        <v>8052</v>
      </c>
      <c r="P183" s="5" t="n">
        <v>1</v>
      </c>
      <c r="Q183">
        <f>L183+IF(M183&gt;1,N(N183)*(M183-1),0)</f>
        <v/>
      </c>
      <c r="R183">
        <f>IFERROR(K183*MAX(M183,1)/Q183*P183,0)</f>
        <v/>
      </c>
      <c r="AA183" s="6" t="inlineStr">
        <is>
          <t>^Grenade, ^HeavyMissile, ^Chaingun, ^RA2FlakWeapon</t>
        </is>
      </c>
    </row>
    <row r="184">
      <c r="B184" s="6" t="inlineStr">
        <is>
          <t xml:space="preserve">  ↳ NaxQuadCannonAAE</t>
        </is>
      </c>
      <c r="C184" s="6" t="inlineStr">
        <is>
          <t>Armament@eliteAA</t>
        </is>
      </c>
      <c r="K184" s="5" t="n">
        <v>2000</v>
      </c>
      <c r="L184" s="5" t="n">
        <v>47</v>
      </c>
      <c r="M184" s="5" t="n">
        <v>8</v>
      </c>
      <c r="N184" s="5" t="n">
        <v>3</v>
      </c>
      <c r="O184" s="5" t="n">
        <v>9052</v>
      </c>
      <c r="P184" s="5" t="n">
        <v>1</v>
      </c>
      <c r="Q184">
        <f>L184+IF(M184&gt;1,N(N184)*(M184-1),0)</f>
        <v/>
      </c>
      <c r="R184">
        <f>IFERROR(K184*MAX(M184,1)/Q184*P184,0)</f>
        <v/>
      </c>
      <c r="AA184" s="6" t="inlineStr">
        <is>
          <t>^Grenade, ^HeavyMissile, ^Chaingun, ^RA2FlakWeapon</t>
        </is>
      </c>
    </row>
    <row r="185">
      <c r="A185" s="3" t="inlineStr">
        <is>
          <t>NAVAL</t>
        </is>
      </c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>
      <c r="A186" t="inlineStr">
        <is>
          <t>redalert2mod</t>
        </is>
      </c>
      <c r="B186" t="inlineStr">
        <is>
          <t>muboat.nax</t>
        </is>
      </c>
      <c r="C186" t="inlineStr">
        <is>
          <t>Heavy Missile U boat</t>
        </is>
      </c>
      <c r="D186" t="inlineStr"/>
      <c r="E186" s="5" t="n">
        <v>200000</v>
      </c>
      <c r="F186" s="5" t="n">
        <v>60</v>
      </c>
      <c r="G186" t="inlineStr">
        <is>
          <t>Medium</t>
        </is>
      </c>
      <c r="H186" s="5" t="n">
        <v>1</v>
      </c>
      <c r="I186" s="5" t="n">
        <v>1</v>
      </c>
      <c r="J186" s="5" t="n">
        <v>1</v>
      </c>
      <c r="O186">
        <f>MAX(O187)</f>
        <v/>
      </c>
      <c r="R186">
        <f>R187</f>
        <v/>
      </c>
      <c r="S186">
        <f>(E186/100000+F186/100+(O186/1000)*J186/5+R186/200)*200*I186*H186</f>
        <v/>
      </c>
      <c r="T186">
        <f>((E186*F186/25000)+((O186/1000)*J186*R186/2.5))*I186*H186</f>
        <v/>
      </c>
      <c r="U186">
        <f>(E186*F186*(O186/1000)*J186*R186*I186*H186)/12500000</f>
        <v/>
      </c>
      <c r="V186">
        <f>(S186+T186+U186)/3</f>
        <v/>
      </c>
      <c r="W186" s="5" t="n">
        <v>2400</v>
      </c>
      <c r="X186">
        <f>IFERROR(V186-W186,"")</f>
        <v/>
      </c>
      <c r="Y186">
        <f>IFERROR(ABS(X186)/MAX(W186,1),"")</f>
        <v/>
      </c>
      <c r="Z186">
        <f>IFERROR((W186-(((E186/100000+F186/100+R186/200)*200*I186*H186)+((E186*F186/25000)*I186*H186))/3)/(((J186/5)*200*I186*H186)+((J186*R186/2.5)*I186*H186)+((E186*F186*J186*R186*I186*H186)/12500000))/3*1000,"")</f>
        <v/>
      </c>
    </row>
    <row r="187">
      <c r="B187" s="6" t="inlineStr">
        <is>
          <t xml:space="preserve">  ↳ NaxiMissileUboat</t>
        </is>
      </c>
      <c r="C187" s="6" t="inlineStr">
        <is>
          <t>Armament</t>
        </is>
      </c>
      <c r="K187" s="5" t="n">
        <v>16000</v>
      </c>
      <c r="L187" s="5" t="n">
        <v>125</v>
      </c>
      <c r="M187" s="5" t="n">
        <v>2</v>
      </c>
      <c r="N187" s="5" t="n">
        <v>6</v>
      </c>
      <c r="O187" s="5" t="n">
        <v>15000</v>
      </c>
      <c r="P187" s="5" t="n">
        <v>1</v>
      </c>
      <c r="Q187">
        <f>L187+IF(M187&gt;1,N(N187)*(M187-1),0)</f>
        <v/>
      </c>
      <c r="R187">
        <f>IFERROR(K187*MAX(M187,1)/Q187*P187,0)</f>
        <v/>
      </c>
      <c r="AA187" s="6" t="inlineStr">
        <is>
          <t>^Grenade, ^HeavyBomb, ^RA2MediumMissile</t>
        </is>
      </c>
    </row>
    <row r="188">
      <c r="A188" t="inlineStr">
        <is>
          <t>redalert2mod</t>
        </is>
      </c>
      <c r="B188" t="inlineStr">
        <is>
          <t>nax_bitsmark</t>
        </is>
      </c>
      <c r="C188" t="inlineStr">
        <is>
          <t>Bitsmark Cruiser</t>
        </is>
      </c>
      <c r="D188" t="inlineStr"/>
      <c r="E188" s="5" t="n">
        <v>335000</v>
      </c>
      <c r="F188" s="5" t="n">
        <v>40</v>
      </c>
      <c r="G188" t="inlineStr">
        <is>
          <t>Superheavy</t>
        </is>
      </c>
      <c r="H188" s="5" t="n">
        <v>1</v>
      </c>
      <c r="I188" s="5" t="n">
        <v>1</v>
      </c>
      <c r="J188" s="5" t="n">
        <v>1</v>
      </c>
      <c r="O188">
        <f>MAX(O189,O190,O191,O192)</f>
        <v/>
      </c>
      <c r="R188">
        <f>R189+R190+R191+R192</f>
        <v/>
      </c>
      <c r="S188">
        <f>(E188/100000+F188/100+(O188/1000)*J188/5+R188/200)*200*I188*H188</f>
        <v/>
      </c>
      <c r="T188">
        <f>((E188*F188/25000)+((O188/1000)*J188*R188/2.5))*I188*H188</f>
        <v/>
      </c>
      <c r="U188">
        <f>(E188*F188*(O188/1000)*J188*R188*I188*H188)/12500000</f>
        <v/>
      </c>
      <c r="V188">
        <f>(S188+T188+U188)/3</f>
        <v/>
      </c>
      <c r="W188" s="5" t="n">
        <v>4000</v>
      </c>
      <c r="X188">
        <f>IFERROR(V188-W188,"")</f>
        <v/>
      </c>
      <c r="Y188">
        <f>IFERROR(ABS(X188)/MAX(W188,1),"")</f>
        <v/>
      </c>
      <c r="Z188">
        <f>IFERROR((W188-(((E188/100000+F188/100+R188/200)*200*I188*H188)+((E188*F188/25000)*I188*H188))/3)/(((J188/5)*200*I188*H188)+((J188*R188/2.5)*I188*H188)+((E188*F188*J188*R188*I188*H188)/12500000))/3*1000,"")</f>
        <v/>
      </c>
    </row>
    <row r="189">
      <c r="B189" s="6" t="inlineStr">
        <is>
          <t xml:space="preserve">  ↳ 8Inch</t>
        </is>
      </c>
      <c r="C189" s="6" t="inlineStr">
        <is>
          <t>Armament@PRIMARY</t>
        </is>
      </c>
      <c r="K189" s="5" t="n">
        <v>40000</v>
      </c>
      <c r="L189" s="5" t="n">
        <v>250</v>
      </c>
      <c r="M189" s="5" t="n">
        <v>2</v>
      </c>
      <c r="N189" s="5" t="n"/>
      <c r="O189" s="5" t="n">
        <v>15000</v>
      </c>
      <c r="P189" s="5" t="n">
        <v>1</v>
      </c>
      <c r="Q189">
        <f>L189+IF(M189&gt;1,N(N189)*(M189-1),0)</f>
        <v/>
      </c>
      <c r="R189">
        <f>IFERROR(K189*MAX(M189,1)/Q189*P189,0)</f>
        <v/>
      </c>
      <c r="AA189" s="6" t="inlineStr">
        <is>
          <t>^HeavyBomb, ^Grenade</t>
        </is>
      </c>
    </row>
    <row r="190">
      <c r="B190" s="6" t="inlineStr">
        <is>
          <t xml:space="preserve">  ↳ 8Inch</t>
        </is>
      </c>
      <c r="C190" s="6" t="inlineStr">
        <is>
          <t>Armament@SECONDARY</t>
        </is>
      </c>
      <c r="K190" s="5" t="n">
        <v>40000</v>
      </c>
      <c r="L190" s="5" t="n">
        <v>250</v>
      </c>
      <c r="M190" s="5" t="n">
        <v>2</v>
      </c>
      <c r="N190" s="5" t="n"/>
      <c r="O190" s="5" t="n">
        <v>15000</v>
      </c>
      <c r="P190" s="5" t="n">
        <v>1</v>
      </c>
      <c r="Q190">
        <f>L190+IF(M190&gt;1,N(N190)*(M190-1),0)</f>
        <v/>
      </c>
      <c r="R190">
        <f>IFERROR(K190*MAX(M190,1)/Q190*P190,0)</f>
        <v/>
      </c>
      <c r="AA190" s="6" t="inlineStr">
        <is>
          <t>^HeavyBomb, ^Grenade</t>
        </is>
      </c>
    </row>
    <row r="191">
      <c r="B191" s="6" t="inlineStr">
        <is>
          <t xml:space="preserve">  ↳ 8Inch</t>
        </is>
      </c>
      <c r="C191" s="6" t="inlineStr">
        <is>
          <t>Armament@TERCERA</t>
        </is>
      </c>
      <c r="K191" s="5" t="n">
        <v>40000</v>
      </c>
      <c r="L191" s="5" t="n">
        <v>250</v>
      </c>
      <c r="M191" s="5" t="n">
        <v>2</v>
      </c>
      <c r="N191" s="5" t="n"/>
      <c r="O191" s="5" t="n">
        <v>15000</v>
      </c>
      <c r="P191" s="5" t="n">
        <v>1</v>
      </c>
      <c r="Q191">
        <f>L191+IF(M191&gt;1,N(N191)*(M191-1),0)</f>
        <v/>
      </c>
      <c r="R191">
        <f>IFERROR(K191*MAX(M191,1)/Q191*P191,0)</f>
        <v/>
      </c>
      <c r="AA191" s="6" t="inlineStr">
        <is>
          <t>^HeavyBomb, ^Grenade</t>
        </is>
      </c>
    </row>
    <row r="192">
      <c r="B192" s="6" t="inlineStr">
        <is>
          <t xml:space="preserve">  ↳ 8Inch</t>
        </is>
      </c>
      <c r="C192" s="6" t="inlineStr">
        <is>
          <t>Armament@CUARTA</t>
        </is>
      </c>
      <c r="K192" s="5" t="n">
        <v>40000</v>
      </c>
      <c r="L192" s="5" t="n">
        <v>250</v>
      </c>
      <c r="M192" s="5" t="n">
        <v>2</v>
      </c>
      <c r="N192" s="5" t="n"/>
      <c r="O192" s="5" t="n">
        <v>15000</v>
      </c>
      <c r="P192" s="5" t="n">
        <v>1</v>
      </c>
      <c r="Q192">
        <f>L192+IF(M192&gt;1,N(N192)*(M192-1),0)</f>
        <v/>
      </c>
      <c r="R192">
        <f>IFERROR(K192*MAX(M192,1)/Q192*P192,0)</f>
        <v/>
      </c>
      <c r="AA192" s="6" t="inlineStr">
        <is>
          <t>^HeavyBomb, ^Grenade</t>
        </is>
      </c>
    </row>
    <row r="193">
      <c r="A193" t="inlineStr">
        <is>
          <t>redalert2mod</t>
        </is>
      </c>
      <c r="B193" t="inlineStr">
        <is>
          <t>tuboat.nax</t>
        </is>
      </c>
      <c r="C193" t="inlineStr">
        <is>
          <t>Torpedo U boat</t>
        </is>
      </c>
      <c r="D193" t="inlineStr"/>
      <c r="E193" s="5" t="n">
        <v>120000</v>
      </c>
      <c r="F193" s="5" t="n">
        <v>78</v>
      </c>
      <c r="G193" t="inlineStr">
        <is>
          <t>Heavy</t>
        </is>
      </c>
      <c r="H193" s="5" t="n">
        <v>1</v>
      </c>
      <c r="I193" s="5" t="n">
        <v>1</v>
      </c>
      <c r="J193" s="5" t="n">
        <v>1</v>
      </c>
      <c r="O193">
        <f>MAX(O194)</f>
        <v/>
      </c>
      <c r="R193">
        <f>R194</f>
        <v/>
      </c>
      <c r="S193">
        <f>(E193/100000+F193/100+(O193/1000)*J193/5+R193/200)*200*I193*H193</f>
        <v/>
      </c>
      <c r="T193">
        <f>((E193*F193/25000)+((O193/1000)*J193*R193/2.5))*I193*H193</f>
        <v/>
      </c>
      <c r="U193">
        <f>(E193*F193*(O193/1000)*J193*R193*I193*H193)/12500000</f>
        <v/>
      </c>
      <c r="V193">
        <f>(S193+T193+U193)/3</f>
        <v/>
      </c>
      <c r="W193" s="5" t="n">
        <v>1200</v>
      </c>
      <c r="X193">
        <f>IFERROR(V193-W193,"")</f>
        <v/>
      </c>
      <c r="Y193">
        <f>IFERROR(ABS(X193)/MAX(W193,1),"")</f>
        <v/>
      </c>
      <c r="Z193">
        <f>IFERROR((W193-(((E193/100000+F193/100+R193/200)*200*I193*H193)+((E193*F193/25000)*I193*H193))/3)/(((J193/5)*200*I193*H193)+((J193*R193/2.5)*I193*H193)+((E193*F193*J193*R193*I193*H193)/12500000))/3*1000,"")</f>
        <v/>
      </c>
    </row>
    <row r="194">
      <c r="B194" s="6" t="inlineStr">
        <is>
          <t xml:space="preserve">  ↳ AsianSmallTorpedo</t>
        </is>
      </c>
      <c r="C194" s="6" t="inlineStr">
        <is>
          <t>Armament@Torp</t>
        </is>
      </c>
      <c r="K194" s="5" t="n">
        <v>12000</v>
      </c>
      <c r="L194" s="5" t="n">
        <v>120</v>
      </c>
      <c r="M194" s="5" t="n">
        <v>2</v>
      </c>
      <c r="N194" s="5" t="n">
        <v>8</v>
      </c>
      <c r="O194" s="5" t="n">
        <v>12000</v>
      </c>
      <c r="P194" s="5" t="n">
        <v>1</v>
      </c>
      <c r="Q194">
        <f>L194+IF(M194&gt;1,N(N194)*(M194-1),0)</f>
        <v/>
      </c>
      <c r="R194">
        <f>IFERROR(K194*MAX(M194,1)/Q194*P194,0)</f>
        <v/>
      </c>
      <c r="AA194" s="6" t="inlineStr">
        <is>
          <t>^RA2Grenade, ^RA2HeavyMissile</t>
        </is>
      </c>
    </row>
    <row r="195">
      <c r="A195" s="3" t="inlineStr">
        <is>
          <t>BUILDINGS</t>
        </is>
      </c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>
      <c r="A196" t="inlineStr">
        <is>
          <t>redalert2mod</t>
        </is>
      </c>
      <c r="B196" t="inlineStr">
        <is>
          <t>naval.nax</t>
        </is>
      </c>
      <c r="C196" t="inlineStr">
        <is>
          <t>Naxis Naval Yard</t>
        </is>
      </c>
      <c r="D196" t="inlineStr"/>
      <c r="E196" s="5" t="n">
        <v>600000</v>
      </c>
      <c r="F196" s="5" t="n"/>
      <c r="G196" t="inlineStr">
        <is>
          <t>Concrete</t>
        </is>
      </c>
      <c r="H196" s="5" t="n">
        <v>1</v>
      </c>
      <c r="I196" s="5" t="n">
        <v>1</v>
      </c>
      <c r="J196" s="5" t="n">
        <v>1</v>
      </c>
      <c r="W196" s="5" t="n">
        <v>3000</v>
      </c>
    </row>
    <row r="197">
      <c r="A197" t="inlineStr">
        <is>
          <t>redalert2mod</t>
        </is>
      </c>
      <c r="B197" t="inlineStr">
        <is>
          <t>naxis_academy</t>
        </is>
      </c>
      <c r="C197" t="inlineStr">
        <is>
          <t>Naxis Academy</t>
        </is>
      </c>
      <c r="D197" t="inlineStr"/>
      <c r="E197" s="5" t="n">
        <v>500000</v>
      </c>
      <c r="F197" s="5" t="n"/>
      <c r="G197" t="inlineStr">
        <is>
          <t>Concrete</t>
        </is>
      </c>
      <c r="H197" s="5" t="n">
        <v>1</v>
      </c>
      <c r="I197" s="5" t="n">
        <v>1</v>
      </c>
      <c r="J197" s="5" t="n">
        <v>1</v>
      </c>
      <c r="W197" s="5" t="n">
        <v>2000</v>
      </c>
    </row>
    <row r="198">
      <c r="A198" t="inlineStr">
        <is>
          <t>redalert2mod</t>
        </is>
      </c>
      <c r="B198" t="inlineStr">
        <is>
          <t>naxis_airfield</t>
        </is>
      </c>
      <c r="C198" t="inlineStr">
        <is>
          <t>Naxis Airfield</t>
        </is>
      </c>
      <c r="D198" t="inlineStr"/>
      <c r="E198" s="5" t="n">
        <v>600000</v>
      </c>
      <c r="F198" s="5" t="n"/>
      <c r="G198" t="inlineStr">
        <is>
          <t>Concrete</t>
        </is>
      </c>
      <c r="H198" s="5" t="n">
        <v>1</v>
      </c>
      <c r="I198" s="5" t="n">
        <v>1</v>
      </c>
      <c r="J198" s="5" t="n">
        <v>1</v>
      </c>
      <c r="W198" s="5" t="n">
        <v>3000</v>
      </c>
    </row>
    <row r="199">
      <c r="B199" s="6" t="inlineStr">
        <is>
          <t xml:space="preserve">  ↳ NaxDefensivePlaneTarget</t>
        </is>
      </c>
      <c r="C199" s="6" t="inlineStr">
        <is>
          <t>Armament@PRIMARY</t>
        </is>
      </c>
      <c r="K199" s="5" t="n"/>
      <c r="L199" s="5" t="n">
        <v>30</v>
      </c>
      <c r="M199" s="5" t="n">
        <v>1</v>
      </c>
      <c r="N199" s="5" t="n"/>
      <c r="O199" s="5" t="n">
        <v>30000</v>
      </c>
      <c r="P199" s="5" t="n">
        <v>1</v>
      </c>
      <c r="Q199">
        <f>L199+IF(M199&gt;1,N(N199)*(M199-1),0)</f>
        <v/>
      </c>
      <c r="R199">
        <f>IFERROR(K199*MAX(M199,1)/Q199*P199,0)</f>
        <v/>
      </c>
      <c r="AA199" s="6" t="inlineStr"/>
    </row>
    <row r="200">
      <c r="A200" t="inlineStr">
        <is>
          <t>redalert2mod</t>
        </is>
      </c>
      <c r="B200" t="inlineStr">
        <is>
          <t>naxis_barracks</t>
        </is>
      </c>
      <c r="C200" t="inlineStr">
        <is>
          <t>Naxis Barracks</t>
        </is>
      </c>
      <c r="D200" t="inlineStr"/>
      <c r="E200" s="5" t="n">
        <v>200000</v>
      </c>
      <c r="F200" s="5" t="n"/>
      <c r="G200" t="inlineStr">
        <is>
          <t>Wood</t>
        </is>
      </c>
      <c r="H200" s="5" t="n">
        <v>1</v>
      </c>
      <c r="I200" s="5" t="n">
        <v>1</v>
      </c>
      <c r="J200" s="5" t="n">
        <v>1</v>
      </c>
      <c r="W200" s="5" t="n">
        <v>1000</v>
      </c>
    </row>
    <row r="201">
      <c r="A201" t="inlineStr">
        <is>
          <t>redalert2mod</t>
        </is>
      </c>
      <c r="B201" t="inlineStr">
        <is>
          <t>naxis_beerfactory</t>
        </is>
      </c>
      <c r="C201" t="inlineStr">
        <is>
          <t>Beer Factory</t>
        </is>
      </c>
      <c r="D201" t="inlineStr"/>
      <c r="E201" s="5" t="n">
        <v>500000</v>
      </c>
      <c r="F201" s="5" t="n"/>
      <c r="G201" t="inlineStr">
        <is>
          <t>Concrete</t>
        </is>
      </c>
      <c r="H201" s="5" t="n">
        <v>1</v>
      </c>
      <c r="I201" s="5" t="n">
        <v>1</v>
      </c>
      <c r="J201" s="5" t="n">
        <v>1</v>
      </c>
      <c r="W201" s="5" t="n">
        <v>5000</v>
      </c>
    </row>
    <row r="202">
      <c r="A202" t="inlineStr">
        <is>
          <t>redalert2mod</t>
        </is>
      </c>
      <c r="B202" t="inlineStr">
        <is>
          <t>naxis_constructionyard</t>
        </is>
      </c>
      <c r="C202" t="inlineStr">
        <is>
          <t>Naxis Construction Yard</t>
        </is>
      </c>
      <c r="D202" t="inlineStr"/>
      <c r="E202" s="5" t="n">
        <v>1000000</v>
      </c>
      <c r="F202" s="5" t="n"/>
      <c r="G202" t="inlineStr">
        <is>
          <t>Concrete</t>
        </is>
      </c>
      <c r="H202" s="5" t="n">
        <v>1</v>
      </c>
      <c r="I202" s="5" t="n">
        <v>1</v>
      </c>
      <c r="J202" s="5" t="n">
        <v>1</v>
      </c>
      <c r="W202" s="5" t="n">
        <v>5000</v>
      </c>
    </row>
    <row r="203">
      <c r="A203" t="inlineStr">
        <is>
          <t>redalert2mod</t>
        </is>
      </c>
      <c r="B203" t="inlineStr">
        <is>
          <t>naxis_flak88</t>
        </is>
      </c>
      <c r="C203" t="inlineStr">
        <is>
          <t>Flak 88</t>
        </is>
      </c>
      <c r="D203" t="inlineStr"/>
      <c r="E203" s="5" t="n">
        <v>160000</v>
      </c>
      <c r="F203" s="5" t="n"/>
      <c r="G203" t="inlineStr">
        <is>
          <t>Concrete</t>
        </is>
      </c>
      <c r="H203" s="5" t="n">
        <v>1</v>
      </c>
      <c r="I203" s="5" t="n">
        <v>0.5</v>
      </c>
      <c r="J203" s="5" t="n">
        <v>1</v>
      </c>
      <c r="W203" s="5" t="n">
        <v>1200</v>
      </c>
    </row>
    <row r="204">
      <c r="B204" s="6" t="inlineStr">
        <is>
          <t xml:space="preserve">  ↳ NaxFlakAA</t>
        </is>
      </c>
      <c r="C204" s="6" t="inlineStr">
        <is>
          <t>Armament@PRIMARY</t>
        </is>
      </c>
      <c r="K204" s="5" t="n">
        <v>2000</v>
      </c>
      <c r="L204" s="5" t="n">
        <v>88</v>
      </c>
      <c r="M204" s="5" t="n">
        <v>8</v>
      </c>
      <c r="N204" s="5" t="n">
        <v>0</v>
      </c>
      <c r="O204" s="5" t="n">
        <v>13200</v>
      </c>
      <c r="P204" s="5" t="n">
        <v>1</v>
      </c>
      <c r="Q204">
        <f>L204+IF(M204&gt;1,N(N204)*(M204-1),0)</f>
        <v/>
      </c>
      <c r="R204">
        <f>IFERROR(K204*MAX(M204,1)/Q204*P204,0)</f>
        <v/>
      </c>
      <c r="AA204" s="6" t="inlineStr">
        <is>
          <t>^Grenade, ^HeavyMissile, ^Chaingun, ^RA2FlakWeapon</t>
        </is>
      </c>
    </row>
    <row r="205">
      <c r="B205" s="6" t="inlineStr">
        <is>
          <t xml:space="preserve">  ↳ NaxFlakAG</t>
        </is>
      </c>
      <c r="C205" s="6" t="inlineStr">
        <is>
          <t>Armament@AA</t>
        </is>
      </c>
      <c r="K205" s="5" t="n">
        <v>2000</v>
      </c>
      <c r="L205" s="5" t="n">
        <v>88</v>
      </c>
      <c r="M205" s="5" t="n">
        <v>8</v>
      </c>
      <c r="N205" s="5" t="n">
        <v>0</v>
      </c>
      <c r="O205" s="5" t="n">
        <v>8800</v>
      </c>
      <c r="P205" s="5" t="n">
        <v>1</v>
      </c>
      <c r="Q205">
        <f>L205+IF(M205&gt;1,N(N205)*(M205-1),0)</f>
        <v/>
      </c>
      <c r="R205">
        <f>IFERROR(K205*MAX(M205,1)/Q205*P205,0)</f>
        <v/>
      </c>
      <c r="AA205" s="6" t="inlineStr">
        <is>
          <t>^Grenade, ^HeavyMissile, ^Chaingun, ^RA2FlakWeapon</t>
        </is>
      </c>
    </row>
    <row r="206">
      <c r="A206" t="inlineStr">
        <is>
          <t>redalert2mod</t>
        </is>
      </c>
      <c r="B206" t="inlineStr">
        <is>
          <t>naxis_machinegunbunkeraddon</t>
        </is>
      </c>
      <c r="C206" t="inlineStr">
        <is>
          <t>Machinegun Bunker Addon</t>
        </is>
      </c>
      <c r="D206" t="inlineStr"/>
      <c r="E206" s="5" t="n"/>
      <c r="F206" s="5" t="n"/>
      <c r="H206" s="5" t="n">
        <v>1</v>
      </c>
      <c r="I206" s="5" t="n">
        <v>1</v>
      </c>
      <c r="J206" s="5" t="n">
        <v>1</v>
      </c>
      <c r="W206" s="5" t="n">
        <v>300</v>
      </c>
    </row>
    <row r="207">
      <c r="A207" t="inlineStr">
        <is>
          <t>redalert2mod</t>
        </is>
      </c>
      <c r="B207" t="inlineStr">
        <is>
          <t>naxis_miniflakbunkeraddon</t>
        </is>
      </c>
      <c r="C207" t="inlineStr">
        <is>
          <t>Mini Flak Bunker Addon</t>
        </is>
      </c>
      <c r="D207" t="inlineStr"/>
      <c r="E207" s="5" t="n"/>
      <c r="F207" s="5" t="n"/>
      <c r="H207" s="5" t="n">
        <v>1</v>
      </c>
      <c r="I207" s="5" t="n">
        <v>1</v>
      </c>
      <c r="J207" s="5" t="n">
        <v>1</v>
      </c>
      <c r="W207" s="5" t="n">
        <v>500</v>
      </c>
    </row>
    <row r="208">
      <c r="A208" t="inlineStr">
        <is>
          <t>redalert2mod</t>
        </is>
      </c>
      <c r="B208" t="inlineStr">
        <is>
          <t>naxis_mortarbunkeraddon</t>
        </is>
      </c>
      <c r="C208" t="inlineStr">
        <is>
          <t>Mortar Bunker Addon</t>
        </is>
      </c>
      <c r="D208" t="inlineStr"/>
      <c r="E208" s="5" t="n"/>
      <c r="F208" s="5" t="n"/>
      <c r="H208" s="5" t="n">
        <v>1</v>
      </c>
      <c r="I208" s="5" t="n">
        <v>1</v>
      </c>
      <c r="J208" s="5" t="n">
        <v>1</v>
      </c>
      <c r="W208" s="5" t="n">
        <v>500</v>
      </c>
    </row>
    <row r="209">
      <c r="A209" t="inlineStr">
        <is>
          <t>redalert2mod</t>
        </is>
      </c>
      <c r="B209" t="inlineStr">
        <is>
          <t>naxis_naxibunker</t>
        </is>
      </c>
      <c r="C209" t="inlineStr">
        <is>
          <t>Naxi Bunker</t>
        </is>
      </c>
      <c r="D209" t="inlineStr"/>
      <c r="E209" s="5" t="n">
        <v>90000</v>
      </c>
      <c r="F209" s="5" t="n"/>
      <c r="G209" t="inlineStr">
        <is>
          <t>Steel</t>
        </is>
      </c>
      <c r="H209" s="5" t="n">
        <v>1</v>
      </c>
      <c r="I209" s="5" t="n">
        <v>1</v>
      </c>
      <c r="J209" s="5" t="n">
        <v>1</v>
      </c>
      <c r="W209" s="5" t="n">
        <v>1000</v>
      </c>
    </row>
    <row r="210">
      <c r="B210" s="6" t="inlineStr">
        <is>
          <t xml:space="preserve">  ↳ NaxGrilleArty</t>
        </is>
      </c>
      <c r="C210" s="6" t="inlineStr">
        <is>
          <t>Armament@mortar</t>
        </is>
      </c>
      <c r="K210" s="5" t="n">
        <v>16000</v>
      </c>
      <c r="L210" s="5" t="n">
        <v>111</v>
      </c>
      <c r="M210" s="5" t="n">
        <v>1</v>
      </c>
      <c r="N210" s="5" t="n"/>
      <c r="O210" s="5" t="n">
        <v>12345</v>
      </c>
      <c r="P210" s="5" t="n">
        <v>1</v>
      </c>
      <c r="Q210">
        <f>L210+IF(M210&gt;1,N(N210)*(M210-1),0)</f>
        <v/>
      </c>
      <c r="R210">
        <f>IFERROR(K210*MAX(M210,1)/Q210*P210,0)</f>
        <v/>
      </c>
      <c r="AA210" s="6" t="inlineStr">
        <is>
          <t>^HeavyCannon, ^ShrapnelWeapon, ^RA2Grenade</t>
        </is>
      </c>
    </row>
    <row r="211">
      <c r="B211" s="6" t="inlineStr">
        <is>
          <t xml:space="preserve">  ↳ NaxiWW2MachinegunTop</t>
        </is>
      </c>
      <c r="C211" s="6" t="inlineStr">
        <is>
          <t>Armament@mg</t>
        </is>
      </c>
      <c r="K211" s="5" t="n">
        <v>4000</v>
      </c>
      <c r="L211" s="5" t="n">
        <v>60</v>
      </c>
      <c r="M211" s="5" t="n">
        <v>6</v>
      </c>
      <c r="N211" s="5" t="n">
        <v>4</v>
      </c>
      <c r="O211" s="5" t="n">
        <v>7555</v>
      </c>
      <c r="P211" s="5" t="n">
        <v>1</v>
      </c>
      <c r="Q211">
        <f>L211+IF(M211&gt;1,N(N211)*(M211-1),0)</f>
        <v/>
      </c>
      <c r="R211">
        <f>IFERROR(K211*MAX(M211,1)/Q211*P211,0)</f>
        <v/>
      </c>
      <c r="AA211" s="6" t="inlineStr">
        <is>
          <t>^RA2SmallArms, ^RA2Chaingun</t>
        </is>
      </c>
    </row>
    <row r="212">
      <c r="B212" s="6" t="inlineStr">
        <is>
          <t xml:space="preserve">  ↳ NaxQuadCannonAAE</t>
        </is>
      </c>
      <c r="C212" s="6" t="inlineStr">
        <is>
          <t>Armament@aa</t>
        </is>
      </c>
      <c r="K212" s="5" t="n">
        <v>2000</v>
      </c>
      <c r="L212" s="5" t="n">
        <v>47</v>
      </c>
      <c r="M212" s="5" t="n">
        <v>8</v>
      </c>
      <c r="N212" s="5" t="n">
        <v>3</v>
      </c>
      <c r="O212" s="5" t="n">
        <v>9052</v>
      </c>
      <c r="P212" s="5" t="n">
        <v>1</v>
      </c>
      <c r="Q212">
        <f>L212+IF(M212&gt;1,N(N212)*(M212-1),0)</f>
        <v/>
      </c>
      <c r="R212">
        <f>IFERROR(K212*MAX(M212,1)/Q212*P212,0)</f>
        <v/>
      </c>
      <c r="AA212" s="6" t="inlineStr">
        <is>
          <t>^Grenade, ^HeavyMissile, ^Chaingun, ^RA2FlakWeapon</t>
        </is>
      </c>
    </row>
    <row r="213">
      <c r="A213" t="inlineStr">
        <is>
          <t>redalert2mod</t>
        </is>
      </c>
      <c r="B213" t="inlineStr">
        <is>
          <t>naxis_naxirocketsilo</t>
        </is>
      </c>
      <c r="C213" t="inlineStr">
        <is>
          <t>Naxi Rocket Silo</t>
        </is>
      </c>
      <c r="D213" t="inlineStr"/>
      <c r="E213" s="5" t="n">
        <v>1000000</v>
      </c>
      <c r="F213" s="5" t="n"/>
      <c r="G213" t="inlineStr">
        <is>
          <t>Concrete</t>
        </is>
      </c>
      <c r="H213" s="5" t="n">
        <v>1</v>
      </c>
      <c r="I213" s="5" t="n">
        <v>1</v>
      </c>
      <c r="J213" s="5" t="n">
        <v>1</v>
      </c>
      <c r="W213" s="5" t="n">
        <v>10000</v>
      </c>
    </row>
    <row r="214">
      <c r="A214" t="inlineStr">
        <is>
          <t>redalert2mod</t>
        </is>
      </c>
      <c r="B214" t="inlineStr">
        <is>
          <t>naxis_naxpetrolplant</t>
        </is>
      </c>
      <c r="C214" t="inlineStr">
        <is>
          <t>Nax Petrol Plant</t>
        </is>
      </c>
      <c r="D214" t="inlineStr"/>
      <c r="E214" s="5" t="n">
        <v>175000</v>
      </c>
      <c r="F214" s="5" t="n"/>
      <c r="G214" t="inlineStr">
        <is>
          <t>Wood</t>
        </is>
      </c>
      <c r="H214" s="5" t="n">
        <v>1</v>
      </c>
      <c r="I214" s="5" t="n">
        <v>1</v>
      </c>
      <c r="J214" s="5" t="n">
        <v>1</v>
      </c>
      <c r="W214" s="5" t="n">
        <v>800</v>
      </c>
    </row>
    <row r="215">
      <c r="A215" t="inlineStr">
        <is>
          <t>redalert2mod</t>
        </is>
      </c>
      <c r="B215" t="inlineStr">
        <is>
          <t>naxis_orerefinery</t>
        </is>
      </c>
      <c r="C215" t="inlineStr">
        <is>
          <t>Naxis Ore Refinery</t>
        </is>
      </c>
      <c r="D215" t="inlineStr"/>
      <c r="E215" s="5" t="n">
        <v>300000</v>
      </c>
      <c r="F215" s="5" t="n"/>
      <c r="G215" t="inlineStr">
        <is>
          <t>Concrete</t>
        </is>
      </c>
      <c r="H215" s="5" t="n">
        <v>1</v>
      </c>
      <c r="I215" s="5" t="n">
        <v>1</v>
      </c>
      <c r="J215" s="5" t="n">
        <v>1</v>
      </c>
      <c r="W215" s="5" t="n">
        <v>3000</v>
      </c>
    </row>
    <row r="216">
      <c r="A216" t="inlineStr">
        <is>
          <t>redalert2mod</t>
        </is>
      </c>
      <c r="B216" t="inlineStr">
        <is>
          <t>naxis_radar</t>
        </is>
      </c>
      <c r="C216" t="inlineStr">
        <is>
          <t>Naxis Radar</t>
        </is>
      </c>
      <c r="D216" t="inlineStr"/>
      <c r="E216" s="5" t="n">
        <v>250000</v>
      </c>
      <c r="F216" s="5" t="n"/>
      <c r="G216" t="inlineStr">
        <is>
          <t>Wood</t>
        </is>
      </c>
      <c r="H216" s="5" t="n">
        <v>1</v>
      </c>
      <c r="I216" s="5" t="n">
        <v>1</v>
      </c>
      <c r="J216" s="5" t="n">
        <v>1</v>
      </c>
      <c r="W216" s="5" t="n">
        <v>2500</v>
      </c>
    </row>
    <row r="217">
      <c r="A217" t="inlineStr">
        <is>
          <t>redalert2mod</t>
        </is>
      </c>
      <c r="B217" t="inlineStr">
        <is>
          <t>naxis_rifletower</t>
        </is>
      </c>
      <c r="C217" t="inlineStr">
        <is>
          <t>Rifle Tower</t>
        </is>
      </c>
      <c r="D217" t="inlineStr"/>
      <c r="E217" s="5" t="n">
        <v>78000</v>
      </c>
      <c r="F217" s="5" t="n"/>
      <c r="G217" t="inlineStr">
        <is>
          <t>Concrete</t>
        </is>
      </c>
      <c r="H217" s="5" t="n">
        <v>1</v>
      </c>
      <c r="I217" s="5" t="n">
        <v>1</v>
      </c>
      <c r="J217" s="5" t="n">
        <v>1</v>
      </c>
      <c r="W217" s="5" t="n">
        <v>650</v>
      </c>
    </row>
    <row r="218">
      <c r="B218" s="6" t="inlineStr">
        <is>
          <t xml:space="preserve">  ↳ NaxiRifleT</t>
        </is>
      </c>
      <c r="C218" s="6" t="inlineStr">
        <is>
          <t>Armament</t>
        </is>
      </c>
      <c r="K218" s="5" t="n">
        <v>32000</v>
      </c>
      <c r="L218" s="5" t="n">
        <v>50</v>
      </c>
      <c r="M218" s="5" t="n">
        <v>2</v>
      </c>
      <c r="N218" s="5" t="n">
        <v>5</v>
      </c>
      <c r="O218" s="5" t="n">
        <v>8100</v>
      </c>
      <c r="P218" s="5" t="n">
        <v>1</v>
      </c>
      <c r="Q218">
        <f>L218+IF(M218&gt;1,N(N218)*(M218-1),0)</f>
        <v/>
      </c>
      <c r="R218">
        <f>IFERROR(K218*MAX(M218,1)/Q218*P218,0)</f>
        <v/>
      </c>
      <c r="AA218" s="6" t="inlineStr">
        <is>
          <t>^SmallArms</t>
        </is>
      </c>
    </row>
    <row r="219">
      <c r="A219" t="inlineStr">
        <is>
          <t>redalert2mod</t>
        </is>
      </c>
      <c r="B219" t="inlineStr">
        <is>
          <t>naxis_sausagefactory</t>
        </is>
      </c>
      <c r="C219" t="inlineStr">
        <is>
          <t>Sausage Factory</t>
        </is>
      </c>
      <c r="D219" t="inlineStr"/>
      <c r="E219" s="5" t="n">
        <v>500000</v>
      </c>
      <c r="F219" s="5" t="n"/>
      <c r="G219" t="inlineStr">
        <is>
          <t>Concrete</t>
        </is>
      </c>
      <c r="H219" s="5" t="n">
        <v>1</v>
      </c>
      <c r="I219" s="5" t="n">
        <v>1</v>
      </c>
      <c r="J219" s="5" t="n">
        <v>1</v>
      </c>
      <c r="W219" s="5" t="n">
        <v>5000</v>
      </c>
    </row>
    <row r="220">
      <c r="A220" t="inlineStr">
        <is>
          <t>redalert2mod</t>
        </is>
      </c>
      <c r="B220" t="inlineStr">
        <is>
          <t>naxis_techcenter</t>
        </is>
      </c>
      <c r="C220" t="inlineStr">
        <is>
          <t>Naxis Tech Center</t>
        </is>
      </c>
      <c r="D220" t="inlineStr"/>
      <c r="E220" s="5" t="n">
        <v>500000</v>
      </c>
      <c r="F220" s="5" t="n"/>
      <c r="G220" t="inlineStr">
        <is>
          <t>Concrete</t>
        </is>
      </c>
      <c r="H220" s="5" t="n">
        <v>1</v>
      </c>
      <c r="I220" s="5" t="n">
        <v>1</v>
      </c>
      <c r="J220" s="5" t="n">
        <v>1</v>
      </c>
      <c r="W220" s="5" t="n">
        <v>5000</v>
      </c>
    </row>
    <row r="221">
      <c r="A221" t="inlineStr">
        <is>
          <t>redalert2mod</t>
        </is>
      </c>
      <c r="B221" t="inlineStr">
        <is>
          <t>naxis_warfactory</t>
        </is>
      </c>
      <c r="C221" t="inlineStr">
        <is>
          <t>Naxis War Factory</t>
        </is>
      </c>
      <c r="D221" t="inlineStr"/>
      <c r="E221" s="5" t="n">
        <v>400000</v>
      </c>
      <c r="F221" s="5" t="n"/>
      <c r="G221" t="inlineStr">
        <is>
          <t>Concrete</t>
        </is>
      </c>
      <c r="H221" s="5" t="n">
        <v>1</v>
      </c>
      <c r="I221" s="5" t="n">
        <v>1</v>
      </c>
      <c r="J221" s="5" t="n">
        <v>1</v>
      </c>
      <c r="W221" s="5" t="n">
        <v>2000</v>
      </c>
    </row>
    <row r="222">
      <c r="A222" s="3" t="inlineStr">
        <is>
          <t>UPGRADES</t>
        </is>
      </c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</row>
    <row r="223">
      <c r="A223" t="inlineStr">
        <is>
          <t>redalert2mod</t>
        </is>
      </c>
      <c r="B223" t="inlineStr">
        <is>
          <t>conyard_infiltrated.nax</t>
        </is>
      </c>
      <c r="C223" t="inlineStr">
        <is>
          <t>Stolen Naxis Buildings Plans</t>
        </is>
      </c>
      <c r="D223" t="inlineStr"/>
      <c r="E223" s="5" t="n"/>
      <c r="F223" s="5" t="n"/>
      <c r="H223" s="5" t="n">
        <v>1</v>
      </c>
      <c r="I223" s="5" t="n">
        <v>1</v>
      </c>
      <c r="J223" s="5" t="n">
        <v>1</v>
      </c>
      <c r="W223" s="5" t="n"/>
    </row>
    <row r="224">
      <c r="A224" t="inlineStr">
        <is>
          <t>redalert2mod</t>
        </is>
      </c>
      <c r="B224" t="inlineStr">
        <is>
          <t>naxis_promotion_hortenbomberstrike</t>
        </is>
      </c>
      <c r="C224" t="inlineStr">
        <is>
          <t>Horten Bomber Strike</t>
        </is>
      </c>
      <c r="D224" t="inlineStr"/>
      <c r="E224" s="5" t="n"/>
      <c r="F224" s="5" t="n"/>
      <c r="H224" s="5" t="n">
        <v>1</v>
      </c>
      <c r="I224" s="5" t="n">
        <v>1</v>
      </c>
      <c r="J224" s="5" t="n">
        <v>1</v>
      </c>
      <c r="W224" s="5" t="n"/>
    </row>
    <row r="225">
      <c r="A225" t="inlineStr">
        <is>
          <t>redalert2mod</t>
        </is>
      </c>
      <c r="B225" t="inlineStr">
        <is>
          <t>naxis_promotion_hortenbomberstrike_2</t>
        </is>
      </c>
      <c r="C225" t="inlineStr">
        <is>
          <t>Horten Bomber Strike</t>
        </is>
      </c>
      <c r="D225" t="inlineStr"/>
      <c r="E225" s="5" t="n"/>
      <c r="F225" s="5" t="n"/>
      <c r="H225" s="5" t="n">
        <v>1</v>
      </c>
      <c r="I225" s="5" t="n">
        <v>1</v>
      </c>
      <c r="J225" s="5" t="n">
        <v>1</v>
      </c>
      <c r="W225" s="5" t="n"/>
    </row>
    <row r="226">
      <c r="A226" t="inlineStr">
        <is>
          <t>redalert2mod</t>
        </is>
      </c>
      <c r="B226" t="inlineStr">
        <is>
          <t>naxis_upgrade_atlantikwall</t>
        </is>
      </c>
      <c r="C226" t="inlineStr">
        <is>
          <t>Atlantikwall</t>
        </is>
      </c>
      <c r="D226" t="inlineStr"/>
      <c r="E226" s="5" t="n"/>
      <c r="F226" s="5" t="n"/>
      <c r="H226" s="5" t="n">
        <v>1</v>
      </c>
      <c r="I226" s="5" t="n">
        <v>1</v>
      </c>
      <c r="J226" s="5" t="n">
        <v>1</v>
      </c>
      <c r="W226" s="5" t="n">
        <v>5000</v>
      </c>
    </row>
    <row r="227">
      <c r="A227" t="inlineStr">
        <is>
          <t>redalert2mod</t>
        </is>
      </c>
      <c r="B227" t="inlineStr">
        <is>
          <t>naxis_upgrade_blitzkrieg</t>
        </is>
      </c>
      <c r="C227" t="inlineStr">
        <is>
          <t>Blitzkrieg</t>
        </is>
      </c>
      <c r="D227" t="inlineStr"/>
      <c r="E227" s="5" t="n"/>
      <c r="F227" s="5" t="n"/>
      <c r="H227" s="5" t="n">
        <v>1</v>
      </c>
      <c r="I227" s="5" t="n">
        <v>1</v>
      </c>
      <c r="J227" s="5" t="n">
        <v>1</v>
      </c>
      <c r="W227" s="5" t="n">
        <v>10000</v>
      </c>
    </row>
    <row r="228">
      <c r="A228" t="inlineStr">
        <is>
          <t>redalert2mod</t>
        </is>
      </c>
      <c r="B228" t="inlineStr">
        <is>
          <t>naxis_upgrade_massopticsintegration</t>
        </is>
      </c>
      <c r="C228" t="inlineStr">
        <is>
          <t>Mass Optics Integration</t>
        </is>
      </c>
      <c r="D228" t="inlineStr"/>
      <c r="E228" s="5" t="n"/>
      <c r="F228" s="5" t="n"/>
      <c r="H228" s="5" t="n">
        <v>1</v>
      </c>
      <c r="I228" s="5" t="n">
        <v>1</v>
      </c>
      <c r="J228" s="5" t="n">
        <v>1</v>
      </c>
      <c r="W228" s="5" t="n">
        <v>5000</v>
      </c>
    </row>
    <row r="229">
      <c r="A229" t="inlineStr">
        <is>
          <t>redalert2mod</t>
        </is>
      </c>
      <c r="B229" t="inlineStr">
        <is>
          <t>naxis_upgrade_ostfrontexperience</t>
        </is>
      </c>
      <c r="C229" t="inlineStr">
        <is>
          <t>Ostfront Experience</t>
        </is>
      </c>
      <c r="D229" t="inlineStr"/>
      <c r="E229" s="5" t="n"/>
      <c r="F229" s="5" t="n"/>
      <c r="H229" s="5" t="n">
        <v>1</v>
      </c>
      <c r="I229" s="5" t="n">
        <v>1</v>
      </c>
      <c r="J229" s="5" t="n">
        <v>1</v>
      </c>
      <c r="W229" s="5" t="n">
        <v>5000</v>
      </c>
    </row>
    <row r="230">
      <c r="A230" t="inlineStr">
        <is>
          <t>redalert2mod</t>
        </is>
      </c>
      <c r="B230" t="inlineStr">
        <is>
          <t>naxis_upgrade_tankarsenalrenovation</t>
        </is>
      </c>
      <c r="C230" t="inlineStr">
        <is>
          <t>Tank Arsenal Renovation</t>
        </is>
      </c>
      <c r="D230" t="inlineStr"/>
      <c r="E230" s="5" t="n"/>
      <c r="F230" s="5" t="n"/>
      <c r="H230" s="5" t="n">
        <v>1</v>
      </c>
      <c r="I230" s="5" t="n">
        <v>1</v>
      </c>
      <c r="J230" s="5" t="n">
        <v>1</v>
      </c>
      <c r="W230" s="5" t="n">
        <v>5000</v>
      </c>
    </row>
    <row r="231">
      <c r="A231" t="inlineStr">
        <is>
          <t>redalert2mod</t>
        </is>
      </c>
      <c r="B231" t="inlineStr">
        <is>
          <t>naxis_upgrade_unlockme262</t>
        </is>
      </c>
      <c r="C231" t="inlineStr">
        <is>
          <t>Unlock Me 262</t>
        </is>
      </c>
      <c r="D231" t="inlineStr"/>
      <c r="E231" s="5" t="n"/>
      <c r="F231" s="5" t="n"/>
      <c r="H231" s="5" t="n">
        <v>1</v>
      </c>
      <c r="I231" s="5" t="n">
        <v>1</v>
      </c>
      <c r="J231" s="5" t="n">
        <v>1</v>
      </c>
      <c r="W231" s="5" t="n">
        <v>2500</v>
      </c>
    </row>
    <row r="232">
      <c r="A232" t="inlineStr">
        <is>
          <t>redalert2mod</t>
        </is>
      </c>
      <c r="B232" t="inlineStr">
        <is>
          <t>naxis_upgrade_wunderwaffe</t>
        </is>
      </c>
      <c r="C232" t="inlineStr">
        <is>
          <t>Wunderwaffe</t>
        </is>
      </c>
      <c r="D232" t="inlineStr"/>
      <c r="E232" s="5" t="n"/>
      <c r="F232" s="5" t="n"/>
      <c r="H232" s="5" t="n">
        <v>1</v>
      </c>
      <c r="I232" s="5" t="n">
        <v>1</v>
      </c>
      <c r="J232" s="5" t="n">
        <v>1</v>
      </c>
      <c r="W232" s="5" t="n">
        <v>5000</v>
      </c>
    </row>
    <row r="233">
      <c r="A233" t="inlineStr">
        <is>
          <t>redalert2mod</t>
        </is>
      </c>
      <c r="B233" t="inlineStr">
        <is>
          <t>up_resurrection.nax</t>
        </is>
      </c>
      <c r="C233" t="inlineStr">
        <is>
          <t>Resurrection</t>
        </is>
      </c>
      <c r="D233" t="inlineStr"/>
      <c r="E233" s="5" t="n"/>
      <c r="F233" s="5" t="n"/>
      <c r="H233" s="5" t="n">
        <v>1</v>
      </c>
      <c r="I233" s="5" t="n">
        <v>1</v>
      </c>
      <c r="J233" s="5" t="n">
        <v>1</v>
      </c>
      <c r="W233" s="5" t="n">
        <v>7500</v>
      </c>
    </row>
    <row r="234">
      <c r="A234" t="inlineStr">
        <is>
          <t>redalert2mod</t>
        </is>
      </c>
      <c r="B234" t="inlineStr">
        <is>
          <t>up_team_blitzkrieg.nax</t>
        </is>
      </c>
      <c r="C234" t="inlineStr">
        <is>
          <t>Blitzkrieg</t>
        </is>
      </c>
      <c r="D234" t="inlineStr"/>
      <c r="E234" s="5" t="n"/>
      <c r="F234" s="5" t="n"/>
      <c r="H234" s="5" t="n">
        <v>1</v>
      </c>
      <c r="I234" s="5" t="n">
        <v>1</v>
      </c>
      <c r="J234" s="5" t="n">
        <v>1</v>
      </c>
      <c r="W234" s="5" t="n"/>
    </row>
    <row r="235">
      <c r="A235" s="3" t="inlineStr">
        <is>
          <t>PROMOTIONS</t>
        </is>
      </c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</row>
    <row r="236">
      <c r="A236" t="inlineStr">
        <is>
          <t>redalert2mod</t>
        </is>
      </c>
      <c r="B236" t="inlineStr">
        <is>
          <t>naxis_promotion_betterparatanks</t>
        </is>
      </c>
      <c r="C236" t="inlineStr">
        <is>
          <t>Better Paratanks</t>
        </is>
      </c>
      <c r="D236" t="inlineStr"/>
      <c r="E236" s="5" t="n"/>
      <c r="F236" s="5" t="n"/>
      <c r="H236" s="5" t="n">
        <v>1</v>
      </c>
      <c r="I236" s="5" t="n">
        <v>1</v>
      </c>
      <c r="J236" s="5" t="n">
        <v>1</v>
      </c>
      <c r="W236" s="5" t="n"/>
    </row>
    <row r="237">
      <c r="A237" t="inlineStr">
        <is>
          <t>redalert2mod</t>
        </is>
      </c>
      <c r="B237" t="inlineStr">
        <is>
          <t>naxis_promotion_bossestanks</t>
        </is>
      </c>
      <c r="C237" t="inlineStr">
        <is>
          <t>Bosses Tanks</t>
        </is>
      </c>
      <c r="D237" t="inlineStr"/>
      <c r="E237" s="5" t="n"/>
      <c r="F237" s="5" t="n"/>
      <c r="H237" s="5" t="n">
        <v>1</v>
      </c>
      <c r="I237" s="5" t="n">
        <v>1</v>
      </c>
      <c r="J237" s="5" t="n">
        <v>1</v>
      </c>
      <c r="W237" s="5" t="n"/>
    </row>
    <row r="238">
      <c r="A238" t="inlineStr">
        <is>
          <t>redalert2mod</t>
        </is>
      </c>
      <c r="B238" t="inlineStr">
        <is>
          <t>naxis_promotion_donnerschlagmodelandotheradvancedmissiles</t>
        </is>
      </c>
      <c r="C238" t="inlineStr">
        <is>
          <t>Donnerschlag Model and other advanced Missiles</t>
        </is>
      </c>
      <c r="D238" t="inlineStr"/>
      <c r="E238" s="5" t="n"/>
      <c r="F238" s="5" t="n"/>
      <c r="H238" s="5" t="n">
        <v>1</v>
      </c>
      <c r="I238" s="5" t="n">
        <v>1</v>
      </c>
      <c r="J238" s="5" t="n">
        <v>1</v>
      </c>
      <c r="W238" s="5" t="n"/>
    </row>
    <row r="239">
      <c r="A239" t="inlineStr">
        <is>
          <t>redalert2mod</t>
        </is>
      </c>
      <c r="B239" t="inlineStr">
        <is>
          <t>naxis_promotion_generationiitanks</t>
        </is>
      </c>
      <c r="C239" t="inlineStr">
        <is>
          <t>Generation II tanks</t>
        </is>
      </c>
      <c r="D239" t="inlineStr"/>
      <c r="E239" s="5" t="n"/>
      <c r="F239" s="5" t="n"/>
      <c r="H239" s="5" t="n">
        <v>1</v>
      </c>
      <c r="I239" s="5" t="n">
        <v>1</v>
      </c>
      <c r="J239" s="5" t="n">
        <v>1</v>
      </c>
      <c r="W239" s="5" t="n"/>
    </row>
    <row r="240">
      <c r="A240" t="inlineStr">
        <is>
          <t>redalert2mod</t>
        </is>
      </c>
      <c r="B240" t="inlineStr">
        <is>
          <t>naxis_promotion_heavyvehicles</t>
        </is>
      </c>
      <c r="C240" t="inlineStr">
        <is>
          <t>Heavy Vehicles</t>
        </is>
      </c>
      <c r="D240" t="inlineStr"/>
      <c r="E240" s="5" t="n"/>
      <c r="F240" s="5" t="n"/>
      <c r="H240" s="5" t="n">
        <v>1</v>
      </c>
      <c r="I240" s="5" t="n">
        <v>1</v>
      </c>
      <c r="J240" s="5" t="n">
        <v>1</v>
      </c>
      <c r="W240" s="5" t="n"/>
    </row>
    <row r="241">
      <c r="A241" t="inlineStr">
        <is>
          <t>redalert2mod</t>
        </is>
      </c>
      <c r="B241" t="inlineStr">
        <is>
          <t>naxis_promotion_partisans</t>
        </is>
      </c>
      <c r="C241" t="inlineStr">
        <is>
          <t>Partisans</t>
        </is>
      </c>
      <c r="D241" t="inlineStr"/>
      <c r="E241" s="5" t="n"/>
      <c r="F241" s="5" t="n"/>
      <c r="H241" s="5" t="n">
        <v>1</v>
      </c>
      <c r="I241" s="5" t="n">
        <v>1</v>
      </c>
      <c r="J241" s="5" t="n">
        <v>1</v>
      </c>
      <c r="W241" s="5" t="n"/>
    </row>
    <row r="242">
      <c r="A242" t="inlineStr">
        <is>
          <t>redalert2mod</t>
        </is>
      </c>
      <c r="B242" t="inlineStr">
        <is>
          <t>naxis_promotion_sarubiamodel</t>
        </is>
      </c>
      <c r="C242" t="inlineStr">
        <is>
          <t>Sarubia Model</t>
        </is>
      </c>
      <c r="D242" t="inlineStr"/>
      <c r="E242" s="5" t="n"/>
      <c r="F242" s="5" t="n"/>
      <c r="H242" s="5" t="n">
        <v>1</v>
      </c>
      <c r="I242" s="5" t="n">
        <v>1</v>
      </c>
      <c r="J242" s="5" t="n">
        <v>1</v>
      </c>
      <c r="W242" s="5" t="n"/>
    </row>
    <row r="243">
      <c r="A243" t="inlineStr">
        <is>
          <t>redalert2mod</t>
        </is>
      </c>
      <c r="B243" t="inlineStr">
        <is>
          <t>naxis_promotion_shoekarnandking</t>
        </is>
      </c>
      <c r="C243" t="inlineStr">
        <is>
          <t>Shoe, Karn, and King</t>
        </is>
      </c>
      <c r="D243" t="inlineStr"/>
      <c r="E243" s="5" t="n"/>
      <c r="F243" s="5" t="n"/>
      <c r="H243" s="5" t="n">
        <v>1</v>
      </c>
      <c r="I243" s="5" t="n">
        <v>1</v>
      </c>
      <c r="J243" s="5" t="n">
        <v>1</v>
      </c>
      <c r="W243" s="5" t="n"/>
    </row>
    <row r="244">
      <c r="A244" t="inlineStr">
        <is>
          <t>redalert2mod</t>
        </is>
      </c>
      <c r="B244" t="inlineStr">
        <is>
          <t>naxis_promotion_shrek</t>
        </is>
      </c>
      <c r="C244" t="inlineStr">
        <is>
          <t>Shrek</t>
        </is>
      </c>
      <c r="D244" t="inlineStr"/>
      <c r="E244" s="5" t="n"/>
      <c r="F244" s="5" t="n"/>
      <c r="H244" s="5" t="n">
        <v>1</v>
      </c>
      <c r="I244" s="5" t="n">
        <v>1</v>
      </c>
      <c r="J244" s="5" t="n">
        <v>1</v>
      </c>
      <c r="W244" s="5" t="n"/>
    </row>
    <row r="245">
      <c r="A245" t="inlineStr">
        <is>
          <t>redalert2mod</t>
        </is>
      </c>
      <c r="B245" t="inlineStr">
        <is>
          <t>naxis_promotion_theratte</t>
        </is>
      </c>
      <c r="C245" t="inlineStr">
        <is>
          <t>The Ratte</t>
        </is>
      </c>
      <c r="D245" t="inlineStr"/>
      <c r="E245" s="5" t="n"/>
      <c r="F245" s="5" t="n"/>
      <c r="H245" s="5" t="n">
        <v>1</v>
      </c>
      <c r="I245" s="5" t="n">
        <v>1</v>
      </c>
      <c r="J245" s="5" t="n">
        <v>1</v>
      </c>
      <c r="W245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246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7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redalert2mod</t>
        </is>
      </c>
      <c r="B3" t="inlineStr">
        <is>
          <t>schwarzermond_engineeringarmor</t>
        </is>
      </c>
      <c r="C3" t="inlineStr">
        <is>
          <t>Engineering Armor</t>
        </is>
      </c>
      <c r="D3" t="inlineStr"/>
      <c r="E3" s="5" t="n">
        <v>50000</v>
      </c>
      <c r="F3" s="5" t="n">
        <v>40</v>
      </c>
      <c r="G3" t="inlineStr">
        <is>
          <t>Plate</t>
        </is>
      </c>
      <c r="H3" s="5" t="n">
        <v>1</v>
      </c>
      <c r="I3" s="5" t="n">
        <v>0.5</v>
      </c>
      <c r="J3" s="5" t="n">
        <v>2</v>
      </c>
      <c r="O3">
        <f>MAX(O4)</f>
        <v/>
      </c>
      <c r="R3">
        <f>R4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800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RA2IFVRepair</t>
        </is>
      </c>
      <c r="C4" s="6" t="inlineStr">
        <is>
          <t>Armament</t>
        </is>
      </c>
      <c r="K4" s="5" t="n">
        <v>-1</v>
      </c>
      <c r="L4" s="5" t="n">
        <v>50</v>
      </c>
      <c r="M4" s="5" t="n">
        <v>10</v>
      </c>
      <c r="N4" s="5" t="n">
        <v>1</v>
      </c>
      <c r="O4" s="5" t="n">
        <v>5000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^RepairWeapon</t>
        </is>
      </c>
    </row>
    <row r="5">
      <c r="A5" t="inlineStr">
        <is>
          <t>redalert2mod</t>
        </is>
      </c>
      <c r="B5" t="inlineStr">
        <is>
          <t>schwarzermond_lunarrocket</t>
        </is>
      </c>
      <c r="C5" t="inlineStr">
        <is>
          <t>Lunar Rocket</t>
        </is>
      </c>
      <c r="D5" t="inlineStr"/>
      <c r="E5" s="5" t="n">
        <v>18000</v>
      </c>
      <c r="F5" s="5" t="n">
        <v>60</v>
      </c>
      <c r="G5" t="inlineStr">
        <is>
          <t>Flak</t>
        </is>
      </c>
      <c r="H5" s="5" t="n">
        <v>1</v>
      </c>
      <c r="I5" s="5" t="n">
        <v>0.5</v>
      </c>
      <c r="J5" s="5" t="n">
        <v>1.75</v>
      </c>
      <c r="O5">
        <f>MAX(O6,O7)</f>
        <v/>
      </c>
      <c r="R5">
        <f>R6+R7</f>
        <v/>
      </c>
      <c r="S5">
        <f>(E5/100000+F5/100+(O5/1000)*J5/5+R5/200)*200*I5*H5</f>
        <v/>
      </c>
      <c r="T5">
        <f>((E5*F5/25000)+((O5/1000)*J5*R5/2.5))*I5*H5</f>
        <v/>
      </c>
      <c r="U5">
        <f>(E5*F5*(O5/1000)*J5*R5*I5*H5)/12500000</f>
        <v/>
      </c>
      <c r="V5">
        <f>(S5+T5+U5)/3</f>
        <v/>
      </c>
      <c r="W5" s="5" t="n">
        <v>350</v>
      </c>
      <c r="X5">
        <f>IFERROR(V5-W5,"")</f>
        <v/>
      </c>
      <c r="Y5">
        <f>IFERROR(ABS(X5)/MAX(W5,1),"")</f>
        <v/>
      </c>
      <c r="Z5">
        <f>IFERROR((W5-(((E5/100000+F5/100+R5/200)*200*I5*H5)+((E5*F5/25000)*I5*H5))/3)/(((J5/5)*200*I5*H5)+((J5*R5/2.5)*I5*H5)+((E5*F5*J5*R5*I5*H5)/12500000))/3*1000,"")</f>
        <v/>
      </c>
    </row>
    <row r="6">
      <c r="B6" s="6" t="inlineStr">
        <is>
          <t xml:space="preserve">  ↳ NaxCorrosionRocketTrooperE</t>
        </is>
      </c>
      <c r="C6" s="6" t="inlineStr">
        <is>
          <t>Armament@PRIMARY</t>
        </is>
      </c>
      <c r="K6" s="5" t="n">
        <v>4000</v>
      </c>
      <c r="L6" s="5" t="n">
        <v>50</v>
      </c>
      <c r="M6" s="5" t="n">
        <v>1</v>
      </c>
      <c r="N6" s="5" t="n">
        <v>2</v>
      </c>
      <c r="O6" s="5" t="n">
        <v>6055</v>
      </c>
      <c r="P6" s="5" t="n">
        <v>1</v>
      </c>
      <c r="Q6">
        <f>L6+IF(M6&gt;1,N(N6)*(M6-1),0)</f>
        <v/>
      </c>
      <c r="R6">
        <f>IFERROR(K6*MAX(M6,1)/Q6*P6,0)</f>
        <v/>
      </c>
      <c r="AA6" s="6" t="inlineStr">
        <is>
          <t>^Grenade, ^HeavyMissile, ^RA2MediumMissile</t>
        </is>
      </c>
    </row>
    <row r="7">
      <c r="B7" s="6" t="inlineStr">
        <is>
          <t xml:space="preserve">  ↳ NaxCorrosionRocketTrooperE</t>
        </is>
      </c>
      <c r="C7" s="6" t="inlineStr">
        <is>
          <t>Armament@ELITE</t>
        </is>
      </c>
      <c r="K7" s="5" t="n">
        <v>4000</v>
      </c>
      <c r="L7" s="5" t="n">
        <v>50</v>
      </c>
      <c r="M7" s="5" t="n">
        <v>1</v>
      </c>
      <c r="N7" s="5" t="n">
        <v>2</v>
      </c>
      <c r="O7" s="5" t="n">
        <v>6055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^Grenade, ^HeavyMissile, ^RA2MediumMissile</t>
        </is>
      </c>
    </row>
    <row r="8">
      <c r="B8" s="6" t="inlineStr">
        <is>
          <t xml:space="preserve">  ↳ NaxCorrosionRocketTrooperE</t>
        </is>
      </c>
      <c r="C8" s="6" t="inlineStr">
        <is>
          <t>Armament@GARRISONED</t>
        </is>
      </c>
      <c r="K8" s="5" t="n">
        <v>4000</v>
      </c>
      <c r="L8" s="5" t="n">
        <v>50</v>
      </c>
      <c r="M8" s="5" t="n">
        <v>1</v>
      </c>
      <c r="N8" s="5" t="n">
        <v>2</v>
      </c>
      <c r="O8" s="5" t="n">
        <v>6055</v>
      </c>
      <c r="P8" s="5" t="n">
        <v>1</v>
      </c>
      <c r="Q8">
        <f>L8+IF(M8&gt;1,N(N8)*(M8-1),0)</f>
        <v/>
      </c>
      <c r="R8">
        <f>IFERROR(K8*MAX(M8,1)/Q8*P8,0)</f>
        <v/>
      </c>
      <c r="AA8" s="6" t="inlineStr">
        <is>
          <t>^Grenade, ^HeavyMissile, ^RA2MediumMissile</t>
        </is>
      </c>
    </row>
    <row r="9">
      <c r="B9" s="6" t="inlineStr">
        <is>
          <t xml:space="preserve">  ↳ NaxCorrosionRocketTrooperE</t>
        </is>
      </c>
      <c r="C9" s="6" t="inlineStr">
        <is>
          <t>Armament@GARRISONEDELITE</t>
        </is>
      </c>
      <c r="K9" s="5" t="n">
        <v>4000</v>
      </c>
      <c r="L9" s="5" t="n">
        <v>50</v>
      </c>
      <c r="M9" s="5" t="n">
        <v>1</v>
      </c>
      <c r="N9" s="5" t="n">
        <v>2</v>
      </c>
      <c r="O9" s="5" t="n">
        <v>6055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>
        <is>
          <t>^Grenade, ^HeavyMissile, ^RA2MediumMissile</t>
        </is>
      </c>
    </row>
    <row r="10">
      <c r="A10" t="inlineStr">
        <is>
          <t>redalert2mod</t>
        </is>
      </c>
      <c r="B10" t="inlineStr">
        <is>
          <t>schwarzermond_lunarsoldier</t>
        </is>
      </c>
      <c r="C10" t="inlineStr">
        <is>
          <t>Lunar Soldier</t>
        </is>
      </c>
      <c r="D10" t="inlineStr"/>
      <c r="E10" s="5" t="n">
        <v>24000</v>
      </c>
      <c r="F10" s="5" t="n">
        <v>60</v>
      </c>
      <c r="G10" t="inlineStr">
        <is>
          <t>None</t>
        </is>
      </c>
      <c r="H10" s="5" t="n">
        <v>1</v>
      </c>
      <c r="I10" s="5" t="n">
        <v>0.5</v>
      </c>
      <c r="J10" s="5" t="n">
        <v>1</v>
      </c>
      <c r="O10">
        <f>MAX(O11,O12,O13,O14,O15,O16)</f>
        <v/>
      </c>
      <c r="R10">
        <f>R11+R12+R13+R14+R15+R16</f>
        <v/>
      </c>
      <c r="S10">
        <f>(E10/100000+F10/100+(O10/1000)*J10/5+R10/200)*200*I10*H10</f>
        <v/>
      </c>
      <c r="T10">
        <f>((E10*F10/25000)+((O10/1000)*J10*R10/2.5))*I10*H10</f>
        <v/>
      </c>
      <c r="U10">
        <f>(E10*F10*(O10/1000)*J10*R10*I10*H10)/12500000</f>
        <v/>
      </c>
      <c r="V10">
        <f>(S10+T10+U10)/3</f>
        <v/>
      </c>
      <c r="W10" s="5" t="n">
        <v>120</v>
      </c>
      <c r="X10">
        <f>IFERROR(V10-W10,"")</f>
        <v/>
      </c>
      <c r="Y10">
        <f>IFERROR(ABS(X10)/MAX(W10,1),"")</f>
        <v/>
      </c>
      <c r="Z10">
        <f>IFERROR((W10-(((E10/100000+F10/100+R10/200)*200*I10*H10)+((E10*F10/25000)*I10*H10))/3)/(((J10/5)*200*I10*H10)+((J10*R10/2.5)*I10*H10)+((E10*F10*J10*R10*I10*H10)/12500000))/3*1000,"")</f>
        <v/>
      </c>
    </row>
    <row r="11">
      <c r="B11" s="6" t="inlineStr">
        <is>
          <t xml:space="preserve">  ↳ schwarzermond_lunarsoldier_rifle</t>
        </is>
      </c>
      <c r="C11" s="6" t="inlineStr">
        <is>
          <t>Armament@PRIMARY</t>
        </is>
      </c>
      <c r="K11" s="5" t="n">
        <v>3000</v>
      </c>
      <c r="L11" s="5" t="n">
        <v>50</v>
      </c>
      <c r="M11" s="5" t="n">
        <v>1</v>
      </c>
      <c r="N11" s="5" t="n"/>
      <c r="O11" s="5" t="n">
        <v>4500</v>
      </c>
      <c r="P11" s="5" t="n">
        <v>1</v>
      </c>
      <c r="Q11">
        <f>L11+IF(M11&gt;1,N(N11)*(M11-1),0)</f>
        <v/>
      </c>
      <c r="R11">
        <f>IFERROR(K11*MAX(M11,1)/Q11*P11,0)</f>
        <v/>
      </c>
      <c r="AA11" s="6" t="inlineStr">
        <is>
          <t>^SmallArms, ^RA2LaserWeapon</t>
        </is>
      </c>
    </row>
    <row r="12">
      <c r="B12" s="6" t="inlineStr">
        <is>
          <t xml:space="preserve">  ↳ schwarzermond_lunarsoldier_rifle_elite</t>
        </is>
      </c>
      <c r="C12" s="6" t="inlineStr">
        <is>
          <t>Armament@ELITE</t>
        </is>
      </c>
      <c r="K12" s="5" t="n">
        <v>3000</v>
      </c>
      <c r="L12" s="5" t="n">
        <v>50</v>
      </c>
      <c r="M12" s="5" t="n">
        <v>2</v>
      </c>
      <c r="N12" s="5" t="n">
        <v>3</v>
      </c>
      <c r="O12" s="5" t="n">
        <v>5500</v>
      </c>
      <c r="P12" s="5" t="n">
        <v>1</v>
      </c>
      <c r="Q12">
        <f>L12+IF(M12&gt;1,N(N12)*(M12-1),0)</f>
        <v/>
      </c>
      <c r="R12">
        <f>IFERROR(K12*MAX(M12,1)/Q12*P12,0)</f>
        <v/>
      </c>
      <c r="AA12" s="6" t="inlineStr">
        <is>
          <t>^SmallArms, ^RA2LaserWeapon</t>
        </is>
      </c>
    </row>
    <row r="13">
      <c r="B13" s="6" t="inlineStr">
        <is>
          <t xml:space="preserve">  ↳ schwarzermond_lunarsoldier_rifle_yellow</t>
        </is>
      </c>
      <c r="C13" s="6" t="inlineStr">
        <is>
          <t>Armament@PRIMARY_UP</t>
        </is>
      </c>
      <c r="K13" s="5" t="n">
        <v>3000</v>
      </c>
      <c r="L13" s="5" t="n">
        <v>50</v>
      </c>
      <c r="M13" s="5" t="n">
        <v>2</v>
      </c>
      <c r="N13" s="5" t="n">
        <v>3</v>
      </c>
      <c r="O13" s="5" t="n">
        <v>4500</v>
      </c>
      <c r="P13" s="5" t="n">
        <v>1</v>
      </c>
      <c r="Q13">
        <f>L13+IF(M13&gt;1,N(N13)*(M13-1),0)</f>
        <v/>
      </c>
      <c r="R13">
        <f>IFERROR(K13*MAX(M13,1)/Q13*P13,0)</f>
        <v/>
      </c>
      <c r="AA13" s="6" t="inlineStr">
        <is>
          <t>^SmallArms, ^RA2LaserWeapon</t>
        </is>
      </c>
    </row>
    <row r="14">
      <c r="B14" s="6" t="inlineStr">
        <is>
          <t xml:space="preserve">  ↳ schwarzermond_lunarsoldier_rifle_yellow_elite</t>
        </is>
      </c>
      <c r="C14" s="6" t="inlineStr">
        <is>
          <t>Armament@ELITE_UP</t>
        </is>
      </c>
      <c r="K14" s="5" t="n">
        <v>3000</v>
      </c>
      <c r="L14" s="5" t="n">
        <v>50</v>
      </c>
      <c r="M14" s="5" t="n">
        <v>3</v>
      </c>
      <c r="N14" s="5" t="n">
        <v>3</v>
      </c>
      <c r="O14" s="5" t="n">
        <v>5500</v>
      </c>
      <c r="P14" s="5" t="n">
        <v>1</v>
      </c>
      <c r="Q14">
        <f>L14+IF(M14&gt;1,N(N14)*(M14-1),0)</f>
        <v/>
      </c>
      <c r="R14">
        <f>IFERROR(K14*MAX(M14,1)/Q14*P14,0)</f>
        <v/>
      </c>
      <c r="AA14" s="6" t="inlineStr">
        <is>
          <t>^SmallArms, ^RA2LaserWeapon</t>
        </is>
      </c>
    </row>
    <row r="15">
      <c r="B15" s="6" t="inlineStr">
        <is>
          <t xml:space="preserve">  ↳ schwarzermond_lunarsoldier_rifle_amplified</t>
        </is>
      </c>
      <c r="C15" s="6" t="inlineStr">
        <is>
          <t>Armament@PRIMARY_AMP</t>
        </is>
      </c>
      <c r="K15" s="5" t="n">
        <v>3000</v>
      </c>
      <c r="L15" s="5" t="n">
        <v>50</v>
      </c>
      <c r="M15" s="5" t="n">
        <v>3</v>
      </c>
      <c r="N15" s="5" t="n">
        <v>3</v>
      </c>
      <c r="O15" s="5" t="n">
        <v>4500</v>
      </c>
      <c r="P15" s="5" t="n">
        <v>1</v>
      </c>
      <c r="Q15">
        <f>L15+IF(M15&gt;1,N(N15)*(M15-1),0)</f>
        <v/>
      </c>
      <c r="R15">
        <f>IFERROR(K15*MAX(M15,1)/Q15*P15,0)</f>
        <v/>
      </c>
      <c r="AA15" s="6" t="inlineStr">
        <is>
          <t>^SmallArms, ^RA2LaserWeapon</t>
        </is>
      </c>
    </row>
    <row r="16">
      <c r="B16" s="6" t="inlineStr">
        <is>
          <t xml:space="preserve">  ↳ schwarzermond_lunarsoldier_rifle_amplified_elite</t>
        </is>
      </c>
      <c r="C16" s="6" t="inlineStr">
        <is>
          <t>Armament@ELITE_AMP</t>
        </is>
      </c>
      <c r="K16" s="5" t="n">
        <v>3000</v>
      </c>
      <c r="L16" s="5" t="n">
        <v>50</v>
      </c>
      <c r="M16" s="5" t="n">
        <v>4</v>
      </c>
      <c r="N16" s="5" t="n">
        <v>3</v>
      </c>
      <c r="O16" s="5" t="n">
        <v>5500</v>
      </c>
      <c r="P16" s="5" t="n">
        <v>1</v>
      </c>
      <c r="Q16">
        <f>L16+IF(M16&gt;1,N(N16)*(M16-1),0)</f>
        <v/>
      </c>
      <c r="R16">
        <f>IFERROR(K16*MAX(M16,1)/Q16*P16,0)</f>
        <v/>
      </c>
      <c r="AA16" s="6" t="inlineStr">
        <is>
          <t>^SmallArms, ^RA2LaserWeapon</t>
        </is>
      </c>
    </row>
    <row r="17">
      <c r="B17" s="6" t="inlineStr">
        <is>
          <t xml:space="preserve">  ↳ schwarzermond_lunarsoldier_rifle</t>
        </is>
      </c>
      <c r="C17" s="6" t="inlineStr">
        <is>
          <t>Armament@GARRISONED</t>
        </is>
      </c>
      <c r="K17" s="5" t="n">
        <v>3000</v>
      </c>
      <c r="L17" s="5" t="n">
        <v>50</v>
      </c>
      <c r="M17" s="5" t="n">
        <v>1</v>
      </c>
      <c r="N17" s="5" t="n"/>
      <c r="O17" s="5" t="n">
        <v>4500</v>
      </c>
      <c r="P17" s="5" t="n">
        <v>1</v>
      </c>
      <c r="Q17">
        <f>L17+IF(M17&gt;1,N(N17)*(M17-1),0)</f>
        <v/>
      </c>
      <c r="R17">
        <f>IFERROR(K17*MAX(M17,1)/Q17*P17,0)</f>
        <v/>
      </c>
      <c r="AA17" s="6" t="inlineStr">
        <is>
          <t>^SmallArms, ^RA2LaserWeapon</t>
        </is>
      </c>
    </row>
    <row r="18">
      <c r="B18" s="6" t="inlineStr">
        <is>
          <t xml:space="preserve">  ↳ schwarzermond_lunarsoldier_rifle_elite</t>
        </is>
      </c>
      <c r="C18" s="6" t="inlineStr">
        <is>
          <t>Armament@GARRISONEDELITE</t>
        </is>
      </c>
      <c r="K18" s="5" t="n">
        <v>3000</v>
      </c>
      <c r="L18" s="5" t="n">
        <v>50</v>
      </c>
      <c r="M18" s="5" t="n">
        <v>2</v>
      </c>
      <c r="N18" s="5" t="n">
        <v>3</v>
      </c>
      <c r="O18" s="5" t="n">
        <v>5500</v>
      </c>
      <c r="P18" s="5" t="n">
        <v>1</v>
      </c>
      <c r="Q18">
        <f>L18+IF(M18&gt;1,N(N18)*(M18-1),0)</f>
        <v/>
      </c>
      <c r="R18">
        <f>IFERROR(K18*MAX(M18,1)/Q18*P18,0)</f>
        <v/>
      </c>
      <c r="AA18" s="6" t="inlineStr">
        <is>
          <t>^SmallArms, ^RA2LaserWeapon</t>
        </is>
      </c>
    </row>
    <row r="19">
      <c r="B19" s="6" t="inlineStr">
        <is>
          <t xml:space="preserve">  ↳ schwarzermond_lunarsoldier_rifle_yellow</t>
        </is>
      </c>
      <c r="C19" s="6" t="inlineStr">
        <is>
          <t>Armament@GARRISONED_UP</t>
        </is>
      </c>
      <c r="K19" s="5" t="n">
        <v>3000</v>
      </c>
      <c r="L19" s="5" t="n">
        <v>50</v>
      </c>
      <c r="M19" s="5" t="n">
        <v>2</v>
      </c>
      <c r="N19" s="5" t="n">
        <v>3</v>
      </c>
      <c r="O19" s="5" t="n">
        <v>4500</v>
      </c>
      <c r="P19" s="5" t="n">
        <v>1</v>
      </c>
      <c r="Q19">
        <f>L19+IF(M19&gt;1,N(N19)*(M19-1),0)</f>
        <v/>
      </c>
      <c r="R19">
        <f>IFERROR(K19*MAX(M19,1)/Q19*P19,0)</f>
        <v/>
      </c>
      <c r="AA19" s="6" t="inlineStr">
        <is>
          <t>^SmallArms, ^RA2LaserWeapon</t>
        </is>
      </c>
    </row>
    <row r="20">
      <c r="B20" s="6" t="inlineStr">
        <is>
          <t xml:space="preserve">  ↳ schwarzermond_lunarsoldier_rifle_yellow_elite</t>
        </is>
      </c>
      <c r="C20" s="6" t="inlineStr">
        <is>
          <t>Armament@GARRISONEDELITE_UP</t>
        </is>
      </c>
      <c r="K20" s="5" t="n">
        <v>3000</v>
      </c>
      <c r="L20" s="5" t="n">
        <v>50</v>
      </c>
      <c r="M20" s="5" t="n">
        <v>3</v>
      </c>
      <c r="N20" s="5" t="n">
        <v>3</v>
      </c>
      <c r="O20" s="5" t="n">
        <v>5500</v>
      </c>
      <c r="P20" s="5" t="n">
        <v>1</v>
      </c>
      <c r="Q20">
        <f>L20+IF(M20&gt;1,N(N20)*(M20-1),0)</f>
        <v/>
      </c>
      <c r="R20">
        <f>IFERROR(K20*MAX(M20,1)/Q20*P20,0)</f>
        <v/>
      </c>
      <c r="AA20" s="6" t="inlineStr">
        <is>
          <t>^SmallArms, ^RA2LaserWeapon</t>
        </is>
      </c>
    </row>
    <row r="21">
      <c r="B21" s="6" t="inlineStr">
        <is>
          <t xml:space="preserve">  ↳ schwarzermond_lunarsoldier_rifle_amplified</t>
        </is>
      </c>
      <c r="C21" s="6" t="inlineStr">
        <is>
          <t>Armament@GARRISONED_AMP</t>
        </is>
      </c>
      <c r="K21" s="5" t="n">
        <v>3000</v>
      </c>
      <c r="L21" s="5" t="n">
        <v>50</v>
      </c>
      <c r="M21" s="5" t="n">
        <v>3</v>
      </c>
      <c r="N21" s="5" t="n">
        <v>3</v>
      </c>
      <c r="O21" s="5" t="n">
        <v>4500</v>
      </c>
      <c r="P21" s="5" t="n">
        <v>1</v>
      </c>
      <c r="Q21">
        <f>L21+IF(M21&gt;1,N(N21)*(M21-1),0)</f>
        <v/>
      </c>
      <c r="R21">
        <f>IFERROR(K21*MAX(M21,1)/Q21*P21,0)</f>
        <v/>
      </c>
      <c r="AA21" s="6" t="inlineStr">
        <is>
          <t>^SmallArms, ^RA2LaserWeapon</t>
        </is>
      </c>
    </row>
    <row r="22">
      <c r="B22" s="6" t="inlineStr">
        <is>
          <t xml:space="preserve">  ↳ schwarzermond_lunarsoldier_rifle_amplified_elite</t>
        </is>
      </c>
      <c r="C22" s="6" t="inlineStr">
        <is>
          <t>Armament@GARRISONEDELITE_AMP</t>
        </is>
      </c>
      <c r="K22" s="5" t="n">
        <v>3000</v>
      </c>
      <c r="L22" s="5" t="n">
        <v>50</v>
      </c>
      <c r="M22" s="5" t="n">
        <v>4</v>
      </c>
      <c r="N22" s="5" t="n">
        <v>3</v>
      </c>
      <c r="O22" s="5" t="n">
        <v>5500</v>
      </c>
      <c r="P22" s="5" t="n">
        <v>1</v>
      </c>
      <c r="Q22">
        <f>L22+IF(M22&gt;1,N(N22)*(M22-1),0)</f>
        <v/>
      </c>
      <c r="R22">
        <f>IFERROR(K22*MAX(M22,1)/Q22*P22,0)</f>
        <v/>
      </c>
      <c r="AA22" s="6" t="inlineStr">
        <is>
          <t>^SmallArms, ^RA2LaserWeapon</t>
        </is>
      </c>
    </row>
    <row r="23">
      <c r="A23" t="inlineStr">
        <is>
          <t>redalert2mod</t>
        </is>
      </c>
      <c r="B23" t="inlineStr">
        <is>
          <t>schwarzermond_noidharvester</t>
        </is>
      </c>
      <c r="C23" t="inlineStr">
        <is>
          <t>Noid Harvester</t>
        </is>
      </c>
      <c r="D23" t="inlineStr"/>
      <c r="E23" s="5" t="n">
        <v>75000</v>
      </c>
      <c r="F23" s="5" t="n">
        <v>40</v>
      </c>
      <c r="G23" t="inlineStr">
        <is>
          <t>Plate</t>
        </is>
      </c>
      <c r="H23" s="5" t="n">
        <v>1</v>
      </c>
      <c r="I23" s="5" t="n">
        <v>1</v>
      </c>
      <c r="J23" s="5" t="n">
        <v>1</v>
      </c>
      <c r="O23">
        <f>MAX(O24,O25)</f>
        <v/>
      </c>
      <c r="R23">
        <f>R24+R25</f>
        <v/>
      </c>
      <c r="S23">
        <f>(E23/100000+F23/100+(O23/1000)*J23/5+R23/200)*200*I23*H23</f>
        <v/>
      </c>
      <c r="T23">
        <f>((E23*F23/25000)+((O23/1000)*J23*R23/2.5))*I23*H23</f>
        <v/>
      </c>
      <c r="U23">
        <f>(E23*F23*(O23/1000)*J23*R23*I23*H23)/12500000</f>
        <v/>
      </c>
      <c r="V23">
        <f>(S23+T23+U23)/3</f>
        <v/>
      </c>
      <c r="W23" s="5" t="n">
        <v>500</v>
      </c>
      <c r="X23">
        <f>IFERROR(V23-W23,"")</f>
        <v/>
      </c>
      <c r="Y23">
        <f>IFERROR(ABS(X23)/MAX(W23,1),"")</f>
        <v/>
      </c>
      <c r="Z23">
        <f>IFERROR((W23-(((E23/100000+F23/100+R23/200)*200*I23*H23)+((E23*F23/25000)*I23*H23))/3)/(((J23/5)*200*I23*H23)+((J23*R23/2.5)*I23*H23)+((E23*F23*J23*R23*I23*H23)/12500000))/3*1000,"")</f>
        <v/>
      </c>
    </row>
    <row r="24">
      <c r="B24" s="6" t="inlineStr">
        <is>
          <t xml:space="preserve">  ↳ NaxiMP40Laser</t>
        </is>
      </c>
      <c r="C24" s="6" t="inlineStr">
        <is>
          <t>Armament@PRIMARY</t>
        </is>
      </c>
      <c r="K24" s="5" t="n">
        <v>2000</v>
      </c>
      <c r="L24" s="5" t="n">
        <v>100</v>
      </c>
      <c r="M24" s="5" t="n">
        <v>5</v>
      </c>
      <c r="N24" s="5" t="n">
        <v>5</v>
      </c>
      <c r="O24" s="5" t="n">
        <v>4384</v>
      </c>
      <c r="P24" s="5" t="n">
        <v>1</v>
      </c>
      <c r="Q24">
        <f>L24+IF(M24&gt;1,N(N24)*(M24-1),0)</f>
        <v/>
      </c>
      <c r="R24">
        <f>IFERROR(K24*MAX(M24,1)/Q24*P24,0)</f>
        <v/>
      </c>
      <c r="AA24" s="6" t="inlineStr">
        <is>
          <t>^Grenade, ^HeavyCannon, ^RA2Chaingun, ^SmallArms, ^RA2LaserWeapon</t>
        </is>
      </c>
    </row>
    <row r="25">
      <c r="B25" s="6" t="inlineStr">
        <is>
          <t xml:space="preserve">  ↳ NaxiMP40LaserE</t>
        </is>
      </c>
      <c r="C25" s="6" t="inlineStr">
        <is>
          <t>Armament@ELITE</t>
        </is>
      </c>
      <c r="K25" s="5" t="n">
        <v>2000</v>
      </c>
      <c r="L25" s="5" t="n">
        <v>100</v>
      </c>
      <c r="M25" s="5" t="n">
        <v>10</v>
      </c>
      <c r="N25" s="5" t="n">
        <v>3</v>
      </c>
      <c r="O25" s="5" t="n">
        <v>5384</v>
      </c>
      <c r="P25" s="5" t="n">
        <v>1</v>
      </c>
      <c r="Q25">
        <f>L25+IF(M25&gt;1,N(N25)*(M25-1),0)</f>
        <v/>
      </c>
      <c r="R25">
        <f>IFERROR(K25*MAX(M25,1)/Q25*P25,0)</f>
        <v/>
      </c>
      <c r="AA25" s="6" t="inlineStr">
        <is>
          <t>^Grenade, ^HeavyCannon, ^RA2Chaingun, ^SmallArms, ^RA2LaserWeapon</t>
        </is>
      </c>
    </row>
    <row r="26">
      <c r="A26" t="inlineStr">
        <is>
          <t>redalert2mod</t>
        </is>
      </c>
      <c r="B26" t="inlineStr">
        <is>
          <t>schwarzermond_noidmgarmor</t>
        </is>
      </c>
      <c r="C26" t="inlineStr">
        <is>
          <t>Noid MG Armor</t>
        </is>
      </c>
      <c r="D26" t="inlineStr"/>
      <c r="E26" s="5" t="n">
        <v>50000</v>
      </c>
      <c r="F26" s="5" t="n">
        <v>40</v>
      </c>
      <c r="G26" t="inlineStr">
        <is>
          <t>Superheavy</t>
        </is>
      </c>
      <c r="H26" s="5" t="n">
        <v>1</v>
      </c>
      <c r="I26" s="5" t="n">
        <v>0.8</v>
      </c>
      <c r="J26" s="5" t="n">
        <v>1</v>
      </c>
      <c r="O26">
        <f>MAX(O27,O28,O29,O30,O31,O32)</f>
        <v/>
      </c>
      <c r="R26">
        <f>R27+R28+R29+R30+R31+R32</f>
        <v/>
      </c>
      <c r="S26">
        <f>(E26/100000+F26/100+(O26/1000)*J26/5+R26/200)*200*I26*H26</f>
        <v/>
      </c>
      <c r="T26">
        <f>((E26*F26/25000)+((O26/1000)*J26*R26/2.5))*I26*H26</f>
        <v/>
      </c>
      <c r="U26">
        <f>(E26*F26*(O26/1000)*J26*R26*I26*H26)/12500000</f>
        <v/>
      </c>
      <c r="V26">
        <f>(S26+T26+U26)/3</f>
        <v/>
      </c>
      <c r="W26" s="5" t="n">
        <v>500</v>
      </c>
      <c r="X26">
        <f>IFERROR(V26-W26,"")</f>
        <v/>
      </c>
      <c r="Y26">
        <f>IFERROR(ABS(X26)/MAX(W26,1),"")</f>
        <v/>
      </c>
      <c r="Z26">
        <f>IFERROR((W26-(((E26/100000+F26/100+R26/200)*200*I26*H26)+((E26*F26/25000)*I26*H26))/3)/(((J26/5)*200*I26*H26)+((J26*R26/2.5)*I26*H26)+((E26*F26*J26*R26*I26*H26)/12500000))/3*1000,"")</f>
        <v/>
      </c>
    </row>
    <row r="27">
      <c r="B27" s="6" t="inlineStr">
        <is>
          <t xml:space="preserve">  ↳ NaxiMP40Laser</t>
        </is>
      </c>
      <c r="C27" s="6" t="inlineStr">
        <is>
          <t>Armament@PRIMARY</t>
        </is>
      </c>
      <c r="K27" s="5" t="n">
        <v>2000</v>
      </c>
      <c r="L27" s="5" t="n">
        <v>100</v>
      </c>
      <c r="M27" s="5" t="n">
        <v>5</v>
      </c>
      <c r="N27" s="5" t="n">
        <v>5</v>
      </c>
      <c r="O27" s="5" t="n">
        <v>4384</v>
      </c>
      <c r="P27" s="5" t="n">
        <v>1</v>
      </c>
      <c r="Q27">
        <f>L27+IF(M27&gt;1,N(N27)*(M27-1),0)</f>
        <v/>
      </c>
      <c r="R27">
        <f>IFERROR(K27*MAX(M27,1)/Q27*P27,0)</f>
        <v/>
      </c>
      <c r="AA27" s="6" t="inlineStr">
        <is>
          <t>^Grenade, ^HeavyCannon, ^RA2Chaingun, ^SmallArms, ^RA2LaserWeapon</t>
        </is>
      </c>
    </row>
    <row r="28">
      <c r="B28" s="6" t="inlineStr">
        <is>
          <t xml:space="preserve">  ↳ NaxiMP40LaserE</t>
        </is>
      </c>
      <c r="C28" s="6" t="inlineStr">
        <is>
          <t>Armament@ELITE</t>
        </is>
      </c>
      <c r="K28" s="5" t="n">
        <v>2000</v>
      </c>
      <c r="L28" s="5" t="n">
        <v>100</v>
      </c>
      <c r="M28" s="5" t="n">
        <v>10</v>
      </c>
      <c r="N28" s="5" t="n">
        <v>3</v>
      </c>
      <c r="O28" s="5" t="n">
        <v>5384</v>
      </c>
      <c r="P28" s="5" t="n">
        <v>1</v>
      </c>
      <c r="Q28">
        <f>L28+IF(M28&gt;1,N(N28)*(M28-1),0)</f>
        <v/>
      </c>
      <c r="R28">
        <f>IFERROR(K28*MAX(M28,1)/Q28*P28,0)</f>
        <v/>
      </c>
      <c r="AA28" s="6" t="inlineStr">
        <is>
          <t>^Grenade, ^HeavyCannon, ^RA2Chaingun, ^SmallArms, ^RA2LaserWeapon</t>
        </is>
      </c>
    </row>
    <row r="29">
      <c r="B29" s="6" t="inlineStr">
        <is>
          <t xml:space="preserve">  ↳ Lunar_YellowMP40Laser</t>
        </is>
      </c>
      <c r="C29" s="6" t="inlineStr">
        <is>
          <t>Armament@PRIMARY_UP</t>
        </is>
      </c>
      <c r="K29" s="5" t="n">
        <v>2000</v>
      </c>
      <c r="L29" s="5" t="n">
        <v>100</v>
      </c>
      <c r="M29" s="5" t="n">
        <v>6</v>
      </c>
      <c r="N29" s="5" t="n">
        <v>3</v>
      </c>
      <c r="O29" s="5" t="n">
        <v>4384</v>
      </c>
      <c r="P29" s="5" t="n">
        <v>1</v>
      </c>
      <c r="Q29">
        <f>L29+IF(M29&gt;1,N(N29)*(M29-1),0)</f>
        <v/>
      </c>
      <c r="R29">
        <f>IFERROR(K29*MAX(M29,1)/Q29*P29,0)</f>
        <v/>
      </c>
      <c r="AA29" s="6" t="inlineStr">
        <is>
          <t>^Grenade, ^HeavyCannon, ^RA2Chaingun, ^SmallArms, ^RA2LaserWeapon</t>
        </is>
      </c>
    </row>
    <row r="30">
      <c r="B30" s="6" t="inlineStr">
        <is>
          <t xml:space="preserve">  ↳ Lunar_YellowMP40LaserE</t>
        </is>
      </c>
      <c r="C30" s="6" t="inlineStr">
        <is>
          <t>Armament@ELITE_UP</t>
        </is>
      </c>
      <c r="K30" s="5" t="n">
        <v>2000</v>
      </c>
      <c r="L30" s="5" t="n">
        <v>100</v>
      </c>
      <c r="M30" s="5" t="n">
        <v>11</v>
      </c>
      <c r="N30" s="5" t="n">
        <v>3</v>
      </c>
      <c r="O30" s="5" t="n">
        <v>5384</v>
      </c>
      <c r="P30" s="5" t="n">
        <v>1</v>
      </c>
      <c r="Q30">
        <f>L30+IF(M30&gt;1,N(N30)*(M30-1),0)</f>
        <v/>
      </c>
      <c r="R30">
        <f>IFERROR(K30*MAX(M30,1)/Q30*P30,0)</f>
        <v/>
      </c>
      <c r="AA30" s="6" t="inlineStr">
        <is>
          <t>^Grenade, ^HeavyCannon, ^RA2Chaingun, ^SmallArms, ^RA2LaserWeapon</t>
        </is>
      </c>
    </row>
    <row r="31">
      <c r="B31" s="6" t="inlineStr">
        <is>
          <t xml:space="preserve">  ↳ Lunar_AmplifiedMP40Laser</t>
        </is>
      </c>
      <c r="C31" s="6" t="inlineStr">
        <is>
          <t>Armament@PRIMARY_AMP</t>
        </is>
      </c>
      <c r="K31" s="5" t="n">
        <v>2000</v>
      </c>
      <c r="L31" s="5" t="n">
        <v>100</v>
      </c>
      <c r="M31" s="5" t="n">
        <v>7</v>
      </c>
      <c r="N31" s="5" t="n">
        <v>3</v>
      </c>
      <c r="O31" s="5" t="n">
        <v>4384</v>
      </c>
      <c r="P31" s="5" t="n">
        <v>1</v>
      </c>
      <c r="Q31">
        <f>L31+IF(M31&gt;1,N(N31)*(M31-1),0)</f>
        <v/>
      </c>
      <c r="R31">
        <f>IFERROR(K31*MAX(M31,1)/Q31*P31,0)</f>
        <v/>
      </c>
      <c r="AA31" s="6" t="inlineStr">
        <is>
          <t>^Grenade, ^HeavyCannon, ^RA2Chaingun, ^SmallArms, ^RA2LaserWeapon</t>
        </is>
      </c>
    </row>
    <row r="32">
      <c r="B32" s="6" t="inlineStr">
        <is>
          <t xml:space="preserve">  ↳ Lunar_AmplifiedMP40LaserE</t>
        </is>
      </c>
      <c r="C32" s="6" t="inlineStr">
        <is>
          <t>Armament@ELITE_AMP</t>
        </is>
      </c>
      <c r="K32" s="5" t="n">
        <v>2000</v>
      </c>
      <c r="L32" s="5" t="n">
        <v>100</v>
      </c>
      <c r="M32" s="5" t="n">
        <v>12</v>
      </c>
      <c r="N32" s="5" t="n">
        <v>3</v>
      </c>
      <c r="O32" s="5" t="n">
        <v>5384</v>
      </c>
      <c r="P32" s="5" t="n">
        <v>1</v>
      </c>
      <c r="Q32">
        <f>L32+IF(M32&gt;1,N(N32)*(M32-1),0)</f>
        <v/>
      </c>
      <c r="R32">
        <f>IFERROR(K32*MAX(M32,1)/Q32*P32,0)</f>
        <v/>
      </c>
      <c r="AA32" s="6" t="inlineStr">
        <is>
          <t>^Grenade, ^HeavyCannon, ^RA2Chaingun, ^SmallArms, ^RA2LaserWeapon</t>
        </is>
      </c>
    </row>
    <row r="33">
      <c r="A33" t="inlineStr">
        <is>
          <t>redalert2mod</t>
        </is>
      </c>
      <c r="B33" t="inlineStr">
        <is>
          <t>schwarzermond_parzival</t>
        </is>
      </c>
      <c r="C33" t="inlineStr">
        <is>
          <t>Parzival</t>
        </is>
      </c>
      <c r="D33" t="inlineStr"/>
      <c r="E33" s="5" t="n">
        <v>120000</v>
      </c>
      <c r="F33" s="5" t="n">
        <v>60</v>
      </c>
      <c r="G33" t="inlineStr">
        <is>
          <t>Heroic</t>
        </is>
      </c>
      <c r="H33" s="5" t="n">
        <v>0.75</v>
      </c>
      <c r="I33" s="5" t="n">
        <v>1</v>
      </c>
      <c r="J33" s="5" t="n">
        <v>1.25</v>
      </c>
      <c r="O33">
        <f>MAX(O34,O35)</f>
        <v/>
      </c>
      <c r="R33">
        <f>R34+R35</f>
        <v/>
      </c>
      <c r="S33">
        <f>(E33/100000+F33/100+(O33/1000)*J33/5+R33/200)*200*I33*H33</f>
        <v/>
      </c>
      <c r="T33">
        <f>((E33*F33/25000)+((O33/1000)*J33*R33/2.5))*I33*H33</f>
        <v/>
      </c>
      <c r="U33">
        <f>(E33*F33*(O33/1000)*J33*R33*I33*H33)/12500000</f>
        <v/>
      </c>
      <c r="V33">
        <f>(S33+T33+U33)/3</f>
        <v/>
      </c>
      <c r="W33" s="5" t="n">
        <v>3000</v>
      </c>
      <c r="X33">
        <f>IFERROR(V33-W33,"")</f>
        <v/>
      </c>
      <c r="Y33">
        <f>IFERROR(ABS(X33)/MAX(W33,1),"")</f>
        <v/>
      </c>
      <c r="Z33">
        <f>IFERROR((W33-(((E33/100000+F33/100+R33/200)*200*I33*H33)+((E33*F33/25000)*I33*H33))/3)/(((J33/5)*200*I33*H33)+((J33*R33/2.5)*I33*H33)+((E33*F33*J33*R33*I33*H33)/12500000))/3*1000,"")</f>
        <v/>
      </c>
    </row>
    <row r="34">
      <c r="B34" s="6" t="inlineStr">
        <is>
          <t xml:space="preserve">  ↳ BlackHoleMaker</t>
        </is>
      </c>
      <c r="C34" s="6" t="inlineStr">
        <is>
          <t>Armament@PRIMARY</t>
        </is>
      </c>
      <c r="K34" s="5" t="n">
        <v>60000</v>
      </c>
      <c r="L34" s="5" t="n">
        <v>60</v>
      </c>
      <c r="M34" s="5" t="n">
        <v>1</v>
      </c>
      <c r="N34" s="5" t="n"/>
      <c r="O34" s="5" t="n">
        <v>6414</v>
      </c>
      <c r="P34" s="5" t="n">
        <v>1</v>
      </c>
      <c r="Q34">
        <f>L34+IF(M34&gt;1,N(N34)*(M34-1),0)</f>
        <v/>
      </c>
      <c r="R34">
        <f>IFERROR(K34*MAX(M34,1)/Q34*P34,0)</f>
        <v/>
      </c>
      <c r="AA34" s="6" t="inlineStr">
        <is>
          <t>^LaserWeapon</t>
        </is>
      </c>
    </row>
    <row r="35">
      <c r="B35" s="6" t="inlineStr">
        <is>
          <t xml:space="preserve">  ↳ BlackHoleMakerE</t>
        </is>
      </c>
      <c r="C35" s="6" t="inlineStr">
        <is>
          <t>Armament@ELITE</t>
        </is>
      </c>
      <c r="K35" s="5" t="n">
        <v>60000</v>
      </c>
      <c r="L35" s="5" t="n">
        <v>60</v>
      </c>
      <c r="M35" s="5" t="n">
        <v>2</v>
      </c>
      <c r="N35" s="5" t="n">
        <v>3</v>
      </c>
      <c r="O35" s="5" t="n">
        <v>7414</v>
      </c>
      <c r="P35" s="5" t="n">
        <v>1</v>
      </c>
      <c r="Q35">
        <f>L35+IF(M35&gt;1,N(N35)*(M35-1),0)</f>
        <v/>
      </c>
      <c r="R35">
        <f>IFERROR(K35*MAX(M35,1)/Q35*P35,0)</f>
        <v/>
      </c>
      <c r="AA35" s="6" t="inlineStr">
        <is>
          <t>^LaserWeapon</t>
        </is>
      </c>
    </row>
    <row r="36">
      <c r="B36" s="6" t="inlineStr">
        <is>
          <t xml:space="preserve">  ↳ BlackHoleMaker</t>
        </is>
      </c>
      <c r="C36" s="6" t="inlineStr">
        <is>
          <t>Armament@GARRISONED</t>
        </is>
      </c>
      <c r="K36" s="5" t="n">
        <v>60000</v>
      </c>
      <c r="L36" s="5" t="n">
        <v>60</v>
      </c>
      <c r="M36" s="5" t="n">
        <v>1</v>
      </c>
      <c r="N36" s="5" t="n"/>
      <c r="O36" s="5" t="n">
        <v>6414</v>
      </c>
      <c r="P36" s="5" t="n">
        <v>1</v>
      </c>
      <c r="Q36">
        <f>L36+IF(M36&gt;1,N(N36)*(M36-1),0)</f>
        <v/>
      </c>
      <c r="R36">
        <f>IFERROR(K36*MAX(M36,1)/Q36*P36,0)</f>
        <v/>
      </c>
      <c r="AA36" s="6" t="inlineStr">
        <is>
          <t>^LaserWeapon</t>
        </is>
      </c>
    </row>
    <row r="37">
      <c r="B37" s="6" t="inlineStr">
        <is>
          <t xml:space="preserve">  ↳ BlackHoleMakerE</t>
        </is>
      </c>
      <c r="C37" s="6" t="inlineStr">
        <is>
          <t>Armament@GARRISONEDELITE</t>
        </is>
      </c>
      <c r="K37" s="5" t="n">
        <v>60000</v>
      </c>
      <c r="L37" s="5" t="n">
        <v>60</v>
      </c>
      <c r="M37" s="5" t="n">
        <v>2</v>
      </c>
      <c r="N37" s="5" t="n">
        <v>3</v>
      </c>
      <c r="O37" s="5" t="n">
        <v>7414</v>
      </c>
      <c r="P37" s="5" t="n">
        <v>1</v>
      </c>
      <c r="Q37">
        <f>L37+IF(M37&gt;1,N(N37)*(M37-1),0)</f>
        <v/>
      </c>
      <c r="R37">
        <f>IFERROR(K37*MAX(M37,1)/Q37*P37,0)</f>
        <v/>
      </c>
      <c r="AA37" s="6" t="inlineStr">
        <is>
          <t>^LaserWeapon</t>
        </is>
      </c>
    </row>
    <row r="38">
      <c r="A38" t="inlineStr">
        <is>
          <t>redalert2mod</t>
        </is>
      </c>
      <c r="B38" t="inlineStr">
        <is>
          <t>schwarzermond_ubermensch</t>
        </is>
      </c>
      <c r="C38" t="inlineStr">
        <is>
          <t>Übermensch</t>
        </is>
      </c>
      <c r="D38" t="inlineStr"/>
      <c r="E38" s="5" t="n">
        <v>64000</v>
      </c>
      <c r="F38" s="5" t="n">
        <v>64</v>
      </c>
      <c r="G38" t="inlineStr">
        <is>
          <t>Plate</t>
        </is>
      </c>
      <c r="H38" s="5" t="n">
        <v>0.75</v>
      </c>
      <c r="I38" s="5" t="n">
        <v>0.8</v>
      </c>
      <c r="J38" s="5" t="n">
        <v>1</v>
      </c>
      <c r="O38">
        <f>MAX(O39,O40,O43,O44,O47,O48)</f>
        <v/>
      </c>
      <c r="R38">
        <f>R39+R40+R43+R44+R47+R48</f>
        <v/>
      </c>
      <c r="S38">
        <f>(E38/100000+F38/100+(O38/1000)*J38/5+R38/200)*200*I38*H38</f>
        <v/>
      </c>
      <c r="T38">
        <f>((E38*F38/25000)+((O38/1000)*J38*R38/2.5))*I38*H38</f>
        <v/>
      </c>
      <c r="U38">
        <f>(E38*F38*(O38/1000)*J38*R38*I38*H38)/12500000</f>
        <v/>
      </c>
      <c r="V38">
        <f>(S38+T38+U38)/3</f>
        <v/>
      </c>
      <c r="W38" s="5" t="n">
        <v>700</v>
      </c>
      <c r="X38">
        <f>IFERROR(V38-W38,"")</f>
        <v/>
      </c>
      <c r="Y38">
        <f>IFERROR(ABS(X38)/MAX(W38,1),"")</f>
        <v/>
      </c>
      <c r="Z38">
        <f>IFERROR((W38-(((E38/100000+F38/100+R38/200)*200*I38*H38)+((E38*F38/25000)*I38*H38))/3)/(((J38/5)*200*I38*H38)+((J38*R38/2.5)*I38*H38)+((E38*F38*J38*R38*I38*H38)/12500000))/3*1000,"")</f>
        <v/>
      </c>
    </row>
    <row r="39">
      <c r="B39" s="6" t="inlineStr">
        <is>
          <t xml:space="preserve">  ↳ UbermenschLaser</t>
        </is>
      </c>
      <c r="C39" s="6" t="inlineStr">
        <is>
          <t>Armament@PRIMARY</t>
        </is>
      </c>
      <c r="K39" s="5" t="n">
        <v>4000</v>
      </c>
      <c r="L39" s="5" t="n">
        <v>30</v>
      </c>
      <c r="M39" s="5" t="n">
        <v>2</v>
      </c>
      <c r="N39" s="5" t="n">
        <v>3</v>
      </c>
      <c r="O39" s="5" t="n">
        <v>5801</v>
      </c>
      <c r="P39" s="5" t="n">
        <v>1</v>
      </c>
      <c r="Q39">
        <f>L39+IF(M39&gt;1,N(N39)*(M39-1),0)</f>
        <v/>
      </c>
      <c r="R39">
        <f>IFERROR(K39*MAX(M39,1)/Q39*P39,0)</f>
        <v/>
      </c>
      <c r="AA39" s="6" t="inlineStr">
        <is>
          <t>^TeslaWeapon, ^RA2MediumCannon, ^LunarNaxisUpgradedCannons</t>
        </is>
      </c>
    </row>
    <row r="40">
      <c r="B40" s="6" t="inlineStr">
        <is>
          <t xml:space="preserve">  ↳ UbermenschLaserE</t>
        </is>
      </c>
      <c r="C40" s="6" t="inlineStr">
        <is>
          <t>Armament@ELITE</t>
        </is>
      </c>
      <c r="K40" s="5" t="n">
        <v>4000</v>
      </c>
      <c r="L40" s="5" t="n">
        <v>30</v>
      </c>
      <c r="M40" s="5" t="n">
        <v>4</v>
      </c>
      <c r="N40" s="5" t="n">
        <v>3</v>
      </c>
      <c r="O40" s="5" t="n">
        <v>6801</v>
      </c>
      <c r="P40" s="5" t="n">
        <v>1</v>
      </c>
      <c r="Q40">
        <f>L40+IF(M40&gt;1,N(N40)*(M40-1),0)</f>
        <v/>
      </c>
      <c r="R40">
        <f>IFERROR(K40*MAX(M40,1)/Q40*P40,0)</f>
        <v/>
      </c>
      <c r="AA40" s="6" t="inlineStr">
        <is>
          <t>^TeslaWeapon, ^RA2MediumCannon, ^LunarNaxisUpgradedCannons</t>
        </is>
      </c>
    </row>
    <row r="41">
      <c r="B41" s="6" t="inlineStr">
        <is>
          <t xml:space="preserve">  ↳ UbermenschLaser</t>
        </is>
      </c>
      <c r="C41" s="6" t="inlineStr">
        <is>
          <t>Armament@GARRISONED</t>
        </is>
      </c>
      <c r="K41" s="5" t="n">
        <v>4000</v>
      </c>
      <c r="L41" s="5" t="n">
        <v>30</v>
      </c>
      <c r="M41" s="5" t="n">
        <v>2</v>
      </c>
      <c r="N41" s="5" t="n">
        <v>3</v>
      </c>
      <c r="O41" s="5" t="n">
        <v>5801</v>
      </c>
      <c r="P41" s="5" t="n">
        <v>1</v>
      </c>
      <c r="Q41">
        <f>L41+IF(M41&gt;1,N(N41)*(M41-1),0)</f>
        <v/>
      </c>
      <c r="R41">
        <f>IFERROR(K41*MAX(M41,1)/Q41*P41,0)</f>
        <v/>
      </c>
      <c r="AA41" s="6" t="inlineStr">
        <is>
          <t>^TeslaWeapon, ^RA2MediumCannon, ^LunarNaxisUpgradedCannons</t>
        </is>
      </c>
    </row>
    <row r="42">
      <c r="B42" s="6" t="inlineStr">
        <is>
          <t xml:space="preserve">  ↳ UbermenschLaserE</t>
        </is>
      </c>
      <c r="C42" s="6" t="inlineStr">
        <is>
          <t>Armament@GARRISONEDELITE</t>
        </is>
      </c>
      <c r="K42" s="5" t="n">
        <v>4000</v>
      </c>
      <c r="L42" s="5" t="n">
        <v>30</v>
      </c>
      <c r="M42" s="5" t="n">
        <v>4</v>
      </c>
      <c r="N42" s="5" t="n">
        <v>3</v>
      </c>
      <c r="O42" s="5" t="n">
        <v>6801</v>
      </c>
      <c r="P42" s="5" t="n">
        <v>1</v>
      </c>
      <c r="Q42">
        <f>L42+IF(M42&gt;1,N(N42)*(M42-1),0)</f>
        <v/>
      </c>
      <c r="R42">
        <f>IFERROR(K42*MAX(M42,1)/Q42*P42,0)</f>
        <v/>
      </c>
      <c r="AA42" s="6" t="inlineStr">
        <is>
          <t>^TeslaWeapon, ^RA2MediumCannon, ^LunarNaxisUpgradedCannons</t>
        </is>
      </c>
    </row>
    <row r="43">
      <c r="B43" s="6" t="inlineStr">
        <is>
          <t xml:space="preserve">  ↳ Lunar_YellowUbermenschLaser</t>
        </is>
      </c>
      <c r="C43" s="6" t="inlineStr">
        <is>
          <t>Armament@PRIMARY_UP</t>
        </is>
      </c>
      <c r="K43" s="5" t="n">
        <v>4000</v>
      </c>
      <c r="L43" s="5" t="n">
        <v>30</v>
      </c>
      <c r="M43" s="5" t="n">
        <v>3</v>
      </c>
      <c r="N43" s="5" t="n">
        <v>3</v>
      </c>
      <c r="O43" s="5" t="n">
        <v>5801</v>
      </c>
      <c r="P43" s="5" t="n">
        <v>1</v>
      </c>
      <c r="Q43">
        <f>L43+IF(M43&gt;1,N(N43)*(M43-1),0)</f>
        <v/>
      </c>
      <c r="R43">
        <f>IFERROR(K43*MAX(M43,1)/Q43*P43,0)</f>
        <v/>
      </c>
      <c r="AA43" s="6" t="inlineStr">
        <is>
          <t>^TeslaWeapon, ^RA2MediumCannon, ^LunarNaxisUpgradedCannons</t>
        </is>
      </c>
    </row>
    <row r="44">
      <c r="B44" s="6" t="inlineStr">
        <is>
          <t xml:space="preserve">  ↳ Lunar_YellowUbermenschLaserE</t>
        </is>
      </c>
      <c r="C44" s="6" t="inlineStr">
        <is>
          <t>Armament@ELITE_UP</t>
        </is>
      </c>
      <c r="K44" s="5" t="n">
        <v>4000</v>
      </c>
      <c r="L44" s="5" t="n">
        <v>30</v>
      </c>
      <c r="M44" s="5" t="n">
        <v>5</v>
      </c>
      <c r="N44" s="5" t="n">
        <v>3</v>
      </c>
      <c r="O44" s="5" t="n">
        <v>6801</v>
      </c>
      <c r="P44" s="5" t="n">
        <v>1</v>
      </c>
      <c r="Q44">
        <f>L44+IF(M44&gt;1,N(N44)*(M44-1),0)</f>
        <v/>
      </c>
      <c r="R44">
        <f>IFERROR(K44*MAX(M44,1)/Q44*P44,0)</f>
        <v/>
      </c>
      <c r="AA44" s="6" t="inlineStr">
        <is>
          <t>^TeslaWeapon, ^RA2MediumCannon, ^LunarNaxisUpgradedCannons</t>
        </is>
      </c>
    </row>
    <row r="45">
      <c r="B45" s="6" t="inlineStr">
        <is>
          <t xml:space="preserve">  ↳ Lunar_YellowUbermenschLaser</t>
        </is>
      </c>
      <c r="C45" s="6" t="inlineStr">
        <is>
          <t>Armament@GARRISONED_UP</t>
        </is>
      </c>
      <c r="K45" s="5" t="n">
        <v>4000</v>
      </c>
      <c r="L45" s="5" t="n">
        <v>30</v>
      </c>
      <c r="M45" s="5" t="n">
        <v>3</v>
      </c>
      <c r="N45" s="5" t="n">
        <v>3</v>
      </c>
      <c r="O45" s="5" t="n">
        <v>5801</v>
      </c>
      <c r="P45" s="5" t="n">
        <v>1</v>
      </c>
      <c r="Q45">
        <f>L45+IF(M45&gt;1,N(N45)*(M45-1),0)</f>
        <v/>
      </c>
      <c r="R45">
        <f>IFERROR(K45*MAX(M45,1)/Q45*P45,0)</f>
        <v/>
      </c>
      <c r="AA45" s="6" t="inlineStr">
        <is>
          <t>^TeslaWeapon, ^RA2MediumCannon, ^LunarNaxisUpgradedCannons</t>
        </is>
      </c>
    </row>
    <row r="46">
      <c r="B46" s="6" t="inlineStr">
        <is>
          <t xml:space="preserve">  ↳ Lunar_YellowUbermenschLaserE</t>
        </is>
      </c>
      <c r="C46" s="6" t="inlineStr">
        <is>
          <t>Armament@GARRISONEDELITE_UP</t>
        </is>
      </c>
      <c r="K46" s="5" t="n">
        <v>4000</v>
      </c>
      <c r="L46" s="5" t="n">
        <v>30</v>
      </c>
      <c r="M46" s="5" t="n">
        <v>5</v>
      </c>
      <c r="N46" s="5" t="n">
        <v>3</v>
      </c>
      <c r="O46" s="5" t="n">
        <v>6801</v>
      </c>
      <c r="P46" s="5" t="n">
        <v>1</v>
      </c>
      <c r="Q46">
        <f>L46+IF(M46&gt;1,N(N46)*(M46-1),0)</f>
        <v/>
      </c>
      <c r="R46">
        <f>IFERROR(K46*MAX(M46,1)/Q46*P46,0)</f>
        <v/>
      </c>
      <c r="AA46" s="6" t="inlineStr">
        <is>
          <t>^TeslaWeapon, ^RA2MediumCannon, ^LunarNaxisUpgradedCannons</t>
        </is>
      </c>
    </row>
    <row r="47">
      <c r="B47" s="6" t="inlineStr">
        <is>
          <t xml:space="preserve">  ↳ Lunar_AmplifiedUbermenschLaser</t>
        </is>
      </c>
      <c r="C47" s="6" t="inlineStr">
        <is>
          <t>Armament@PRIMARY_AMP</t>
        </is>
      </c>
      <c r="K47" s="5" t="n">
        <v>4000</v>
      </c>
      <c r="L47" s="5" t="n">
        <v>30</v>
      </c>
      <c r="M47" s="5" t="n">
        <v>4</v>
      </c>
      <c r="N47" s="5" t="n">
        <v>3</v>
      </c>
      <c r="O47" s="5" t="n">
        <v>5801</v>
      </c>
      <c r="P47" s="5" t="n">
        <v>1</v>
      </c>
      <c r="Q47">
        <f>L47+IF(M47&gt;1,N(N47)*(M47-1),0)</f>
        <v/>
      </c>
      <c r="R47">
        <f>IFERROR(K47*MAX(M47,1)/Q47*P47,0)</f>
        <v/>
      </c>
      <c r="AA47" s="6" t="inlineStr">
        <is>
          <t>^TeslaWeapon, ^RA2MediumCannon, ^LunarNaxisUpgradedCannons</t>
        </is>
      </c>
    </row>
    <row r="48">
      <c r="B48" s="6" t="inlineStr">
        <is>
          <t xml:space="preserve">  ↳ Lunar_AmplifiedUbermenschLaserE</t>
        </is>
      </c>
      <c r="C48" s="6" t="inlineStr">
        <is>
          <t>Armament@ELITE_AMP</t>
        </is>
      </c>
      <c r="K48" s="5" t="n">
        <v>4000</v>
      </c>
      <c r="L48" s="5" t="n">
        <v>30</v>
      </c>
      <c r="M48" s="5" t="n">
        <v>6</v>
      </c>
      <c r="N48" s="5" t="n">
        <v>3</v>
      </c>
      <c r="O48" s="5" t="n">
        <v>6801</v>
      </c>
      <c r="P48" s="5" t="n">
        <v>1</v>
      </c>
      <c r="Q48">
        <f>L48+IF(M48&gt;1,N(N48)*(M48-1),0)</f>
        <v/>
      </c>
      <c r="R48">
        <f>IFERROR(K48*MAX(M48,1)/Q48*P48,0)</f>
        <v/>
      </c>
      <c r="AA48" s="6" t="inlineStr">
        <is>
          <t>^TeslaWeapon, ^RA2MediumCannon, ^LunarNaxisUpgradedCannons</t>
        </is>
      </c>
    </row>
    <row r="49">
      <c r="B49" s="6" t="inlineStr">
        <is>
          <t xml:space="preserve">  ↳ Lunar_AmplifiedUbermenschLaser</t>
        </is>
      </c>
      <c r="C49" s="6" t="inlineStr">
        <is>
          <t>Armament@GARRISONED_AMP</t>
        </is>
      </c>
      <c r="K49" s="5" t="n">
        <v>4000</v>
      </c>
      <c r="L49" s="5" t="n">
        <v>30</v>
      </c>
      <c r="M49" s="5" t="n">
        <v>4</v>
      </c>
      <c r="N49" s="5" t="n">
        <v>3</v>
      </c>
      <c r="O49" s="5" t="n">
        <v>5801</v>
      </c>
      <c r="P49" s="5" t="n">
        <v>1</v>
      </c>
      <c r="Q49">
        <f>L49+IF(M49&gt;1,N(N49)*(M49-1),0)</f>
        <v/>
      </c>
      <c r="R49">
        <f>IFERROR(K49*MAX(M49,1)/Q49*P49,0)</f>
        <v/>
      </c>
      <c r="AA49" s="6" t="inlineStr">
        <is>
          <t>^TeslaWeapon, ^RA2MediumCannon, ^LunarNaxisUpgradedCannons</t>
        </is>
      </c>
    </row>
    <row r="50">
      <c r="B50" s="6" t="inlineStr">
        <is>
          <t xml:space="preserve">  ↳ Lunar_AmplifiedUbermenschLaserE</t>
        </is>
      </c>
      <c r="C50" s="6" t="inlineStr">
        <is>
          <t>Armament@GARRISONEDELITE_AMP</t>
        </is>
      </c>
      <c r="K50" s="5" t="n">
        <v>4000</v>
      </c>
      <c r="L50" s="5" t="n">
        <v>30</v>
      </c>
      <c r="M50" s="5" t="n">
        <v>6</v>
      </c>
      <c r="N50" s="5" t="n">
        <v>3</v>
      </c>
      <c r="O50" s="5" t="n">
        <v>6801</v>
      </c>
      <c r="P50" s="5" t="n">
        <v>1</v>
      </c>
      <c r="Q50">
        <f>L50+IF(M50&gt;1,N(N50)*(M50-1),0)</f>
        <v/>
      </c>
      <c r="R50">
        <f>IFERROR(K50*MAX(M50,1)/Q50*P50,0)</f>
        <v/>
      </c>
      <c r="AA50" s="6" t="inlineStr">
        <is>
          <t>^TeslaWeapon, ^RA2MediumCannon, ^LunarNaxisUpgradedCannons</t>
        </is>
      </c>
    </row>
    <row r="51">
      <c r="A51" s="3" t="inlineStr">
        <is>
          <t>VEHICLES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>
      <c r="A52" t="inlineStr">
        <is>
          <t>redalert2mod</t>
        </is>
      </c>
      <c r="B52" t="inlineStr">
        <is>
          <t>schwarzermond_crystaltank</t>
        </is>
      </c>
      <c r="C52" t="inlineStr">
        <is>
          <t>Crystal Tank</t>
        </is>
      </c>
      <c r="D52" t="inlineStr"/>
      <c r="E52" s="5" t="n">
        <v>400000</v>
      </c>
      <c r="F52" s="5" t="n">
        <v>60</v>
      </c>
      <c r="G52" t="inlineStr">
        <is>
          <t>Medium</t>
        </is>
      </c>
      <c r="H52" s="5" t="n">
        <v>0.75</v>
      </c>
      <c r="I52" s="5" t="n">
        <v>1</v>
      </c>
      <c r="J52" s="5" t="n">
        <v>1.25</v>
      </c>
      <c r="O52">
        <f>MAX(O53,O54)</f>
        <v/>
      </c>
      <c r="R52">
        <f>R53+R54</f>
        <v/>
      </c>
      <c r="S52">
        <f>(E52/100000+F52/100+(O52/1000)*J52/5+R52/200)*200*I52*H52</f>
        <v/>
      </c>
      <c r="T52">
        <f>((E52*F52/25000)+((O52/1000)*J52*R52/2.5))*I52*H52</f>
        <v/>
      </c>
      <c r="U52">
        <f>(E52*F52*(O52/1000)*J52*R52*I52*H52)/12500000</f>
        <v/>
      </c>
      <c r="V52">
        <f>(S52+T52+U52)/3</f>
        <v/>
      </c>
      <c r="W52" s="5" t="n">
        <v>1700</v>
      </c>
      <c r="X52">
        <f>IFERROR(V52-W52,"")</f>
        <v/>
      </c>
      <c r="Y52">
        <f>IFERROR(ABS(X52)/MAX(W52,1),"")</f>
        <v/>
      </c>
      <c r="Z52">
        <f>IFERROR((W52-(((E52/100000+F52/100+R52/200)*200*I52*H52)+((E52*F52/25000)*I52*H52))/3)/(((J52/5)*200*I52*H52)+((J52*R52/2.5)*I52*H52)+((E52*F52*J52*R52*I52*H52)/12500000))/3*1000,"")</f>
        <v/>
      </c>
    </row>
    <row r="53">
      <c r="B53" s="6" t="inlineStr">
        <is>
          <t xml:space="preserve">  ↳ NaxCrystalLeech</t>
        </is>
      </c>
      <c r="C53" s="6" t="inlineStr">
        <is>
          <t>Armament@AG</t>
        </is>
      </c>
      <c r="K53" s="5" t="n">
        <v>2000</v>
      </c>
      <c r="L53" s="5" t="n">
        <v>90</v>
      </c>
      <c r="M53" s="5" t="n">
        <v>10</v>
      </c>
      <c r="N53" s="5" t="n">
        <v>1</v>
      </c>
      <c r="O53" s="5" t="n">
        <v>7420</v>
      </c>
      <c r="P53" s="5" t="n">
        <v>1</v>
      </c>
      <c r="Q53">
        <f>L53+IF(M53&gt;1,N(N53)*(M53-1),0)</f>
        <v/>
      </c>
      <c r="R53">
        <f>IFERROR(K53*MAX(M53,1)/Q53*P53,0)</f>
        <v/>
      </c>
      <c r="AA53" s="6" t="inlineStr">
        <is>
          <t>^TeslaWeapon</t>
        </is>
      </c>
    </row>
    <row r="54">
      <c r="B54" s="6" t="inlineStr">
        <is>
          <t xml:space="preserve">  ↳ NaxCrystalLeechE</t>
        </is>
      </c>
      <c r="C54" s="6" t="inlineStr">
        <is>
          <t>Armament@ELITE</t>
        </is>
      </c>
      <c r="K54" s="5" t="n">
        <v>2000</v>
      </c>
      <c r="L54" s="5" t="n">
        <v>25</v>
      </c>
      <c r="M54" s="5" t="n">
        <v>20</v>
      </c>
      <c r="N54" s="5" t="n">
        <v>1</v>
      </c>
      <c r="O54" s="5" t="n">
        <v>8420</v>
      </c>
      <c r="P54" s="5" t="n">
        <v>1</v>
      </c>
      <c r="Q54">
        <f>L54+IF(M54&gt;1,N(N54)*(M54-1),0)</f>
        <v/>
      </c>
      <c r="R54">
        <f>IFERROR(K54*MAX(M54,1)/Q54*P54,0)</f>
        <v/>
      </c>
      <c r="AA54" s="6" t="inlineStr">
        <is>
          <t>^TeslaChargedWeapon</t>
        </is>
      </c>
    </row>
    <row r="55">
      <c r="A55" t="inlineStr">
        <is>
          <t>redalert2mod</t>
        </is>
      </c>
      <c r="B55" t="inlineStr">
        <is>
          <t>schwarzermond_dalek</t>
        </is>
      </c>
      <c r="C55" t="inlineStr">
        <is>
          <t>Dalek</t>
        </is>
      </c>
      <c r="D55" t="inlineStr"/>
      <c r="E55" s="5" t="n">
        <v>325000</v>
      </c>
      <c r="F55" s="5" t="n">
        <v>65</v>
      </c>
      <c r="G55" t="inlineStr">
        <is>
          <t>Superheavy</t>
        </is>
      </c>
      <c r="H55" s="5" t="n">
        <v>0.75</v>
      </c>
      <c r="I55" s="5" t="n">
        <v>0.4</v>
      </c>
      <c r="J55" s="5" t="n">
        <v>1</v>
      </c>
      <c r="O55">
        <f>MAX(O56,O57)</f>
        <v/>
      </c>
      <c r="R55">
        <f>R56+R57</f>
        <v/>
      </c>
      <c r="S55">
        <f>(E55/100000+F55/100+(O55/1000)*J55/5+R55/200)*200*I55*H55</f>
        <v/>
      </c>
      <c r="T55">
        <f>((E55*F55/25000)+((O55/1000)*J55*R55/2.5))*I55*H55</f>
        <v/>
      </c>
      <c r="U55">
        <f>(E55*F55*(O55/1000)*J55*R55*I55*H55)/12500000</f>
        <v/>
      </c>
      <c r="V55">
        <f>(S55+T55+U55)/3</f>
        <v/>
      </c>
      <c r="W55" s="5" t="n">
        <v>9000</v>
      </c>
      <c r="X55">
        <f>IFERROR(V55-W55,"")</f>
        <v/>
      </c>
      <c r="Y55">
        <f>IFERROR(ABS(X55)/MAX(W55,1),"")</f>
        <v/>
      </c>
      <c r="Z55">
        <f>IFERROR((W55-(((E55/100000+F55/100+R55/200)*200*I55*H55)+((E55*F55/25000)*I55*H55))/3)/(((J55/5)*200*I55*H55)+((J55*R55/2.5)*I55*H55)+((E55*F55*J55*R55*I55*H55)/12500000))/3*1000,"")</f>
        <v/>
      </c>
    </row>
    <row r="56">
      <c r="B56" s="6" t="inlineStr">
        <is>
          <t xml:space="preserve">  ↳ DalekCannon</t>
        </is>
      </c>
      <c r="C56" s="6" t="inlineStr">
        <is>
          <t>Armament@PRIMARY</t>
        </is>
      </c>
      <c r="K56" s="5" t="n">
        <v>100000</v>
      </c>
      <c r="L56" s="5" t="n">
        <v>76</v>
      </c>
      <c r="M56" s="5" t="n">
        <v>1</v>
      </c>
      <c r="N56" s="5" t="n"/>
      <c r="O56" s="5" t="n">
        <v>8060</v>
      </c>
      <c r="P56" s="5" t="n">
        <v>1</v>
      </c>
      <c r="Q56">
        <f>L56+IF(M56&gt;1,N(N56)*(M56-1),0)</f>
        <v/>
      </c>
      <c r="R56">
        <f>IFERROR(K56*MAX(M56,1)/Q56*P56,0)</f>
        <v/>
      </c>
      <c r="AA56" s="6" t="inlineStr">
        <is>
          <t>^TeslaWeapon, ^LaserWeapon, ^RA2RailgunWeapon</t>
        </is>
      </c>
    </row>
    <row r="57">
      <c r="B57" s="6" t="inlineStr">
        <is>
          <t xml:space="preserve">  ↳ DalekCannonE</t>
        </is>
      </c>
      <c r="C57" s="6" t="inlineStr">
        <is>
          <t>Armament@ELITE</t>
        </is>
      </c>
      <c r="K57" s="5" t="n">
        <v>200000</v>
      </c>
      <c r="L57" s="5" t="n">
        <v>76</v>
      </c>
      <c r="M57" s="5" t="n">
        <v>1</v>
      </c>
      <c r="N57" s="5" t="n"/>
      <c r="O57" s="5" t="n">
        <v>9060</v>
      </c>
      <c r="P57" s="5" t="n">
        <v>1</v>
      </c>
      <c r="Q57">
        <f>L57+IF(M57&gt;1,N(N57)*(M57-1),0)</f>
        <v/>
      </c>
      <c r="R57">
        <f>IFERROR(K57*MAX(M57,1)/Q57*P57,0)</f>
        <v/>
      </c>
      <c r="AA57" s="6" t="inlineStr">
        <is>
          <t>^TeslaWeapon, ^LaserWeapon, ^RA2RailgunWeapon</t>
        </is>
      </c>
    </row>
    <row r="58">
      <c r="A58" t="inlineStr">
        <is>
          <t>redalert2mod</t>
        </is>
      </c>
      <c r="B58" t="inlineStr">
        <is>
          <t>schwarzermond_gravitycoretank</t>
        </is>
      </c>
      <c r="C58" t="inlineStr">
        <is>
          <t>Gravity Core Tank</t>
        </is>
      </c>
      <c r="D58" t="inlineStr"/>
      <c r="E58" s="5" t="n">
        <v>300000</v>
      </c>
      <c r="F58" s="5" t="n">
        <v>40</v>
      </c>
      <c r="G58" t="inlineStr">
        <is>
          <t>Medium</t>
        </is>
      </c>
      <c r="H58" s="5" t="n">
        <v>1</v>
      </c>
      <c r="I58" s="5" t="n">
        <v>1</v>
      </c>
      <c r="J58" s="5" t="n">
        <v>1</v>
      </c>
      <c r="O58">
        <f>MAX(O59)</f>
        <v/>
      </c>
      <c r="R58">
        <f>R59</f>
        <v/>
      </c>
      <c r="S58">
        <f>(E58/100000+F58/100+(O58/1000)*J58/5+R58/200)*200*I58*H58</f>
        <v/>
      </c>
      <c r="T58">
        <f>((E58*F58/25000)+((O58/1000)*J58*R58/2.5))*I58*H58</f>
        <v/>
      </c>
      <c r="U58">
        <f>(E58*F58*(O58/1000)*J58*R58*I58*H58)/12500000</f>
        <v/>
      </c>
      <c r="V58">
        <f>(S58+T58+U58)/3</f>
        <v/>
      </c>
      <c r="W58" s="5" t="n">
        <v>1500</v>
      </c>
      <c r="X58">
        <f>IFERROR(V58-W58,"")</f>
        <v/>
      </c>
      <c r="Y58">
        <f>IFERROR(ABS(X58)/MAX(W58,1),"")</f>
        <v/>
      </c>
      <c r="Z58">
        <f>IFERROR((W58-(((E58/100000+F58/100+R58/200)*200*I58*H58)+((E58*F58/25000)*I58*H58))/3)/(((J58/5)*200*I58*H58)+((J58*R58/2.5)*I58*H58)+((E58*F58*J58*R58*I58*H58)/12500000))/3*1000,"")</f>
        <v/>
      </c>
    </row>
    <row r="59">
      <c r="B59" s="6" t="inlineStr">
        <is>
          <t xml:space="preserve">  ↳ GLStingerTargeting</t>
        </is>
      </c>
      <c r="C59" s="6" t="inlineStr">
        <is>
          <t>Armament@AG</t>
        </is>
      </c>
      <c r="K59" s="5" t="n"/>
      <c r="L59" s="5" t="n">
        <v>25</v>
      </c>
      <c r="M59" s="5" t="n">
        <v>1</v>
      </c>
      <c r="N59" s="5" t="n"/>
      <c r="O59" s="5" t="n">
        <v>15000</v>
      </c>
      <c r="P59" s="5" t="n">
        <v>1</v>
      </c>
      <c r="Q59">
        <f>L59+IF(M59&gt;1,N(N59)*(M59-1),0)</f>
        <v/>
      </c>
      <c r="R59">
        <f>IFERROR(K59*MAX(M59,1)/Q59*P59,0)</f>
        <v/>
      </c>
      <c r="AA59" s="6" t="inlineStr"/>
    </row>
    <row r="60">
      <c r="A60" t="inlineStr">
        <is>
          <t>redalert2mod</t>
        </is>
      </c>
      <c r="B60" t="inlineStr">
        <is>
          <t>schwarzermond_korruptesbiest</t>
        </is>
      </c>
      <c r="C60" t="inlineStr">
        <is>
          <t>Korruptes Biest</t>
        </is>
      </c>
      <c r="D60" t="inlineStr"/>
      <c r="E60" s="5" t="n">
        <v>240000</v>
      </c>
      <c r="F60" s="5" t="n">
        <v>40</v>
      </c>
      <c r="G60" t="inlineStr">
        <is>
          <t>Heavy</t>
        </is>
      </c>
      <c r="H60" s="5" t="n">
        <v>0.75</v>
      </c>
      <c r="I60" s="5" t="n">
        <v>1</v>
      </c>
      <c r="J60" s="5" t="n">
        <v>1.25</v>
      </c>
      <c r="O60">
        <f>MAX(O61,O62)</f>
        <v/>
      </c>
      <c r="R60">
        <f>R61+R62</f>
        <v/>
      </c>
      <c r="S60">
        <f>(E60/100000+F60/100+(O60/1000)*J60/5+R60/200)*200*I60*H60</f>
        <v/>
      </c>
      <c r="T60">
        <f>((E60*F60/25000)+((O60/1000)*J60*R60/2.5))*I60*H60</f>
        <v/>
      </c>
      <c r="U60">
        <f>(E60*F60*(O60/1000)*J60*R60*I60*H60)/12500000</f>
        <v/>
      </c>
      <c r="V60">
        <f>(S60+T60+U60)/3</f>
        <v/>
      </c>
      <c r="W60" s="5" t="n">
        <v>3500</v>
      </c>
      <c r="X60">
        <f>IFERROR(V60-W60,"")</f>
        <v/>
      </c>
      <c r="Y60">
        <f>IFERROR(ABS(X60)/MAX(W60,1),"")</f>
        <v/>
      </c>
      <c r="Z60">
        <f>IFERROR((W60-(((E60/100000+F60/100+R60/200)*200*I60*H60)+((E60*F60/25000)*I60*H60))/3)/(((J60/5)*200*I60*H60)+((J60*R60/2.5)*I60*H60)+((E60*F60*J60*R60*I60*H60)/12500000))/3*1000,"")</f>
        <v/>
      </c>
    </row>
    <row r="61">
      <c r="B61" s="6" t="inlineStr">
        <is>
          <t xml:space="preserve">  ↳ NaxCorrosionBeast</t>
        </is>
      </c>
      <c r="C61" s="6" t="inlineStr">
        <is>
          <t>Armament@PRIMARY</t>
        </is>
      </c>
      <c r="K61" s="5" t="n">
        <v>2000</v>
      </c>
      <c r="L61" s="5" t="n">
        <v>34</v>
      </c>
      <c r="M61" s="5" t="n">
        <v>8</v>
      </c>
      <c r="N61" s="5" t="n">
        <v>2</v>
      </c>
      <c r="O61" s="5" t="n">
        <v>7984</v>
      </c>
      <c r="P61" s="5" t="n">
        <v>1</v>
      </c>
      <c r="Q61">
        <f>L61+IF(M61&gt;1,N(N61)*(M61-1),0)</f>
        <v/>
      </c>
      <c r="R61">
        <f>IFERROR(K61*MAX(M61,1)/Q61*P61,0)</f>
        <v/>
      </c>
      <c r="AA61" s="6" t="inlineStr">
        <is>
          <t>^Grenade, ^HeavyMissile, ^RA2MediumMissile</t>
        </is>
      </c>
    </row>
    <row r="62">
      <c r="B62" s="6" t="inlineStr">
        <is>
          <t xml:space="preserve">  ↳ NaxCorrosionBeastE</t>
        </is>
      </c>
      <c r="C62" s="6" t="inlineStr">
        <is>
          <t>Armament@ELITE</t>
        </is>
      </c>
      <c r="K62" s="5" t="n">
        <v>2000</v>
      </c>
      <c r="L62" s="5" t="n">
        <v>34</v>
      </c>
      <c r="M62" s="5" t="n">
        <v>16</v>
      </c>
      <c r="N62" s="5" t="n">
        <v>2</v>
      </c>
      <c r="O62" s="5" t="n">
        <v>8984</v>
      </c>
      <c r="P62" s="5" t="n">
        <v>1</v>
      </c>
      <c r="Q62">
        <f>L62+IF(M62&gt;1,N(N62)*(M62-1),0)</f>
        <v/>
      </c>
      <c r="R62">
        <f>IFERROR(K62*MAX(M62,1)/Q62*P62,0)</f>
        <v/>
      </c>
      <c r="AA62" s="6" t="inlineStr">
        <is>
          <t>^Grenade, ^HeavyMissile, ^RA2MediumMissile</t>
        </is>
      </c>
    </row>
    <row r="63">
      <c r="A63" t="inlineStr">
        <is>
          <t>redalert2mod</t>
        </is>
      </c>
      <c r="B63" t="inlineStr">
        <is>
          <t>schwarzermond_laserbeetle</t>
        </is>
      </c>
      <c r="C63" t="inlineStr">
        <is>
          <t>Laser Beetle</t>
        </is>
      </c>
      <c r="D63" t="inlineStr"/>
      <c r="E63" s="5" t="n">
        <v>47500</v>
      </c>
      <c r="F63" s="5" t="n">
        <v>85</v>
      </c>
      <c r="G63" t="inlineStr">
        <is>
          <t>Medium</t>
        </is>
      </c>
      <c r="H63" s="5" t="n">
        <v>1</v>
      </c>
      <c r="I63" s="5" t="n">
        <v>1</v>
      </c>
      <c r="J63" s="5" t="n">
        <v>1</v>
      </c>
      <c r="O63">
        <f>MAX(O64,O65,O66,O67,O68,O69)</f>
        <v/>
      </c>
      <c r="R63">
        <f>R64+R65+R66+R67+R68+R69</f>
        <v/>
      </c>
      <c r="S63">
        <f>(E63/100000+F63/100+(O63/1000)*J63/5+R63/200)*200*I63*H63</f>
        <v/>
      </c>
      <c r="T63">
        <f>((E63*F63/25000)+((O63/1000)*J63*R63/2.5))*I63*H63</f>
        <v/>
      </c>
      <c r="U63">
        <f>(E63*F63*(O63/1000)*J63*R63*I63*H63)/12500000</f>
        <v/>
      </c>
      <c r="V63">
        <f>(S63+T63+U63)/3</f>
        <v/>
      </c>
      <c r="W63" s="5" t="n">
        <v>700</v>
      </c>
      <c r="X63">
        <f>IFERROR(V63-W63,"")</f>
        <v/>
      </c>
      <c r="Y63">
        <f>IFERROR(ABS(X63)/MAX(W63,1),"")</f>
        <v/>
      </c>
      <c r="Z63">
        <f>IFERROR((W63-(((E63/100000+F63/100+R63/200)*200*I63*H63)+((E63*F63/25000)*I63*H63))/3)/(((J63/5)*200*I63*H63)+((J63*R63/2.5)*I63*H63)+((E63*F63*J63*R63*I63*H63)/12500000))/3*1000,"")</f>
        <v/>
      </c>
    </row>
    <row r="64">
      <c r="B64" s="6" t="inlineStr">
        <is>
          <t xml:space="preserve">  ↳ NaxiBeetleLaserE</t>
        </is>
      </c>
      <c r="C64" s="6" t="inlineStr">
        <is>
          <t>Armament</t>
        </is>
      </c>
      <c r="K64" s="5" t="n">
        <v>2000</v>
      </c>
      <c r="L64" s="5" t="n">
        <v>60</v>
      </c>
      <c r="M64" s="5" t="n">
        <v>2</v>
      </c>
      <c r="N64" s="5" t="n">
        <v>4</v>
      </c>
      <c r="O64" s="5" t="n">
        <v>6448</v>
      </c>
      <c r="P64" s="5" t="n">
        <v>1</v>
      </c>
      <c r="Q64">
        <f>L64+IF(M64&gt;1,N(N64)*(M64-1),0)</f>
        <v/>
      </c>
      <c r="R64">
        <f>IFERROR(K64*MAX(M64,1)/Q64*P64,0)</f>
        <v/>
      </c>
      <c r="AA64" s="6" t="inlineStr">
        <is>
          <t>^SmallArms, ^Chaingun, ^MediumMissile, ^LaserWeapon</t>
        </is>
      </c>
    </row>
    <row r="65">
      <c r="B65" s="6" t="inlineStr">
        <is>
          <t xml:space="preserve">  ↳ NaxiBeetleLaserAAE</t>
        </is>
      </c>
      <c r="C65" s="6" t="inlineStr">
        <is>
          <t>Armament@AA</t>
        </is>
      </c>
      <c r="K65" s="5" t="n">
        <v>2000</v>
      </c>
      <c r="L65" s="5" t="n">
        <v>60</v>
      </c>
      <c r="M65" s="5" t="n">
        <v>2</v>
      </c>
      <c r="N65" s="5" t="n">
        <v>4</v>
      </c>
      <c r="O65" s="5" t="n">
        <v>9672</v>
      </c>
      <c r="P65" s="5" t="n">
        <v>1</v>
      </c>
      <c r="Q65">
        <f>L65+IF(M65&gt;1,N(N65)*(M65-1),0)</f>
        <v/>
      </c>
      <c r="R65">
        <f>IFERROR(K65*MAX(M65,1)/Q65*P65,0)</f>
        <v/>
      </c>
      <c r="AA65" s="6" t="inlineStr">
        <is>
          <t>^SmallArms, ^Chaingun, ^MediumMissile, ^LaserWeapon</t>
        </is>
      </c>
    </row>
    <row r="66">
      <c r="B66" s="6" t="inlineStr">
        <is>
          <t xml:space="preserve">  ↳ Lunar_YellowBeetleLaser</t>
        </is>
      </c>
      <c r="C66" s="6" t="inlineStr">
        <is>
          <t>Armament@UP</t>
        </is>
      </c>
      <c r="K66" s="5" t="n">
        <v>2000</v>
      </c>
      <c r="L66" s="5" t="n">
        <v>60</v>
      </c>
      <c r="M66" s="5" t="n">
        <v>3</v>
      </c>
      <c r="N66" s="5" t="n">
        <v>4</v>
      </c>
      <c r="O66" s="5" t="n">
        <v>6448</v>
      </c>
      <c r="P66" s="5" t="n">
        <v>1</v>
      </c>
      <c r="Q66">
        <f>L66+IF(M66&gt;1,N(N66)*(M66-1),0)</f>
        <v/>
      </c>
      <c r="R66">
        <f>IFERROR(K66*MAX(M66,1)/Q66*P66,0)</f>
        <v/>
      </c>
      <c r="AA66" s="6" t="inlineStr">
        <is>
          <t>^SmallArms, ^Chaingun, ^MediumMissile, ^LaserWeapon</t>
        </is>
      </c>
    </row>
    <row r="67">
      <c r="B67" s="6" t="inlineStr">
        <is>
          <t xml:space="preserve">  ↳ Lunar_YellowBeetleLaserAA</t>
        </is>
      </c>
      <c r="C67" s="6" t="inlineStr">
        <is>
          <t>Armament@AA_UP</t>
        </is>
      </c>
      <c r="K67" s="5" t="n">
        <v>2000</v>
      </c>
      <c r="L67" s="5" t="n">
        <v>60</v>
      </c>
      <c r="M67" s="5" t="n">
        <v>3</v>
      </c>
      <c r="N67" s="5" t="n">
        <v>4</v>
      </c>
      <c r="O67" s="5" t="n">
        <v>9672</v>
      </c>
      <c r="P67" s="5" t="n">
        <v>1</v>
      </c>
      <c r="Q67">
        <f>L67+IF(M67&gt;1,N(N67)*(M67-1),0)</f>
        <v/>
      </c>
      <c r="R67">
        <f>IFERROR(K67*MAX(M67,1)/Q67*P67,0)</f>
        <v/>
      </c>
      <c r="AA67" s="6" t="inlineStr">
        <is>
          <t>^SmallArms, ^Chaingun, ^MediumMissile, ^LaserWeapon</t>
        </is>
      </c>
    </row>
    <row r="68">
      <c r="B68" s="6" t="inlineStr">
        <is>
          <t xml:space="preserve">  ↳ Lunar_AmplifiedBeetleLaser</t>
        </is>
      </c>
      <c r="C68" s="6" t="inlineStr">
        <is>
          <t>Armament@AMP</t>
        </is>
      </c>
      <c r="K68" s="5" t="n">
        <v>2000</v>
      </c>
      <c r="L68" s="5" t="n">
        <v>60</v>
      </c>
      <c r="M68" s="5" t="n">
        <v>4</v>
      </c>
      <c r="N68" s="5" t="n">
        <v>4</v>
      </c>
      <c r="O68" s="5" t="n">
        <v>6448</v>
      </c>
      <c r="P68" s="5" t="n">
        <v>1</v>
      </c>
      <c r="Q68">
        <f>L68+IF(M68&gt;1,N(N68)*(M68-1),0)</f>
        <v/>
      </c>
      <c r="R68">
        <f>IFERROR(K68*MAX(M68,1)/Q68*P68,0)</f>
        <v/>
      </c>
      <c r="AA68" s="6" t="inlineStr">
        <is>
          <t>^SmallArms, ^Chaingun, ^MediumMissile, ^LaserWeapon</t>
        </is>
      </c>
    </row>
    <row r="69">
      <c r="B69" s="6" t="inlineStr">
        <is>
          <t xml:space="preserve">  ↳ Lunar_AmplifiedBeetleLaserAA</t>
        </is>
      </c>
      <c r="C69" s="6" t="inlineStr">
        <is>
          <t>Armament@AA_AMP</t>
        </is>
      </c>
      <c r="K69" s="5" t="n">
        <v>2000</v>
      </c>
      <c r="L69" s="5" t="n">
        <v>60</v>
      </c>
      <c r="M69" s="5" t="n">
        <v>4</v>
      </c>
      <c r="N69" s="5" t="n">
        <v>4</v>
      </c>
      <c r="O69" s="5" t="n">
        <v>9672</v>
      </c>
      <c r="P69" s="5" t="n">
        <v>1</v>
      </c>
      <c r="Q69">
        <f>L69+IF(M69&gt;1,N(N69)*(M69-1),0)</f>
        <v/>
      </c>
      <c r="R69">
        <f>IFERROR(K69*MAX(M69,1)/Q69*P69,0)</f>
        <v/>
      </c>
      <c r="AA69" s="6" t="inlineStr">
        <is>
          <t>^SmallArms, ^Chaingun, ^MediumMissile, ^LaserWeapon</t>
        </is>
      </c>
    </row>
    <row r="70">
      <c r="A70" t="inlineStr">
        <is>
          <t>redalert2mod</t>
        </is>
      </c>
      <c r="B70" t="inlineStr">
        <is>
          <t>schwarzermond_lasertank</t>
        </is>
      </c>
      <c r="C70" t="inlineStr">
        <is>
          <t>Laser Tank</t>
        </is>
      </c>
      <c r="D70" t="inlineStr"/>
      <c r="E70" s="5" t="n">
        <v>100000</v>
      </c>
      <c r="F70" s="5" t="n">
        <v>70</v>
      </c>
      <c r="G70" t="inlineStr">
        <is>
          <t>Medium</t>
        </is>
      </c>
      <c r="H70" s="5" t="n">
        <v>1</v>
      </c>
      <c r="I70" s="5" t="n">
        <v>1</v>
      </c>
      <c r="J70" s="5" t="n">
        <v>1</v>
      </c>
      <c r="O70">
        <f>MAX(O71,O72,O73,O74,O75,O76)</f>
        <v/>
      </c>
      <c r="R70">
        <f>R71+R72+R73+R74+R75+R76</f>
        <v/>
      </c>
      <c r="S70">
        <f>(E70/100000+F70/100+(O70/1000)*J70/5+R70/200)*200*I70*H70</f>
        <v/>
      </c>
      <c r="T70">
        <f>((E70*F70/25000)+((O70/1000)*J70*R70/2.5))*I70*H70</f>
        <v/>
      </c>
      <c r="U70">
        <f>(E70*F70*(O70/1000)*J70*R70*I70*H70)/12500000</f>
        <v/>
      </c>
      <c r="V70">
        <f>(S70+T70+U70)/3</f>
        <v/>
      </c>
      <c r="W70" s="5" t="n">
        <v>1500</v>
      </c>
      <c r="X70">
        <f>IFERROR(V70-W70,"")</f>
        <v/>
      </c>
      <c r="Y70">
        <f>IFERROR(ABS(X70)/MAX(W70,1),"")</f>
        <v/>
      </c>
      <c r="Z70">
        <f>IFERROR((W70-(((E70/100000+F70/100+R70/200)*200*I70*H70)+((E70*F70/25000)*I70*H70))/3)/(((J70/5)*200*I70*H70)+((J70*R70/2.5)*I70*H70)+((E70*F70*J70*R70*I70*H70)/12500000))/3*1000,"")</f>
        <v/>
      </c>
    </row>
    <row r="71">
      <c r="B71" s="6" t="inlineStr">
        <is>
          <t xml:space="preserve">  ↳ NaxiTank2Laser</t>
        </is>
      </c>
      <c r="C71" s="6" t="inlineStr">
        <is>
          <t>Armament</t>
        </is>
      </c>
      <c r="K71" s="5" t="n">
        <v>2000</v>
      </c>
      <c r="L71" s="5" t="n">
        <v>52</v>
      </c>
      <c r="M71" s="5" t="n">
        <v>4</v>
      </c>
      <c r="N71" s="5" t="n">
        <v>4</v>
      </c>
      <c r="O71" s="5" t="n">
        <v>6500</v>
      </c>
      <c r="P71" s="5" t="n">
        <v>1</v>
      </c>
      <c r="Q71">
        <f>L71+IF(M71&gt;1,N(N71)*(M71-1),0)</f>
        <v/>
      </c>
      <c r="R71">
        <f>IFERROR(K71*MAX(M71,1)/Q71*P71,0)</f>
        <v/>
      </c>
      <c r="AA71" s="6" t="inlineStr">
        <is>
          <t>^SmallArms, ^Chaingun, ^MediumMissile, ^LaserWeapon</t>
        </is>
      </c>
    </row>
    <row r="72">
      <c r="B72" s="6" t="inlineStr">
        <is>
          <t xml:space="preserve">  ↳ NaxiTank2LaserAA</t>
        </is>
      </c>
      <c r="C72" s="6" t="inlineStr">
        <is>
          <t>Armament@AA</t>
        </is>
      </c>
      <c r="K72" s="5" t="n">
        <v>2000</v>
      </c>
      <c r="L72" s="5" t="n">
        <v>52</v>
      </c>
      <c r="M72" s="5" t="n">
        <v>4</v>
      </c>
      <c r="N72" s="5" t="n">
        <v>4</v>
      </c>
      <c r="O72" s="5" t="n">
        <v>9750</v>
      </c>
      <c r="P72" s="5" t="n">
        <v>1</v>
      </c>
      <c r="Q72">
        <f>L72+IF(M72&gt;1,N(N72)*(M72-1),0)</f>
        <v/>
      </c>
      <c r="R72">
        <f>IFERROR(K72*MAX(M72,1)/Q72*P72,0)</f>
        <v/>
      </c>
      <c r="AA72" s="6" t="inlineStr">
        <is>
          <t>^SmallArms, ^Chaingun, ^MediumMissile, ^LaserWeapon</t>
        </is>
      </c>
    </row>
    <row r="73">
      <c r="B73" s="6" t="inlineStr">
        <is>
          <t xml:space="preserve">  ↳ Lunar_YellowTank2Laser</t>
        </is>
      </c>
      <c r="C73" s="6" t="inlineStr">
        <is>
          <t>Armament@UP</t>
        </is>
      </c>
      <c r="K73" s="5" t="n">
        <v>2000</v>
      </c>
      <c r="L73" s="5" t="n">
        <v>52</v>
      </c>
      <c r="M73" s="5" t="n">
        <v>5</v>
      </c>
      <c r="N73" s="5" t="n">
        <v>4</v>
      </c>
      <c r="O73" s="5" t="n">
        <v>6500</v>
      </c>
      <c r="P73" s="5" t="n">
        <v>1</v>
      </c>
      <c r="Q73">
        <f>L73+IF(M73&gt;1,N(N73)*(M73-1),0)</f>
        <v/>
      </c>
      <c r="R73">
        <f>IFERROR(K73*MAX(M73,1)/Q73*P73,0)</f>
        <v/>
      </c>
      <c r="AA73" s="6" t="inlineStr">
        <is>
          <t>^SmallArms, ^Chaingun, ^MediumMissile, ^LaserWeapon</t>
        </is>
      </c>
    </row>
    <row r="74">
      <c r="B74" s="6" t="inlineStr">
        <is>
          <t xml:space="preserve">  ↳ Lunar_YellowTank2LaserAA</t>
        </is>
      </c>
      <c r="C74" s="6" t="inlineStr">
        <is>
          <t>Armament@AA_UP</t>
        </is>
      </c>
      <c r="K74" s="5" t="n">
        <v>2000</v>
      </c>
      <c r="L74" s="5" t="n">
        <v>52</v>
      </c>
      <c r="M74" s="5" t="n">
        <v>5</v>
      </c>
      <c r="N74" s="5" t="n">
        <v>4</v>
      </c>
      <c r="O74" s="5" t="n">
        <v>9750</v>
      </c>
      <c r="P74" s="5" t="n">
        <v>1</v>
      </c>
      <c r="Q74">
        <f>L74+IF(M74&gt;1,N(N74)*(M74-1),0)</f>
        <v/>
      </c>
      <c r="R74">
        <f>IFERROR(K74*MAX(M74,1)/Q74*P74,0)</f>
        <v/>
      </c>
      <c r="AA74" s="6" t="inlineStr">
        <is>
          <t>^SmallArms, ^Chaingun, ^MediumMissile, ^LaserWeapon</t>
        </is>
      </c>
    </row>
    <row r="75">
      <c r="B75" s="6" t="inlineStr">
        <is>
          <t xml:space="preserve">  ↳ Lunar_AmplifiedTank2Laser</t>
        </is>
      </c>
      <c r="C75" s="6" t="inlineStr">
        <is>
          <t>Armament@AMP</t>
        </is>
      </c>
      <c r="K75" s="5" t="n">
        <v>2000</v>
      </c>
      <c r="L75" s="5" t="n">
        <v>52</v>
      </c>
      <c r="M75" s="5" t="n">
        <v>6</v>
      </c>
      <c r="N75" s="5" t="n">
        <v>4</v>
      </c>
      <c r="O75" s="5" t="n">
        <v>6500</v>
      </c>
      <c r="P75" s="5" t="n">
        <v>1</v>
      </c>
      <c r="Q75">
        <f>L75+IF(M75&gt;1,N(N75)*(M75-1),0)</f>
        <v/>
      </c>
      <c r="R75">
        <f>IFERROR(K75*MAX(M75,1)/Q75*P75,0)</f>
        <v/>
      </c>
      <c r="AA75" s="6" t="inlineStr">
        <is>
          <t>^SmallArms, ^Chaingun, ^MediumMissile, ^LaserWeapon</t>
        </is>
      </c>
    </row>
    <row r="76">
      <c r="B76" s="6" t="inlineStr">
        <is>
          <t xml:space="preserve">  ↳ Lunar_AmplifiedTank2LaserAA</t>
        </is>
      </c>
      <c r="C76" s="6" t="inlineStr">
        <is>
          <t>Armament@AA_AMP</t>
        </is>
      </c>
      <c r="K76" s="5" t="n">
        <v>2000</v>
      </c>
      <c r="L76" s="5" t="n">
        <v>52</v>
      </c>
      <c r="M76" s="5" t="n">
        <v>6</v>
      </c>
      <c r="N76" s="5" t="n">
        <v>4</v>
      </c>
      <c r="O76" s="5" t="n">
        <v>9750</v>
      </c>
      <c r="P76" s="5" t="n">
        <v>1</v>
      </c>
      <c r="Q76">
        <f>L76+IF(M76&gt;1,N(N76)*(M76-1),0)</f>
        <v/>
      </c>
      <c r="R76">
        <f>IFERROR(K76*MAX(M76,1)/Q76*P76,0)</f>
        <v/>
      </c>
      <c r="AA76" s="6" t="inlineStr">
        <is>
          <t>^SmallArms, ^Chaingun, ^MediumMissile, ^LaserWeapon</t>
        </is>
      </c>
    </row>
    <row r="77">
      <c r="A77" t="inlineStr">
        <is>
          <t>redalert2mod</t>
        </is>
      </c>
      <c r="B77" t="inlineStr">
        <is>
          <t>schwarzermond_lunargrille</t>
        </is>
      </c>
      <c r="C77" t="inlineStr">
        <is>
          <t>Lunar Grille</t>
        </is>
      </c>
      <c r="D77" t="inlineStr"/>
      <c r="E77" s="5" t="n">
        <v>62500</v>
      </c>
      <c r="F77" s="5" t="n">
        <v>90</v>
      </c>
      <c r="G77" t="inlineStr">
        <is>
          <t>Medium</t>
        </is>
      </c>
      <c r="H77" s="5" t="n">
        <v>1</v>
      </c>
      <c r="I77" s="5" t="n">
        <v>0.5</v>
      </c>
      <c r="J77" s="5" t="n">
        <v>1</v>
      </c>
      <c r="O77">
        <f>MAX(O78,O79,O80,O81)</f>
        <v/>
      </c>
      <c r="R77">
        <f>R78+R79+R80+R81</f>
        <v/>
      </c>
      <c r="S77">
        <f>(E77/100000+F77/100+(O77/1000)*J77/5+R77/200)*200*I77*H77</f>
        <v/>
      </c>
      <c r="T77">
        <f>((E77*F77/25000)+((O77/1000)*J77*R77/2.5))*I77*H77</f>
        <v/>
      </c>
      <c r="U77">
        <f>(E77*F77*(O77/1000)*J77*R77*I77*H77)/12500000</f>
        <v/>
      </c>
      <c r="V77">
        <f>(S77+T77+U77)/3</f>
        <v/>
      </c>
      <c r="W77" s="5" t="n">
        <v>600</v>
      </c>
      <c r="X77">
        <f>IFERROR(V77-W77,"")</f>
        <v/>
      </c>
      <c r="Y77">
        <f>IFERROR(ABS(X77)/MAX(W77,1),"")</f>
        <v/>
      </c>
      <c r="Z77">
        <f>IFERROR((W77-(((E77/100000+F77/100+R77/200)*200*I77*H77)+((E77*F77/25000)*I77*H77))/3)/(((J77/5)*200*I77*H77)+((J77*R77/2.5)*I77*H77)+((E77*F77*J77*R77*I77*H77)/12500000))/3*1000,"")</f>
        <v/>
      </c>
    </row>
    <row r="78">
      <c r="B78" s="6" t="inlineStr">
        <is>
          <t xml:space="preserve">  ↳ NaxGrilleArty</t>
        </is>
      </c>
      <c r="C78" s="6" t="inlineStr">
        <is>
          <t>Armament@AG</t>
        </is>
      </c>
      <c r="K78" s="5" t="n">
        <v>16000</v>
      </c>
      <c r="L78" s="5" t="n">
        <v>111</v>
      </c>
      <c r="M78" s="5" t="n">
        <v>1</v>
      </c>
      <c r="N78" s="5" t="n"/>
      <c r="O78" s="5" t="n">
        <v>12345</v>
      </c>
      <c r="P78" s="5" t="n">
        <v>1</v>
      </c>
      <c r="Q78">
        <f>L78+IF(M78&gt;1,N(N78)*(M78-1),0)</f>
        <v/>
      </c>
      <c r="R78">
        <f>IFERROR(K78*MAX(M78,1)/Q78*P78,0)</f>
        <v/>
      </c>
      <c r="AA78" s="6" t="inlineStr">
        <is>
          <t>^HeavyCannon, ^ShrapnelWeapon, ^RA2Grenade</t>
        </is>
      </c>
    </row>
    <row r="79">
      <c r="B79" s="6" t="inlineStr">
        <is>
          <t xml:space="preserve">  ↳ NaxGrilleArtyE</t>
        </is>
      </c>
      <c r="C79" s="6" t="inlineStr">
        <is>
          <t>Armament@elite</t>
        </is>
      </c>
      <c r="K79" s="5" t="n">
        <v>16000</v>
      </c>
      <c r="L79" s="5" t="n">
        <v>111</v>
      </c>
      <c r="M79" s="5" t="n">
        <v>2</v>
      </c>
      <c r="N79" s="5" t="n">
        <v>3</v>
      </c>
      <c r="O79" s="5" t="n">
        <v>13333</v>
      </c>
      <c r="P79" s="5" t="n">
        <v>1</v>
      </c>
      <c r="Q79">
        <f>L79+IF(M79&gt;1,N(N79)*(M79-1),0)</f>
        <v/>
      </c>
      <c r="R79">
        <f>IFERROR(K79*MAX(M79,1)/Q79*P79,0)</f>
        <v/>
      </c>
      <c r="AA79" s="6" t="inlineStr">
        <is>
          <t>^HeavyCannon, ^ShrapnelWeapon, ^RA2Grenade, ^RA2EliteEffects</t>
        </is>
      </c>
    </row>
    <row r="80">
      <c r="B80" s="6" t="inlineStr">
        <is>
          <t xml:space="preserve">  ↳ Lunar_GreenGrilleArty</t>
        </is>
      </c>
      <c r="C80" s="6" t="inlineStr">
        <is>
          <t>Armament@upgraded</t>
        </is>
      </c>
      <c r="K80" s="5" t="n">
        <v>16000</v>
      </c>
      <c r="L80" s="5" t="n">
        <v>111</v>
      </c>
      <c r="M80" s="5" t="n">
        <v>1</v>
      </c>
      <c r="N80" s="5" t="n"/>
      <c r="O80" s="5" t="n">
        <v>12345</v>
      </c>
      <c r="P80" s="5" t="n">
        <v>1</v>
      </c>
      <c r="Q80">
        <f>L80+IF(M80&gt;1,N(N80)*(M80-1),0)</f>
        <v/>
      </c>
      <c r="R80">
        <f>IFERROR(K80*MAX(M80,1)/Q80*P80,0)</f>
        <v/>
      </c>
      <c r="AA80" s="6" t="inlineStr">
        <is>
          <t>^TeslaWeapon, ^HeavyCannon, ^ShrapnelWeapon, ^RA2Grenade, ^LunarNaxisUpgradedCannons</t>
        </is>
      </c>
    </row>
    <row r="81">
      <c r="B81" s="6" t="inlineStr">
        <is>
          <t xml:space="preserve">  ↳ Lunar_GreenGrilleArtyE</t>
        </is>
      </c>
      <c r="C81" s="6" t="inlineStr">
        <is>
          <t>Armament@elite-upgrade</t>
        </is>
      </c>
      <c r="K81" s="5" t="n">
        <v>16000</v>
      </c>
      <c r="L81" s="5" t="n">
        <v>111</v>
      </c>
      <c r="M81" s="5" t="n">
        <v>2</v>
      </c>
      <c r="N81" s="5" t="n">
        <v>3</v>
      </c>
      <c r="O81" s="5" t="n">
        <v>13333</v>
      </c>
      <c r="P81" s="5" t="n">
        <v>1</v>
      </c>
      <c r="Q81">
        <f>L81+IF(M81&gt;1,N(N81)*(M81-1),0)</f>
        <v/>
      </c>
      <c r="R81">
        <f>IFERROR(K81*MAX(M81,1)/Q81*P81,0)</f>
        <v/>
      </c>
      <c r="AA81" s="6" t="inlineStr">
        <is>
          <t>^TeslaWeapon, ^HeavyCannon, ^ShrapnelWeapon, ^RA2Grenade, ^RA2EliteEffects, ^LunarNaxisUpgradedCannons</t>
        </is>
      </c>
    </row>
    <row r="82">
      <c r="A82" t="inlineStr">
        <is>
          <t>redalert2mod</t>
        </is>
      </c>
      <c r="B82" t="inlineStr">
        <is>
          <t>schwarzermond_lunarpanzer</t>
        </is>
      </c>
      <c r="C82" t="inlineStr">
        <is>
          <t>Lunar Panzer</t>
        </is>
      </c>
      <c r="D82" t="inlineStr"/>
      <c r="E82" s="5" t="n">
        <v>90000</v>
      </c>
      <c r="F82" s="5" t="n">
        <v>90</v>
      </c>
      <c r="G82" t="inlineStr">
        <is>
          <t>Medium</t>
        </is>
      </c>
      <c r="H82" s="5" t="n">
        <v>1</v>
      </c>
      <c r="I82" s="5" t="n">
        <v>1</v>
      </c>
      <c r="J82" s="5" t="n">
        <v>1</v>
      </c>
      <c r="O82">
        <f>MAX(O83,O84,O85,O86)</f>
        <v/>
      </c>
      <c r="R82">
        <f>R83+R84+R85+R86</f>
        <v/>
      </c>
      <c r="S82">
        <f>(E82/100000+F82/100+(O82/1000)*J82/5+R82/200)*200*I82*H82</f>
        <v/>
      </c>
      <c r="T82">
        <f>((E82*F82/25000)+((O82/1000)*J82*R82/2.5))*I82*H82</f>
        <v/>
      </c>
      <c r="U82">
        <f>(E82*F82*(O82/1000)*J82*R82*I82*H82)/12500000</f>
        <v/>
      </c>
      <c r="V82">
        <f>(S82+T82+U82)/3</f>
        <v/>
      </c>
      <c r="W82" s="5" t="n">
        <v>650</v>
      </c>
      <c r="X82">
        <f>IFERROR(V82-W82,"")</f>
        <v/>
      </c>
      <c r="Y82">
        <f>IFERROR(ABS(X82)/MAX(W82,1),"")</f>
        <v/>
      </c>
      <c r="Z82">
        <f>IFERROR((W82-(((E82/100000+F82/100+R82/200)*200*I82*H82)+((E82*F82/25000)*I82*H82))/3)/(((J82/5)*200*I82*H82)+((J82*R82/2.5)*I82*H82)+((E82*F82*J82*R82*I82*H82)/12500000))/3*1000,"")</f>
        <v/>
      </c>
    </row>
    <row r="83">
      <c r="B83" s="6" t="inlineStr">
        <is>
          <t xml:space="preserve">  ↳ LunarPanzerCannon</t>
        </is>
      </c>
      <c r="C83" s="6" t="inlineStr">
        <is>
          <t>Armament</t>
        </is>
      </c>
      <c r="K83" s="5" t="n">
        <v>10000</v>
      </c>
      <c r="L83" s="5" t="n">
        <v>60</v>
      </c>
      <c r="M83" s="5" t="n">
        <v>1</v>
      </c>
      <c r="N83" s="5" t="n"/>
      <c r="O83" s="5" t="n">
        <v>5121</v>
      </c>
      <c r="P83" s="5" t="n">
        <v>1</v>
      </c>
      <c r="Q83">
        <f>L83+IF(M83&gt;1,N(N83)*(M83-1),0)</f>
        <v/>
      </c>
      <c r="R83">
        <f>IFERROR(K83*MAX(M83,1)/Q83*P83,0)</f>
        <v/>
      </c>
      <c r="AA83" s="6" t="inlineStr">
        <is>
          <t>^RA2MediumCannon</t>
        </is>
      </c>
    </row>
    <row r="84">
      <c r="B84" s="6" t="inlineStr">
        <is>
          <t xml:space="preserve">  ↳ LunarPanzerCannonE</t>
        </is>
      </c>
      <c r="C84" s="6" t="inlineStr">
        <is>
          <t>Armament@elite</t>
        </is>
      </c>
      <c r="K84" s="5" t="n">
        <v>10000</v>
      </c>
      <c r="L84" s="5" t="n">
        <v>60</v>
      </c>
      <c r="M84" s="5" t="n">
        <v>2</v>
      </c>
      <c r="N84" s="5" t="n">
        <v>3</v>
      </c>
      <c r="O84" s="5" t="n">
        <v>6121</v>
      </c>
      <c r="P84" s="5" t="n">
        <v>1</v>
      </c>
      <c r="Q84">
        <f>L84+IF(M84&gt;1,N(N84)*(M84-1),0)</f>
        <v/>
      </c>
      <c r="R84">
        <f>IFERROR(K84*MAX(M84,1)/Q84*P84,0)</f>
        <v/>
      </c>
      <c r="AA84" s="6" t="inlineStr">
        <is>
          <t>^RA2MediumCannon, ^RA2EliteEffects</t>
        </is>
      </c>
    </row>
    <row r="85">
      <c r="B85" s="6" t="inlineStr">
        <is>
          <t xml:space="preserve">  ↳ Lunar_Green105mm</t>
        </is>
      </c>
      <c r="C85" s="6" t="inlineStr">
        <is>
          <t>Armament@upgraded</t>
        </is>
      </c>
      <c r="K85" s="5" t="n">
        <v>8000</v>
      </c>
      <c r="L85" s="5" t="n">
        <v>50</v>
      </c>
      <c r="M85" s="5" t="n">
        <v>1</v>
      </c>
      <c r="N85" s="5" t="n"/>
      <c r="O85" s="5" t="n">
        <v>5000</v>
      </c>
      <c r="P85" s="5" t="n">
        <v>1</v>
      </c>
      <c r="Q85">
        <f>L85+IF(M85&gt;1,N(N85)*(M85-1),0)</f>
        <v/>
      </c>
      <c r="R85">
        <f>IFERROR(K85*MAX(M85,1)/Q85*P85,0)</f>
        <v/>
      </c>
      <c r="AA85" s="6" t="inlineStr">
        <is>
          <t>^TeslaWeapon, ^RA2MediumCannon, ^LunarNaxisUpgradedCannons</t>
        </is>
      </c>
    </row>
    <row r="86">
      <c r="B86" s="6" t="inlineStr">
        <is>
          <t xml:space="preserve">  ↳ Lunar_Green105mm_elite</t>
        </is>
      </c>
      <c r="C86" s="6" t="inlineStr">
        <is>
          <t>Armament@upgraded-elite</t>
        </is>
      </c>
      <c r="K86" s="5" t="n">
        <v>8000</v>
      </c>
      <c r="L86" s="5" t="n">
        <v>50</v>
      </c>
      <c r="M86" s="5" t="n">
        <v>2</v>
      </c>
      <c r="N86" s="5" t="n">
        <v>5</v>
      </c>
      <c r="O86" s="5" t="n">
        <v>6000</v>
      </c>
      <c r="P86" s="5" t="n">
        <v>1</v>
      </c>
      <c r="Q86">
        <f>L86+IF(M86&gt;1,N(N86)*(M86-1),0)</f>
        <v/>
      </c>
      <c r="R86">
        <f>IFERROR(K86*MAX(M86,1)/Q86*P86,0)</f>
        <v/>
      </c>
      <c r="AA86" s="6" t="inlineStr">
        <is>
          <t>^TeslaWeapon, ^RA2MediumCannon, ^LunarNaxisUpgradedCannons</t>
        </is>
      </c>
    </row>
    <row r="87">
      <c r="A87" t="inlineStr">
        <is>
          <t>redalert2mod</t>
        </is>
      </c>
      <c r="B87" t="inlineStr">
        <is>
          <t>schwarzermond_lunartiger</t>
        </is>
      </c>
      <c r="C87" t="inlineStr">
        <is>
          <t>Lunar Tiger</t>
        </is>
      </c>
      <c r="D87" t="inlineStr"/>
      <c r="E87" s="5" t="n">
        <v>160000</v>
      </c>
      <c r="F87" s="5" t="n">
        <v>80</v>
      </c>
      <c r="G87" t="inlineStr">
        <is>
          <t>Heavy</t>
        </is>
      </c>
      <c r="H87" s="5" t="n">
        <v>1</v>
      </c>
      <c r="I87" s="5" t="n">
        <v>1</v>
      </c>
      <c r="J87" s="5" t="n">
        <v>1</v>
      </c>
      <c r="O87">
        <f>MAX(O88,O89,O90,O91)</f>
        <v/>
      </c>
      <c r="R87">
        <f>R88+R89+R90+R91</f>
        <v/>
      </c>
      <c r="S87">
        <f>(E87/100000+F87/100+(O87/1000)*J87/5+R87/200)*200*I87*H87</f>
        <v/>
      </c>
      <c r="T87">
        <f>((E87*F87/25000)+((O87/1000)*J87*R87/2.5))*I87*H87</f>
        <v/>
      </c>
      <c r="U87">
        <f>(E87*F87*(O87/1000)*J87*R87*I87*H87)/12500000</f>
        <v/>
      </c>
      <c r="V87">
        <f>(S87+T87+U87)/3</f>
        <v/>
      </c>
      <c r="W87" s="5" t="n">
        <v>950</v>
      </c>
      <c r="X87">
        <f>IFERROR(V87-W87,"")</f>
        <v/>
      </c>
      <c r="Y87">
        <f>IFERROR(ABS(X87)/MAX(W87,1),"")</f>
        <v/>
      </c>
      <c r="Z87">
        <f>IFERROR((W87-(((E87/100000+F87/100+R87/200)*200*I87*H87)+((E87*F87/25000)*I87*H87))/3)/(((J87/5)*200*I87*H87)+((J87*R87/2.5)*I87*H87)+((E87*F87*J87*R87*I87*H87)/12500000))/3*1000,"")</f>
        <v/>
      </c>
    </row>
    <row r="88">
      <c r="B88" s="6" t="inlineStr">
        <is>
          <t xml:space="preserve">  ↳ LunarTigerCannon</t>
        </is>
      </c>
      <c r="C88" s="6" t="inlineStr">
        <is>
          <t>Armament</t>
        </is>
      </c>
      <c r="K88" s="5" t="n">
        <v>4000</v>
      </c>
      <c r="L88" s="5" t="n">
        <v>80</v>
      </c>
      <c r="M88" s="5" t="n">
        <v>1</v>
      </c>
      <c r="N88" s="5" t="n"/>
      <c r="O88" s="5" t="n">
        <v>5105</v>
      </c>
      <c r="P88" s="5" t="n">
        <v>1</v>
      </c>
      <c r="Q88">
        <f>L88+IF(M88&gt;1,N(N88)*(M88-1),0)</f>
        <v/>
      </c>
      <c r="R88">
        <f>IFERROR(K88*MAX(M88,1)/Q88*P88,0)</f>
        <v/>
      </c>
      <c r="AA88" s="6" t="inlineStr">
        <is>
          <t>^LightChemicalWeapon, ^HeavyBomb, ^MediumFlameWeapon, ^RA2MediumCannon</t>
        </is>
      </c>
    </row>
    <row r="89">
      <c r="B89" s="6" t="inlineStr">
        <is>
          <t xml:space="preserve">  ↳ LunarTigerCannonE</t>
        </is>
      </c>
      <c r="C89" s="6" t="inlineStr">
        <is>
          <t>Armament@elite</t>
        </is>
      </c>
      <c r="K89" s="5" t="n">
        <v>4000</v>
      </c>
      <c r="L89" s="5" t="n">
        <v>80</v>
      </c>
      <c r="M89" s="5" t="n">
        <v>2</v>
      </c>
      <c r="N89" s="5" t="n">
        <v>3</v>
      </c>
      <c r="O89" s="5" t="n">
        <v>6105</v>
      </c>
      <c r="P89" s="5" t="n">
        <v>1</v>
      </c>
      <c r="Q89">
        <f>L89+IF(M89&gt;1,N(N89)*(M89-1),0)</f>
        <v/>
      </c>
      <c r="R89">
        <f>IFERROR(K89*MAX(M89,1)/Q89*P89,0)</f>
        <v/>
      </c>
      <c r="AA89" s="6" t="inlineStr">
        <is>
          <t>^LightChemicalWeapon, ^HeavyBomb, ^MediumFlameWeapon, ^RA2MediumCannon</t>
        </is>
      </c>
    </row>
    <row r="90">
      <c r="B90" s="6" t="inlineStr">
        <is>
          <t xml:space="preserve">  ↳ Lunar_GreenTigerCannon</t>
        </is>
      </c>
      <c r="C90" s="6" t="inlineStr">
        <is>
          <t>Armament@-upgrade</t>
        </is>
      </c>
      <c r="K90" s="5" t="n">
        <v>4000</v>
      </c>
      <c r="L90" s="5" t="n">
        <v>80</v>
      </c>
      <c r="M90" s="5" t="n">
        <v>1</v>
      </c>
      <c r="N90" s="5" t="n"/>
      <c r="O90" s="5" t="n">
        <v>5105</v>
      </c>
      <c r="P90" s="5" t="n">
        <v>1</v>
      </c>
      <c r="Q90">
        <f>L90+IF(M90&gt;1,N(N90)*(M90-1),0)</f>
        <v/>
      </c>
      <c r="R90">
        <f>IFERROR(K90*MAX(M90,1)/Q90*P90,0)</f>
        <v/>
      </c>
      <c r="AA90" s="6" t="inlineStr">
        <is>
          <t>^TeslaWeapon, ^LightChemicalWeapon, ^HeavyBomb, ^MediumFlameWeapon, ^RA2MediumCannon, ^LunarNaxisUpgradedCannons</t>
        </is>
      </c>
    </row>
    <row r="91">
      <c r="B91" s="6" t="inlineStr">
        <is>
          <t xml:space="preserve">  ↳ Lunar_GreenTigerCannonE</t>
        </is>
      </c>
      <c r="C91" s="6" t="inlineStr">
        <is>
          <t>Armament@elite-upgrade</t>
        </is>
      </c>
      <c r="K91" s="5" t="n">
        <v>4000</v>
      </c>
      <c r="L91" s="5" t="n">
        <v>80</v>
      </c>
      <c r="M91" s="5" t="n">
        <v>2</v>
      </c>
      <c r="N91" s="5" t="n">
        <v>3</v>
      </c>
      <c r="O91" s="5" t="n">
        <v>6105</v>
      </c>
      <c r="P91" s="5" t="n">
        <v>1</v>
      </c>
      <c r="Q91">
        <f>L91+IF(M91&gt;1,N(N91)*(M91-1),0)</f>
        <v/>
      </c>
      <c r="R91">
        <f>IFERROR(K91*MAX(M91,1)/Q91*P91,0)</f>
        <v/>
      </c>
      <c r="AA91" s="6" t="inlineStr">
        <is>
          <t>^TeslaWeapon, ^LightChemicalWeapon, ^HeavyBomb, ^MediumFlameWeapon, ^RA2MediumCannon, ^LunarNaxisUpgradedCannons</t>
        </is>
      </c>
    </row>
    <row r="92">
      <c r="A92" t="inlineStr">
        <is>
          <t>redalert2mod</t>
        </is>
      </c>
      <c r="B92" t="inlineStr">
        <is>
          <t>schwarzermond_m200bjagerline</t>
        </is>
      </c>
      <c r="C92" t="inlineStr">
        <is>
          <t>M-200B Jagerline</t>
        </is>
      </c>
      <c r="D92" t="inlineStr"/>
      <c r="E92" s="5" t="n">
        <v>70000</v>
      </c>
      <c r="F92" s="5" t="n">
        <v>60</v>
      </c>
      <c r="G92" t="inlineStr">
        <is>
          <t>Medium</t>
        </is>
      </c>
      <c r="H92" s="5" t="n">
        <v>1</v>
      </c>
      <c r="I92" s="5" t="n">
        <v>1</v>
      </c>
      <c r="J92" s="5" t="n">
        <v>1</v>
      </c>
      <c r="O92">
        <f>MAX(O93,O94)</f>
        <v/>
      </c>
      <c r="R92">
        <f>R93+R94</f>
        <v/>
      </c>
      <c r="S92">
        <f>(E92/100000+F92/100+(O92/1000)*J92/5+R92/200)*200*I92*H92</f>
        <v/>
      </c>
      <c r="T92">
        <f>((E92*F92/25000)+((O92/1000)*J92*R92/2.5))*I92*H92</f>
        <v/>
      </c>
      <c r="U92">
        <f>(E92*F92*(O92/1000)*J92*R92*I92*H92)/12500000</f>
        <v/>
      </c>
      <c r="V92">
        <f>(S92+T92+U92)/3</f>
        <v/>
      </c>
      <c r="W92" s="5" t="n">
        <v>2500</v>
      </c>
      <c r="X92">
        <f>IFERROR(V92-W92,"")</f>
        <v/>
      </c>
      <c r="Y92">
        <f>IFERROR(ABS(X92)/MAX(W92,1),"")</f>
        <v/>
      </c>
      <c r="Z92">
        <f>IFERROR((W92-(((E92/100000+F92/100+R92/200)*200*I92*H92)+((E92*F92/25000)*I92*H92))/3)/(((J92/5)*200*I92*H92)+((J92*R92/2.5)*I92*H92)+((E92*F92*J92*R92*I92*H92)/12500000))/3*1000,"")</f>
        <v/>
      </c>
    </row>
    <row r="93">
      <c r="B93" s="6" t="inlineStr">
        <is>
          <t xml:space="preserve">  ↳ Naxis_Jagerline</t>
        </is>
      </c>
      <c r="C93" s="6" t="inlineStr">
        <is>
          <t>Armament</t>
        </is>
      </c>
      <c r="K93" s="5" t="n">
        <v>8000</v>
      </c>
      <c r="L93" s="5" t="n">
        <v>60</v>
      </c>
      <c r="M93" s="5" t="n">
        <v>2</v>
      </c>
      <c r="N93" s="5" t="n">
        <v>4</v>
      </c>
      <c r="O93" s="5" t="n">
        <v>7825</v>
      </c>
      <c r="P93" s="5" t="n">
        <v>1</v>
      </c>
      <c r="Q93">
        <f>L93+IF(M93&gt;1,N(N93)*(M93-1),0)</f>
        <v/>
      </c>
      <c r="R93">
        <f>IFERROR(K93*MAX(M93,1)/Q93*P93,0)</f>
        <v/>
      </c>
      <c r="AA93" s="6" t="inlineStr">
        <is>
          <t>^FlakWeapon, ^Grenade, ^HeavyAAWeapon, ^MediumMissile</t>
        </is>
      </c>
    </row>
    <row r="94">
      <c r="B94" s="6" t="inlineStr">
        <is>
          <t xml:space="preserve">  ↳ Naxis_Jagerline_AA</t>
        </is>
      </c>
      <c r="C94" s="6" t="inlineStr">
        <is>
          <t>Armament@AA</t>
        </is>
      </c>
      <c r="K94" s="5" t="n">
        <v>8000</v>
      </c>
      <c r="L94" s="5" t="n">
        <v>60</v>
      </c>
      <c r="M94" s="5" t="n">
        <v>2</v>
      </c>
      <c r="N94" s="5" t="n">
        <v>4</v>
      </c>
      <c r="O94" s="5" t="n">
        <v>11740</v>
      </c>
      <c r="P94" s="5" t="n">
        <v>1</v>
      </c>
      <c r="Q94">
        <f>L94+IF(M94&gt;1,N(N94)*(M94-1),0)</f>
        <v/>
      </c>
      <c r="R94">
        <f>IFERROR(K94*MAX(M94,1)/Q94*P94,0)</f>
        <v/>
      </c>
      <c r="AA94" s="6" t="inlineStr">
        <is>
          <t>^FlakWeapon, ^Grenade, ^HeavyAAWeapon, ^MediumMissile</t>
        </is>
      </c>
    </row>
    <row r="95">
      <c r="A95" t="inlineStr">
        <is>
          <t>redalert2mod</t>
        </is>
      </c>
      <c r="B95" t="inlineStr">
        <is>
          <t>schwarzermond_mars</t>
        </is>
      </c>
      <c r="C95" t="inlineStr">
        <is>
          <t>MARS</t>
        </is>
      </c>
      <c r="D95" t="inlineStr"/>
      <c r="E95" s="5" t="n">
        <v>35000</v>
      </c>
      <c r="F95" s="5" t="n">
        <v>70</v>
      </c>
      <c r="G95" t="inlineStr">
        <is>
          <t>Medium</t>
        </is>
      </c>
      <c r="H95" s="5" t="n">
        <v>1</v>
      </c>
      <c r="I95" s="5" t="n">
        <v>1</v>
      </c>
      <c r="J95" s="5" t="n">
        <v>1</v>
      </c>
      <c r="O95">
        <f>MAX(O96)</f>
        <v/>
      </c>
      <c r="R95">
        <f>R96</f>
        <v/>
      </c>
      <c r="S95">
        <f>(E95/100000+F95/100+(O95/1000)*J95/5+R95/200)*200*I95*H95</f>
        <v/>
      </c>
      <c r="T95">
        <f>((E95*F95/25000)+((O95/1000)*J95*R95/2.5))*I95*H95</f>
        <v/>
      </c>
      <c r="U95">
        <f>(E95*F95*(O95/1000)*J95*R95*I95*H95)/12500000</f>
        <v/>
      </c>
      <c r="V95">
        <f>(S95+T95+U95)/3</f>
        <v/>
      </c>
      <c r="W95" s="5" t="n">
        <v>2000</v>
      </c>
      <c r="X95">
        <f>IFERROR(V95-W95,"")</f>
        <v/>
      </c>
      <c r="Y95">
        <f>IFERROR(ABS(X95)/MAX(W95,1),"")</f>
        <v/>
      </c>
      <c r="Z95">
        <f>IFERROR((W95-(((E95/100000+F95/100+R95/200)*200*I95*H95)+((E95*F95/25000)*I95*H95))/3)/(((J95/5)*200*I95*H95)+((J95*R95/2.5)*I95*H95)+((E95*F95*J95*R95*I95*H95)/12500000))/3*1000,"")</f>
        <v/>
      </c>
    </row>
    <row r="96">
      <c r="B96" s="6" t="inlineStr">
        <is>
          <t xml:space="preserve">  ↳ NaxisBradleyTarget</t>
        </is>
      </c>
      <c r="C96" s="6" t="inlineStr">
        <is>
          <t>Armament</t>
        </is>
      </c>
      <c r="K96" s="5" t="n"/>
      <c r="L96" s="5" t="n">
        <v>135</v>
      </c>
      <c r="M96" s="5" t="n">
        <v>4</v>
      </c>
      <c r="N96" s="5" t="n">
        <v>10</v>
      </c>
      <c r="O96" s="5" t="n">
        <v>17350</v>
      </c>
      <c r="P96" s="5" t="n">
        <v>1</v>
      </c>
      <c r="Q96">
        <f>L96+IF(M96&gt;1,N(N96)*(M96-1),0)</f>
        <v/>
      </c>
      <c r="R96">
        <f>IFERROR(K96*MAX(M96,1)/Q96*P96,0)</f>
        <v/>
      </c>
      <c r="AA96" s="6" t="inlineStr"/>
    </row>
    <row r="97">
      <c r="A97" t="inlineStr">
        <is>
          <t>redalert2mod</t>
        </is>
      </c>
      <c r="B97" t="inlineStr">
        <is>
          <t>schwarzermond_naxismobileconstructionvehicle</t>
        </is>
      </c>
      <c r="C97" t="inlineStr">
        <is>
          <t>Naxis Mobile Construction Vehicle</t>
        </is>
      </c>
      <c r="D97" t="inlineStr"/>
      <c r="E97" s="5" t="n">
        <v>300000</v>
      </c>
      <c r="F97" s="5" t="n">
        <v>75</v>
      </c>
      <c r="G97" t="inlineStr">
        <is>
          <t>Medium</t>
        </is>
      </c>
      <c r="H97" s="5" t="n">
        <v>1</v>
      </c>
      <c r="I97" s="5" t="n">
        <v>1</v>
      </c>
      <c r="J97" s="5" t="n">
        <v>1</v>
      </c>
      <c r="W97" s="5" t="n">
        <v>5000</v>
      </c>
    </row>
    <row r="98">
      <c r="A98" t="inlineStr">
        <is>
          <t>redalert2mod</t>
        </is>
      </c>
      <c r="B98" t="inlineStr">
        <is>
          <t>schwarzermond_neojagdpanzer</t>
        </is>
      </c>
      <c r="C98" t="inlineStr">
        <is>
          <t>Neo Jagdpanzer</t>
        </is>
      </c>
      <c r="D98" t="inlineStr"/>
      <c r="E98" s="5" t="n">
        <v>450000</v>
      </c>
      <c r="F98" s="5" t="n">
        <v>45</v>
      </c>
      <c r="G98" t="inlineStr">
        <is>
          <t>Superheavy</t>
        </is>
      </c>
      <c r="H98" s="5" t="n">
        <v>0.75</v>
      </c>
      <c r="I98" s="5" t="n">
        <v>1</v>
      </c>
      <c r="J98" s="5" t="n">
        <v>1</v>
      </c>
      <c r="O98">
        <f>MAX(O99,O100,O101,O102)</f>
        <v/>
      </c>
      <c r="R98">
        <f>R99+R100+R101+R102</f>
        <v/>
      </c>
      <c r="S98">
        <f>(E98/100000+F98/100+(O98/1000)*J98/5+R98/200)*200*I98*H98</f>
        <v/>
      </c>
      <c r="T98">
        <f>((E98*F98/25000)+((O98/1000)*J98*R98/2.5))*I98*H98</f>
        <v/>
      </c>
      <c r="U98">
        <f>(E98*F98*(O98/1000)*J98*R98*I98*H98)/12500000</f>
        <v/>
      </c>
      <c r="V98">
        <f>(S98+T98+U98)/3</f>
        <v/>
      </c>
      <c r="W98" s="5" t="n">
        <v>4500</v>
      </c>
      <c r="X98">
        <f>IFERROR(V98-W98,"")</f>
        <v/>
      </c>
      <c r="Y98">
        <f>IFERROR(ABS(X98)/MAX(W98,1),"")</f>
        <v/>
      </c>
      <c r="Z98">
        <f>IFERROR((W98-(((E98/100000+F98/100+R98/200)*200*I98*H98)+((E98*F98/25000)*I98*H98))/3)/(((J98/5)*200*I98*H98)+((J98*R98/2.5)*I98*H98)+((E98*F98*J98*R98*I98*H98)/12500000))/3*1000,"")</f>
        <v/>
      </c>
    </row>
    <row r="99">
      <c r="B99" s="6" t="inlineStr">
        <is>
          <t xml:space="preserve">  ↳ LunarNaxiJadgDestroyer</t>
        </is>
      </c>
      <c r="C99" s="6" t="inlineStr">
        <is>
          <t>Armament@AG</t>
        </is>
      </c>
      <c r="K99" s="5" t="n">
        <v>30000</v>
      </c>
      <c r="L99" s="5" t="n">
        <v>90</v>
      </c>
      <c r="M99" s="5" t="n">
        <v>1</v>
      </c>
      <c r="N99" s="5" t="n"/>
      <c r="O99" s="5" t="n">
        <v>7379</v>
      </c>
      <c r="P99" s="5" t="n">
        <v>1</v>
      </c>
      <c r="Q99">
        <f>L99+IF(M99&gt;1,N(N99)*(M99-1),0)</f>
        <v/>
      </c>
      <c r="R99">
        <f>IFERROR(K99*MAX(M99,1)/Q99*P99,0)</f>
        <v/>
      </c>
      <c r="AA99" s="6" t="inlineStr">
        <is>
          <t>^HeavyCannon, ^ShrapnelWeapon, ^RA2TankDestroyerCannon</t>
        </is>
      </c>
    </row>
    <row r="100">
      <c r="B100" s="6" t="inlineStr">
        <is>
          <t xml:space="preserve">  ↳ LunarNaxiJadgDestroyerE</t>
        </is>
      </c>
      <c r="C100" s="6" t="inlineStr">
        <is>
          <t>Armament@elite</t>
        </is>
      </c>
      <c r="K100" s="5" t="n">
        <v>30000</v>
      </c>
      <c r="L100" s="5" t="n">
        <v>90</v>
      </c>
      <c r="M100" s="5" t="n">
        <v>2</v>
      </c>
      <c r="N100" s="5" t="n">
        <v>3</v>
      </c>
      <c r="O100" s="5" t="n">
        <v>8379</v>
      </c>
      <c r="P100" s="5" t="n">
        <v>1</v>
      </c>
      <c r="Q100">
        <f>L100+IF(M100&gt;1,N(N100)*(M100-1),0)</f>
        <v/>
      </c>
      <c r="R100">
        <f>IFERROR(K100*MAX(M100,1)/Q100*P100,0)</f>
        <v/>
      </c>
      <c r="AA100" s="6" t="inlineStr">
        <is>
          <t>^HeavyCannon, ^ShrapnelWeapon, ^RA2TankDestroyerCannon, ^RA2EliteEffects</t>
        </is>
      </c>
    </row>
    <row r="101">
      <c r="B101" s="6" t="inlineStr">
        <is>
          <t xml:space="preserve">  ↳ Lunar_GreenJadgDestroyer</t>
        </is>
      </c>
      <c r="C101" s="6" t="inlineStr">
        <is>
          <t>Armament@AG-upgraded</t>
        </is>
      </c>
      <c r="K101" s="5" t="n">
        <v>30000</v>
      </c>
      <c r="L101" s="5" t="n">
        <v>90</v>
      </c>
      <c r="M101" s="5" t="n">
        <v>1</v>
      </c>
      <c r="N101" s="5" t="n"/>
      <c r="O101" s="5" t="n">
        <v>7379</v>
      </c>
      <c r="P101" s="5" t="n">
        <v>1</v>
      </c>
      <c r="Q101">
        <f>L101+IF(M101&gt;1,N(N101)*(M101-1),0)</f>
        <v/>
      </c>
      <c r="R101">
        <f>IFERROR(K101*MAX(M101,1)/Q101*P101,0)</f>
        <v/>
      </c>
      <c r="AA101" s="6" t="inlineStr">
        <is>
          <t>^TeslaWeapon, ^HeavyCannon, ^ShrapnelWeapon, ^RA2TankDestroyerCannon, ^LunarNaxisUpgradedCannons</t>
        </is>
      </c>
    </row>
    <row r="102">
      <c r="B102" s="6" t="inlineStr">
        <is>
          <t xml:space="preserve">  ↳ Lunar_GreenJadgDestroyerE</t>
        </is>
      </c>
      <c r="C102" s="6" t="inlineStr">
        <is>
          <t>Armament@elite-upgrade</t>
        </is>
      </c>
      <c r="K102" s="5" t="n">
        <v>30000</v>
      </c>
      <c r="L102" s="5" t="n">
        <v>90</v>
      </c>
      <c r="M102" s="5" t="n">
        <v>2</v>
      </c>
      <c r="N102" s="5" t="n">
        <v>3</v>
      </c>
      <c r="O102" s="5" t="n">
        <v>8379</v>
      </c>
      <c r="P102" s="5" t="n">
        <v>1</v>
      </c>
      <c r="Q102">
        <f>L102+IF(M102&gt;1,N(N102)*(M102-1),0)</f>
        <v/>
      </c>
      <c r="R102">
        <f>IFERROR(K102*MAX(M102,1)/Q102*P102,0)</f>
        <v/>
      </c>
      <c r="AA102" s="6" t="inlineStr">
        <is>
          <t>^TeslaWeapon, ^HeavyCannon, ^ShrapnelWeapon, ^RA2TankDestroyerCannon, ^RA2EliteEffects, ^LunarNaxisUpgradedCannons</t>
        </is>
      </c>
    </row>
    <row r="103">
      <c r="A103" s="3" t="inlineStr">
        <is>
          <t>AIRCRAFT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>
      <c r="A104" t="inlineStr">
        <is>
          <t>redalert2mod</t>
        </is>
      </c>
      <c r="B104" t="inlineStr">
        <is>
          <t>schwarzermond_blackbomb</t>
        </is>
      </c>
      <c r="C104" t="inlineStr">
        <is>
          <t>Black Bomb</t>
        </is>
      </c>
      <c r="D104" t="inlineStr"/>
      <c r="E104" s="5" t="n">
        <v>37500</v>
      </c>
      <c r="F104" s="5" t="n">
        <v>75</v>
      </c>
      <c r="G104" t="inlineStr">
        <is>
          <t>Fighter</t>
        </is>
      </c>
      <c r="H104" s="5" t="n">
        <v>1</v>
      </c>
      <c r="I104" s="5" t="n">
        <v>1</v>
      </c>
      <c r="J104" s="5" t="n">
        <v>1</v>
      </c>
      <c r="O104">
        <f>MAX(O105)</f>
        <v/>
      </c>
      <c r="R104">
        <f>R105</f>
        <v/>
      </c>
      <c r="S104">
        <f>(E104/100000+F104/100+(O104/1000)*J104/5+R104/200)*200*I104*H104</f>
        <v/>
      </c>
      <c r="T104">
        <f>((E104*F104/25000)+((O104/1000)*J104*R104/2.5))*I104*H104</f>
        <v/>
      </c>
      <c r="U104">
        <f>(E104*F104*(O104/1000)*J104*R104*I104*H104)/12500000</f>
        <v/>
      </c>
      <c r="V104">
        <f>(S104+T104+U104)/3</f>
        <v/>
      </c>
      <c r="W104" s="5" t="n">
        <v>3500</v>
      </c>
      <c r="X104">
        <f>IFERROR(V104-W104,"")</f>
        <v/>
      </c>
      <c r="Y104">
        <f>IFERROR(ABS(X104)/MAX(W104,1),"")</f>
        <v/>
      </c>
      <c r="Z104">
        <f>IFERROR((W104-(((E104/100000+F104/100+R104/200)*200*I104*H104)+((E104*F104/25000)*I104*H104))/3)/(((J104/5)*200*I104*H104)+((J104*R104/2.5)*I104*H104)+((E104*F104*J104*R104*I104*H104)/12500000))/3*1000,"")</f>
        <v/>
      </c>
    </row>
    <row r="105">
      <c r="B105" s="6" t="inlineStr">
        <is>
          <t xml:space="preserve">  ↳ DemoTruckTargeting</t>
        </is>
      </c>
      <c r="C105" s="6" t="inlineStr">
        <is>
          <t>Armament@PRIMARY</t>
        </is>
      </c>
      <c r="K105" s="5" t="n"/>
      <c r="L105" s="5" t="n"/>
      <c r="M105" s="5" t="n">
        <v>1</v>
      </c>
      <c r="N105" s="5" t="n"/>
      <c r="O105" s="5" t="n">
        <v>2000</v>
      </c>
      <c r="P105" s="5" t="n">
        <v>1</v>
      </c>
      <c r="Q105">
        <f>L105+IF(M105&gt;1,N(N105)*(M105-1),0)</f>
        <v/>
      </c>
      <c r="R105">
        <f>IFERROR(K105*MAX(M105,1)/Q105*P105,0)</f>
        <v/>
      </c>
      <c r="AA105" s="6" t="inlineStr"/>
    </row>
    <row r="106">
      <c r="A106" t="inlineStr">
        <is>
          <t>redalert2mod</t>
        </is>
      </c>
      <c r="B106" t="inlineStr">
        <is>
          <t>schwarzermond_corruptorpiercer</t>
        </is>
      </c>
      <c r="C106" t="inlineStr">
        <is>
          <t>Corruptor Piercer</t>
        </is>
      </c>
      <c r="D106" t="inlineStr"/>
      <c r="E106" s="5" t="n">
        <v>37500</v>
      </c>
      <c r="F106" s="5" t="n">
        <v>150</v>
      </c>
      <c r="G106" t="inlineStr">
        <is>
          <t>Fighter</t>
        </is>
      </c>
      <c r="H106" s="5" t="n">
        <v>1</v>
      </c>
      <c r="I106" s="5" t="n">
        <v>1</v>
      </c>
      <c r="J106" s="5" t="n">
        <v>1</v>
      </c>
      <c r="O106">
        <f>MAX(O107)</f>
        <v/>
      </c>
      <c r="R106">
        <f>R107</f>
        <v/>
      </c>
      <c r="S106">
        <f>(E106/100000+F106/100+(O106/1000)*J106/5+R106/200)*200*I106*H106</f>
        <v/>
      </c>
      <c r="T106">
        <f>((E106*F106/25000)+((O106/1000)*J106*R106/2.5))*I106*H106</f>
        <v/>
      </c>
      <c r="U106">
        <f>(E106*F106*(O106/1000)*J106*R106*I106*H106)/12500000</f>
        <v/>
      </c>
      <c r="V106">
        <f>(S106+T106+U106)/3</f>
        <v/>
      </c>
      <c r="W106" s="5" t="n">
        <v>2500</v>
      </c>
      <c r="X106">
        <f>IFERROR(V106-W106,"")</f>
        <v/>
      </c>
      <c r="Y106">
        <f>IFERROR(ABS(X106)/MAX(W106,1),"")</f>
        <v/>
      </c>
      <c r="Z106">
        <f>IFERROR((W106-(((E106/100000+F106/100+R106/200)*200*I106*H106)+((E106*F106/25000)*I106*H106))/3)/(((J106/5)*200*I106*H106)+((J106*R106/2.5)*I106*H106)+((E106*F106*J106*R106*I106*H106)/12500000))/3*1000,"")</f>
        <v/>
      </c>
    </row>
    <row r="107">
      <c r="B107" s="6" t="inlineStr">
        <is>
          <t xml:space="preserve">  ↳ NaxCorrosionRocket</t>
        </is>
      </c>
      <c r="C107" s="6" t="inlineStr">
        <is>
          <t>Armament</t>
        </is>
      </c>
      <c r="K107" s="5" t="n">
        <v>2000</v>
      </c>
      <c r="L107" s="5" t="n">
        <v>50</v>
      </c>
      <c r="M107" s="5" t="n">
        <v>2</v>
      </c>
      <c r="N107" s="5" t="n">
        <v>2</v>
      </c>
      <c r="O107" s="5" t="n">
        <v>8000</v>
      </c>
      <c r="P107" s="5" t="n">
        <v>1</v>
      </c>
      <c r="Q107">
        <f>L107+IF(M107&gt;1,N(N107)*(M107-1),0)</f>
        <v/>
      </c>
      <c r="R107">
        <f>IFERROR(K107*MAX(M107,1)/Q107*P107,0)</f>
        <v/>
      </c>
      <c r="AA107" s="6" t="inlineStr">
        <is>
          <t>^Grenade, ^HeavyMissile, ^RA2MediumMissile</t>
        </is>
      </c>
    </row>
    <row r="108">
      <c r="A108" t="inlineStr">
        <is>
          <t>redalert2mod</t>
        </is>
      </c>
      <c r="B108" t="inlineStr">
        <is>
          <t>schwarzermond_dieglocke</t>
        </is>
      </c>
      <c r="C108" t="inlineStr">
        <is>
          <t>Die Glocke</t>
        </is>
      </c>
      <c r="D108" t="inlineStr"/>
      <c r="E108" s="5" t="n">
        <v>3750000</v>
      </c>
      <c r="F108" s="5" t="n">
        <v>40</v>
      </c>
      <c r="G108" t="inlineStr">
        <is>
          <t>Spaceship</t>
        </is>
      </c>
      <c r="H108" s="5" t="n">
        <v>1</v>
      </c>
      <c r="I108" s="5" t="n">
        <v>1</v>
      </c>
      <c r="J108" s="5" t="n">
        <v>1</v>
      </c>
      <c r="O108">
        <f>MAX(O109)</f>
        <v/>
      </c>
      <c r="R108">
        <f>R109</f>
        <v/>
      </c>
      <c r="S108">
        <f>(E108/100000+F108/100+(O108/1000)*J108/5+R108/200)*200*I108*H108</f>
        <v/>
      </c>
      <c r="T108">
        <f>((E108*F108/25000)+((O108/1000)*J108*R108/2.5))*I108*H108</f>
        <v/>
      </c>
      <c r="U108">
        <f>(E108*F108*(O108/1000)*J108*R108*I108*H108)/12500000</f>
        <v/>
      </c>
      <c r="V108">
        <f>(S108+T108+U108)/3</f>
        <v/>
      </c>
      <c r="W108" s="5" t="n">
        <v>15000</v>
      </c>
      <c r="X108">
        <f>IFERROR(V108-W108,"")</f>
        <v/>
      </c>
      <c r="Y108">
        <f>IFERROR(ABS(X108)/MAX(W108,1),"")</f>
        <v/>
      </c>
      <c r="Z108">
        <f>IFERROR((W108-(((E108/100000+F108/100+R108/200)*200*I108*H108)+((E108*F108/25000)*I108*H108))/3)/(((J108/5)*200*I108*H108)+((J108*R108/2.5)*I108*H108)+((E108*F108*J108*R108*I108*H108)/12500000))/3*1000,"")</f>
        <v/>
      </c>
    </row>
    <row r="109">
      <c r="B109" s="6" t="inlineStr">
        <is>
          <t xml:space="preserve">  ↳ NaxDieGlocke</t>
        </is>
      </c>
      <c r="C109" s="6" t="inlineStr">
        <is>
          <t>Armament@PRIMARY</t>
        </is>
      </c>
      <c r="K109" s="5" t="n">
        <v>10000</v>
      </c>
      <c r="L109" s="5" t="n">
        <v>60</v>
      </c>
      <c r="M109" s="5" t="n">
        <v>1</v>
      </c>
      <c r="N109" s="5" t="n"/>
      <c r="O109" s="5" t="n">
        <v>2500</v>
      </c>
      <c r="P109" s="5" t="n">
        <v>1</v>
      </c>
      <c r="Q109">
        <f>L109+IF(M109&gt;1,N(N109)*(M109-1),0)</f>
        <v/>
      </c>
      <c r="R109">
        <f>IFERROR(K109*MAX(M109,1)/Q109*P109,0)</f>
        <v/>
      </c>
      <c r="AA109" s="6" t="inlineStr">
        <is>
          <t>^HeavyChemicalWeapon</t>
        </is>
      </c>
    </row>
    <row r="110">
      <c r="A110" t="inlineStr">
        <is>
          <t>redalert2mod</t>
        </is>
      </c>
      <c r="B110" t="inlineStr">
        <is>
          <t>schwarzermond_drone</t>
        </is>
      </c>
      <c r="C110" t="inlineStr">
        <is>
          <t>Drone</t>
        </is>
      </c>
      <c r="D110" t="inlineStr"/>
      <c r="E110" s="5" t="n">
        <v>7500</v>
      </c>
      <c r="F110" s="5" t="n">
        <v>150</v>
      </c>
      <c r="G110" t="inlineStr">
        <is>
          <t>Fighter</t>
        </is>
      </c>
      <c r="H110" s="5" t="n">
        <v>1</v>
      </c>
      <c r="I110" s="5" t="n">
        <v>1</v>
      </c>
      <c r="J110" s="5" t="n">
        <v>1</v>
      </c>
      <c r="O110">
        <f>MAX(O111,O112)</f>
        <v/>
      </c>
      <c r="R110">
        <f>R111+R112</f>
        <v/>
      </c>
      <c r="S110">
        <f>(E110/100000+F110/100+(O110/1000)*J110/5+R110/200)*200*I110*H110</f>
        <v/>
      </c>
      <c r="T110">
        <f>((E110*F110/25000)+((O110/1000)*J110*R110/2.5))*I110*H110</f>
        <v/>
      </c>
      <c r="U110">
        <f>(E110*F110*(O110/1000)*J110*R110*I110*H110)/12500000</f>
        <v/>
      </c>
      <c r="V110">
        <f>(S110+T110+U110)/3</f>
        <v/>
      </c>
      <c r="W110" s="5" t="n">
        <v>750</v>
      </c>
      <c r="X110">
        <f>IFERROR(V110-W110,"")</f>
        <v/>
      </c>
      <c r="Y110">
        <f>IFERROR(ABS(X110)/MAX(W110,1),"")</f>
        <v/>
      </c>
      <c r="Z110">
        <f>IFERROR((W110-(((E110/100000+F110/100+R110/200)*200*I110*H110)+((E110*F110/25000)*I110*H110))/3)/(((J110/5)*200*I110*H110)+((J110*R110/2.5)*I110*H110)+((E110*F110*J110*R110*I110*H110)/12500000))/3*1000,"")</f>
        <v/>
      </c>
    </row>
    <row r="111">
      <c r="B111" s="6" t="inlineStr">
        <is>
          <t xml:space="preserve">  ↳ LunarNaxiDroneLaser</t>
        </is>
      </c>
      <c r="C111" s="6" t="inlineStr">
        <is>
          <t>Armament@PRIMARY</t>
        </is>
      </c>
      <c r="K111" s="5" t="n">
        <v>2000</v>
      </c>
      <c r="L111" s="5" t="n">
        <v>100</v>
      </c>
      <c r="M111" s="5" t="n">
        <v>4</v>
      </c>
      <c r="N111" s="5" t="n">
        <v>3</v>
      </c>
      <c r="O111" s="5" t="n">
        <v>5760</v>
      </c>
      <c r="P111" s="5" t="n">
        <v>1</v>
      </c>
      <c r="Q111">
        <f>L111+IF(M111&gt;1,N(N111)*(M111-1),0)</f>
        <v/>
      </c>
      <c r="R111">
        <f>IFERROR(K111*MAX(M111,1)/Q111*P111,0)</f>
        <v/>
      </c>
      <c r="AA111" s="6" t="inlineStr">
        <is>
          <t>^SmallArms, ^Chaingun, ^MediumMissile, ^LaserWeapon</t>
        </is>
      </c>
    </row>
    <row r="112">
      <c r="B112" s="6" t="inlineStr">
        <is>
          <t xml:space="preserve">  ↳ LunarNaxiDroneMissile</t>
        </is>
      </c>
      <c r="C112" s="6" t="inlineStr">
        <is>
          <t>Armament@Rockets</t>
        </is>
      </c>
      <c r="K112" s="5" t="n">
        <v>2000</v>
      </c>
      <c r="L112" s="5" t="n">
        <v>100</v>
      </c>
      <c r="M112" s="5" t="n">
        <v>2</v>
      </c>
      <c r="N112" s="5" t="n">
        <v>9</v>
      </c>
      <c r="O112" s="5" t="n">
        <v>5760</v>
      </c>
      <c r="P112" s="5" t="n">
        <v>1</v>
      </c>
      <c r="Q112">
        <f>L112+IF(M112&gt;1,N(N112)*(M112-1),0)</f>
        <v/>
      </c>
      <c r="R112">
        <f>IFERROR(K112*MAX(M112,1)/Q112*P112,0)</f>
        <v/>
      </c>
      <c r="AA112" s="6" t="inlineStr">
        <is>
          <t>^HeavyMissile, ^HeavyAAWeapon, ^MediumMissile, ^FlakWeapon, ^ArrowWeapon, ^RA2LightMissile</t>
        </is>
      </c>
    </row>
    <row r="113">
      <c r="A113" t="inlineStr">
        <is>
          <t>redalert2mod</t>
        </is>
      </c>
      <c r="B113" t="inlineStr">
        <is>
          <t>schwarzermond_haunebuii</t>
        </is>
      </c>
      <c r="C113" t="inlineStr">
        <is>
          <t>Haunebu II</t>
        </is>
      </c>
      <c r="D113" t="inlineStr"/>
      <c r="E113" s="5" t="n">
        <v>250000</v>
      </c>
      <c r="F113" s="5" t="n">
        <v>66</v>
      </c>
      <c r="G113" t="inlineStr">
        <is>
          <t>Spaceship</t>
        </is>
      </c>
      <c r="H113" s="5" t="n">
        <v>1</v>
      </c>
      <c r="I113" s="5" t="n">
        <v>0.75</v>
      </c>
      <c r="J113" s="5" t="n">
        <v>1</v>
      </c>
      <c r="O113">
        <f>MAX(O114,O115)</f>
        <v/>
      </c>
      <c r="R113">
        <f>R114+R115</f>
        <v/>
      </c>
      <c r="S113">
        <f>(E113/100000+F113/100+(O113/1000)*J113/5+R113/200)*200*I113*H113</f>
        <v/>
      </c>
      <c r="T113">
        <f>((E113*F113/25000)+((O113/1000)*J113*R113/2.5))*I113*H113</f>
        <v/>
      </c>
      <c r="U113">
        <f>(E113*F113*(O113/1000)*J113*R113*I113*H113)/12500000</f>
        <v/>
      </c>
      <c r="V113">
        <f>(S113+T113+U113)/3</f>
        <v/>
      </c>
      <c r="W113" s="5" t="n">
        <v>3200</v>
      </c>
      <c r="X113">
        <f>IFERROR(V113-W113,"")</f>
        <v/>
      </c>
      <c r="Y113">
        <f>IFERROR(ABS(X113)/MAX(W113,1),"")</f>
        <v/>
      </c>
      <c r="Z113">
        <f>IFERROR((W113-(((E113/100000+F113/100+R113/200)*200*I113*H113)+((E113*F113/25000)*I113*H113))/3)/(((J113/5)*200*I113*H113)+((J113*R113/2.5)*I113*H113)+((E113*F113*J113*R113*I113*H113)/12500000))/3*1000,"")</f>
        <v/>
      </c>
    </row>
    <row r="114">
      <c r="B114" s="6" t="inlineStr">
        <is>
          <t xml:space="preserve">  ↳ NaxHaenebuQuadCannon</t>
        </is>
      </c>
      <c r="C114" s="6" t="inlineStr">
        <is>
          <t>Armament@PRIMARY</t>
        </is>
      </c>
      <c r="K114" s="5" t="n">
        <v>2000</v>
      </c>
      <c r="L114" s="5" t="n">
        <v>66</v>
      </c>
      <c r="M114" s="5" t="n">
        <v>6</v>
      </c>
      <c r="N114" s="5" t="n">
        <v>0</v>
      </c>
      <c r="O114" s="5" t="n">
        <v>6666</v>
      </c>
      <c r="P114" s="5" t="n">
        <v>1</v>
      </c>
      <c r="Q114">
        <f>L114+IF(M114&gt;1,N(N114)*(M114-1),0)</f>
        <v/>
      </c>
      <c r="R114">
        <f>IFERROR(K114*MAX(M114,1)/Q114*P114,0)</f>
        <v/>
      </c>
      <c r="AA114" s="6" t="inlineStr">
        <is>
          <t>^Grenade, ^HeavyMissile, ^RA2FlakWeapon</t>
        </is>
      </c>
    </row>
    <row r="115">
      <c r="B115" s="6" t="inlineStr">
        <is>
          <t xml:space="preserve">  ↳ NaxHaenebuQuadCannonE</t>
        </is>
      </c>
      <c r="C115" s="6" t="inlineStr">
        <is>
          <t>Armament@ELITE</t>
        </is>
      </c>
      <c r="K115" s="5" t="n">
        <v>2000</v>
      </c>
      <c r="L115" s="5" t="n">
        <v>66</v>
      </c>
      <c r="M115" s="5" t="n">
        <v>7</v>
      </c>
      <c r="N115" s="5" t="n">
        <v>0</v>
      </c>
      <c r="O115" s="5" t="n">
        <v>7777</v>
      </c>
      <c r="P115" s="5" t="n">
        <v>1</v>
      </c>
      <c r="Q115">
        <f>L115+IF(M115&gt;1,N(N115)*(M115-1),0)</f>
        <v/>
      </c>
      <c r="R115">
        <f>IFERROR(K115*MAX(M115,1)/Q115*P115,0)</f>
        <v/>
      </c>
      <c r="AA115" s="6" t="inlineStr">
        <is>
          <t>^Grenade, ^HeavyMissile, ^RA2FlakWeapon</t>
        </is>
      </c>
    </row>
    <row r="116">
      <c r="A116" t="inlineStr">
        <is>
          <t>redalert2mod</t>
        </is>
      </c>
      <c r="B116" t="inlineStr">
        <is>
          <t>schwarzermond_haunebuiii</t>
        </is>
      </c>
      <c r="C116" t="inlineStr">
        <is>
          <t>Haunebu III</t>
        </is>
      </c>
      <c r="D116" t="inlineStr"/>
      <c r="E116" s="5" t="n">
        <v>375000</v>
      </c>
      <c r="F116" s="5" t="n">
        <v>55</v>
      </c>
      <c r="G116" t="inlineStr">
        <is>
          <t>Spaceship</t>
        </is>
      </c>
      <c r="H116" s="5" t="n">
        <v>1</v>
      </c>
      <c r="I116" s="5" t="n">
        <v>1</v>
      </c>
      <c r="J116" s="5" t="n">
        <v>1</v>
      </c>
      <c r="O116">
        <f>MAX(O117,O118,O119)</f>
        <v/>
      </c>
      <c r="R116">
        <f>R117+R118+R119</f>
        <v/>
      </c>
      <c r="S116">
        <f>(E116/100000+F116/100+(O116/1000)*J116/5+R116/200)*200*I116*H116</f>
        <v/>
      </c>
      <c r="T116">
        <f>((E116*F116/25000)+((O116/1000)*J116*R116/2.5))*I116*H116</f>
        <v/>
      </c>
      <c r="U116">
        <f>(E116*F116*(O116/1000)*J116*R116*I116*H116)/12500000</f>
        <v/>
      </c>
      <c r="V116">
        <f>(S116+T116+U116)/3</f>
        <v/>
      </c>
      <c r="W116" s="5" t="n">
        <v>4000</v>
      </c>
      <c r="X116">
        <f>IFERROR(V116-W116,"")</f>
        <v/>
      </c>
      <c r="Y116">
        <f>IFERROR(ABS(X116)/MAX(W116,1),"")</f>
        <v/>
      </c>
      <c r="Z116">
        <f>IFERROR((W116-(((E116/100000+F116/100+R116/200)*200*I116*H116)+((E116*F116/25000)*I116*H116))/3)/(((J116/5)*200*I116*H116)+((J116*R116/2.5)*I116*H116)+((E116*F116*J116*R116*I116*H116)/12500000))/3*1000,"")</f>
        <v/>
      </c>
    </row>
    <row r="117">
      <c r="B117" s="6" t="inlineStr">
        <is>
          <t xml:space="preserve">  ↳ NaxHaenebuQuadCannon</t>
        </is>
      </c>
      <c r="C117" s="6" t="inlineStr">
        <is>
          <t>Armament@PRIMARY</t>
        </is>
      </c>
      <c r="K117" s="5" t="n">
        <v>2000</v>
      </c>
      <c r="L117" s="5" t="n">
        <v>66</v>
      </c>
      <c r="M117" s="5" t="n">
        <v>6</v>
      </c>
      <c r="N117" s="5" t="n">
        <v>0</v>
      </c>
      <c r="O117" s="5" t="n">
        <v>6666</v>
      </c>
      <c r="P117" s="5" t="n">
        <v>1</v>
      </c>
      <c r="Q117">
        <f>L117+IF(M117&gt;1,N(N117)*(M117-1),0)</f>
        <v/>
      </c>
      <c r="R117">
        <f>IFERROR(K117*MAX(M117,1)/Q117*P117,0)</f>
        <v/>
      </c>
      <c r="AA117" s="6" t="inlineStr">
        <is>
          <t>^Grenade, ^HeavyMissile, ^RA2FlakWeapon</t>
        </is>
      </c>
    </row>
    <row r="118">
      <c r="B118" s="6" t="inlineStr">
        <is>
          <t xml:space="preserve">  ↳ NaxHaenebuQuadCannonE</t>
        </is>
      </c>
      <c r="C118" s="6" t="inlineStr">
        <is>
          <t>Armament@ELITE</t>
        </is>
      </c>
      <c r="K118" s="5" t="n">
        <v>2000</v>
      </c>
      <c r="L118" s="5" t="n">
        <v>66</v>
      </c>
      <c r="M118" s="5" t="n">
        <v>7</v>
      </c>
      <c r="N118" s="5" t="n">
        <v>0</v>
      </c>
      <c r="O118" s="5" t="n">
        <v>7777</v>
      </c>
      <c r="P118" s="5" t="n">
        <v>1</v>
      </c>
      <c r="Q118">
        <f>L118+IF(M118&gt;1,N(N118)*(M118-1),0)</f>
        <v/>
      </c>
      <c r="R118">
        <f>IFERROR(K118*MAX(M118,1)/Q118*P118,0)</f>
        <v/>
      </c>
      <c r="AA118" s="6" t="inlineStr">
        <is>
          <t>^Grenade, ^HeavyMissile, ^RA2FlakWeapon</t>
        </is>
      </c>
    </row>
    <row r="119">
      <c r="B119" s="6" t="inlineStr">
        <is>
          <t xml:space="preserve">  ↳ NaxiCowDrop</t>
        </is>
      </c>
      <c r="C119" s="6" t="inlineStr">
        <is>
          <t>Armament@SECOND</t>
        </is>
      </c>
      <c r="K119" s="5" t="n">
        <v>10000</v>
      </c>
      <c r="L119" s="5" t="n">
        <v>50</v>
      </c>
      <c r="M119" s="5" t="n">
        <v>1</v>
      </c>
      <c r="N119" s="5" t="n"/>
      <c r="O119" s="5" t="n">
        <v>2000</v>
      </c>
      <c r="P119" s="5" t="n">
        <v>1</v>
      </c>
      <c r="Q119">
        <f>L119+IF(M119&gt;1,N(N119)*(M119-1),0)</f>
        <v/>
      </c>
      <c r="R119">
        <f>IFERROR(K119*MAX(M119,1)/Q119*P119,0)</f>
        <v/>
      </c>
      <c r="AA119" s="6" t="inlineStr">
        <is>
          <t>^HeavyBomb</t>
        </is>
      </c>
    </row>
    <row r="120">
      <c r="A120" t="inlineStr">
        <is>
          <t>redalert2mod</t>
        </is>
      </c>
      <c r="B120" t="inlineStr">
        <is>
          <t>schwarzermond_spacezeppelin</t>
        </is>
      </c>
      <c r="C120" t="inlineStr">
        <is>
          <t>Space Zeppelin</t>
        </is>
      </c>
      <c r="D120" t="inlineStr"/>
      <c r="E120" s="5" t="n">
        <v>1350000</v>
      </c>
      <c r="F120" s="5" t="n">
        <v>35</v>
      </c>
      <c r="G120" t="inlineStr">
        <is>
          <t>Helicopter</t>
        </is>
      </c>
      <c r="H120" s="5" t="n">
        <v>1</v>
      </c>
      <c r="I120" s="5" t="n">
        <v>1</v>
      </c>
      <c r="J120" s="5" t="n">
        <v>1</v>
      </c>
      <c r="O120">
        <f>MAX(O121,O122,O123,O124,O125,O126,O127,O128,O129,O130,O131,O132)</f>
        <v/>
      </c>
      <c r="R120">
        <f>R121+R122+R123+R124+R125+R126+R127+R128+R129+R130+R131+R132</f>
        <v/>
      </c>
      <c r="S120">
        <f>(E120/100000+F120/100+(O120/1000)*J120/5+R120/200)*200*I120*H120</f>
        <v/>
      </c>
      <c r="T120">
        <f>((E120*F120/25000)+((O120/1000)*J120*R120/2.5))*I120*H120</f>
        <v/>
      </c>
      <c r="U120">
        <f>(E120*F120*(O120/1000)*J120*R120*I120*H120)/12500000</f>
        <v/>
      </c>
      <c r="V120">
        <f>(S120+T120+U120)/3</f>
        <v/>
      </c>
      <c r="W120" s="5" t="n">
        <v>6000</v>
      </c>
      <c r="X120">
        <f>IFERROR(V120-W120,"")</f>
        <v/>
      </c>
      <c r="Y120">
        <f>IFERROR(ABS(X120)/MAX(W120,1),"")</f>
        <v/>
      </c>
      <c r="Z120">
        <f>IFERROR((W120-(((E120/100000+F120/100+R120/200)*200*I120*H120)+((E120*F120/25000)*I120*H120))/3)/(((J120/5)*200*I120*H120)+((J120*R120/2.5)*I120*H120)+((E120*F120*J120*R120*I120*H120)/12500000))/3*1000,"")</f>
        <v/>
      </c>
    </row>
    <row r="121">
      <c r="B121" s="6" t="inlineStr">
        <is>
          <t xml:space="preserve">  ↳ NaxiBeetleLaserE</t>
        </is>
      </c>
      <c r="C121" s="6" t="inlineStr">
        <is>
          <t>Armament</t>
        </is>
      </c>
      <c r="K121" s="5" t="n">
        <v>2000</v>
      </c>
      <c r="L121" s="5" t="n">
        <v>60</v>
      </c>
      <c r="M121" s="5" t="n">
        <v>2</v>
      </c>
      <c r="N121" s="5" t="n">
        <v>4</v>
      </c>
      <c r="O121" s="5" t="n">
        <v>6448</v>
      </c>
      <c r="P121" s="5" t="n">
        <v>1</v>
      </c>
      <c r="Q121">
        <f>L121+IF(M121&gt;1,N(N121)*(M121-1),0)</f>
        <v/>
      </c>
      <c r="R121">
        <f>IFERROR(K121*MAX(M121,1)/Q121*P121,0)</f>
        <v/>
      </c>
      <c r="AA121" s="6" t="inlineStr">
        <is>
          <t>^SmallArms, ^Chaingun, ^MediumMissile, ^LaserWeapon</t>
        </is>
      </c>
    </row>
    <row r="122">
      <c r="B122" s="6" t="inlineStr">
        <is>
          <t xml:space="preserve">  ↳ NaxiBeetleLaserE</t>
        </is>
      </c>
      <c r="C122" s="6" t="inlineStr">
        <is>
          <t>Armament@elite</t>
        </is>
      </c>
      <c r="K122" s="5" t="n">
        <v>2000</v>
      </c>
      <c r="L122" s="5" t="n">
        <v>60</v>
      </c>
      <c r="M122" s="5" t="n">
        <v>2</v>
      </c>
      <c r="N122" s="5" t="n">
        <v>4</v>
      </c>
      <c r="O122" s="5" t="n">
        <v>6448</v>
      </c>
      <c r="P122" s="5" t="n">
        <v>1</v>
      </c>
      <c r="Q122">
        <f>L122+IF(M122&gt;1,N(N122)*(M122-1),0)</f>
        <v/>
      </c>
      <c r="R122">
        <f>IFERROR(K122*MAX(M122,1)/Q122*P122,0)</f>
        <v/>
      </c>
      <c r="AA122" s="6" t="inlineStr">
        <is>
          <t>^SmallArms, ^Chaingun, ^MediumMissile, ^LaserWeapon</t>
        </is>
      </c>
    </row>
    <row r="123">
      <c r="B123" s="6" t="inlineStr">
        <is>
          <t xml:space="preserve">  ↳ NaxiBeetleLaserAAE</t>
        </is>
      </c>
      <c r="C123" s="6" t="inlineStr">
        <is>
          <t>Armament@AA</t>
        </is>
      </c>
      <c r="K123" s="5" t="n">
        <v>2000</v>
      </c>
      <c r="L123" s="5" t="n">
        <v>60</v>
      </c>
      <c r="M123" s="5" t="n">
        <v>2</v>
      </c>
      <c r="N123" s="5" t="n">
        <v>4</v>
      </c>
      <c r="O123" s="5" t="n">
        <v>9672</v>
      </c>
      <c r="P123" s="5" t="n">
        <v>1</v>
      </c>
      <c r="Q123">
        <f>L123+IF(M123&gt;1,N(N123)*(M123-1),0)</f>
        <v/>
      </c>
      <c r="R123">
        <f>IFERROR(K123*MAX(M123,1)/Q123*P123,0)</f>
        <v/>
      </c>
      <c r="AA123" s="6" t="inlineStr">
        <is>
          <t>^SmallArms, ^Chaingun, ^MediumMissile, ^LaserWeapon</t>
        </is>
      </c>
    </row>
    <row r="124">
      <c r="B124" s="6" t="inlineStr">
        <is>
          <t xml:space="preserve">  ↳ NaxiBeetleLaserAAE</t>
        </is>
      </c>
      <c r="C124" s="6" t="inlineStr">
        <is>
          <t>Armament@eliteAA</t>
        </is>
      </c>
      <c r="K124" s="5" t="n">
        <v>2000</v>
      </c>
      <c r="L124" s="5" t="n">
        <v>60</v>
      </c>
      <c r="M124" s="5" t="n">
        <v>2</v>
      </c>
      <c r="N124" s="5" t="n">
        <v>4</v>
      </c>
      <c r="O124" s="5" t="n">
        <v>9672</v>
      </c>
      <c r="P124" s="5" t="n">
        <v>1</v>
      </c>
      <c r="Q124">
        <f>L124+IF(M124&gt;1,N(N124)*(M124-1),0)</f>
        <v/>
      </c>
      <c r="R124">
        <f>IFERROR(K124*MAX(M124,1)/Q124*P124,0)</f>
        <v/>
      </c>
      <c r="AA124" s="6" t="inlineStr">
        <is>
          <t>^SmallArms, ^Chaingun, ^MediumMissile, ^LaserWeapon</t>
        </is>
      </c>
    </row>
    <row r="125">
      <c r="B125" s="6" t="inlineStr">
        <is>
          <t xml:space="preserve">  ↳ Lunar_YellowBeetleLaser</t>
        </is>
      </c>
      <c r="C125" s="6" t="inlineStr">
        <is>
          <t>Armament@UP</t>
        </is>
      </c>
      <c r="K125" s="5" t="n">
        <v>2000</v>
      </c>
      <c r="L125" s="5" t="n">
        <v>60</v>
      </c>
      <c r="M125" s="5" t="n">
        <v>3</v>
      </c>
      <c r="N125" s="5" t="n">
        <v>4</v>
      </c>
      <c r="O125" s="5" t="n">
        <v>6448</v>
      </c>
      <c r="P125" s="5" t="n">
        <v>1</v>
      </c>
      <c r="Q125">
        <f>L125+IF(M125&gt;1,N(N125)*(M125-1),0)</f>
        <v/>
      </c>
      <c r="R125">
        <f>IFERROR(K125*MAX(M125,1)/Q125*P125,0)</f>
        <v/>
      </c>
      <c r="AA125" s="6" t="inlineStr">
        <is>
          <t>^SmallArms, ^Chaingun, ^MediumMissile, ^LaserWeapon</t>
        </is>
      </c>
    </row>
    <row r="126">
      <c r="B126" s="6" t="inlineStr">
        <is>
          <t xml:space="preserve">  ↳ Lunar_YellowBeetleLaser</t>
        </is>
      </c>
      <c r="C126" s="6" t="inlineStr">
        <is>
          <t>Armament@eliteUP</t>
        </is>
      </c>
      <c r="K126" s="5" t="n">
        <v>2000</v>
      </c>
      <c r="L126" s="5" t="n">
        <v>60</v>
      </c>
      <c r="M126" s="5" t="n">
        <v>3</v>
      </c>
      <c r="N126" s="5" t="n">
        <v>4</v>
      </c>
      <c r="O126" s="5" t="n">
        <v>6448</v>
      </c>
      <c r="P126" s="5" t="n">
        <v>1</v>
      </c>
      <c r="Q126">
        <f>L126+IF(M126&gt;1,N(N126)*(M126-1),0)</f>
        <v/>
      </c>
      <c r="R126">
        <f>IFERROR(K126*MAX(M126,1)/Q126*P126,0)</f>
        <v/>
      </c>
      <c r="AA126" s="6" t="inlineStr">
        <is>
          <t>^SmallArms, ^Chaingun, ^MediumMissile, ^LaserWeapon</t>
        </is>
      </c>
    </row>
    <row r="127">
      <c r="B127" s="6" t="inlineStr">
        <is>
          <t xml:space="preserve">  ↳ Lunar_YellowBeetleLaserAA</t>
        </is>
      </c>
      <c r="C127" s="6" t="inlineStr">
        <is>
          <t>Armament@AA_UP</t>
        </is>
      </c>
      <c r="K127" s="5" t="n">
        <v>2000</v>
      </c>
      <c r="L127" s="5" t="n">
        <v>60</v>
      </c>
      <c r="M127" s="5" t="n">
        <v>3</v>
      </c>
      <c r="N127" s="5" t="n">
        <v>4</v>
      </c>
      <c r="O127" s="5" t="n">
        <v>9672</v>
      </c>
      <c r="P127" s="5" t="n">
        <v>1</v>
      </c>
      <c r="Q127">
        <f>L127+IF(M127&gt;1,N(N127)*(M127-1),0)</f>
        <v/>
      </c>
      <c r="R127">
        <f>IFERROR(K127*MAX(M127,1)/Q127*P127,0)</f>
        <v/>
      </c>
      <c r="AA127" s="6" t="inlineStr">
        <is>
          <t>^SmallArms, ^Chaingun, ^MediumMissile, ^LaserWeapon</t>
        </is>
      </c>
    </row>
    <row r="128">
      <c r="B128" s="6" t="inlineStr">
        <is>
          <t xml:space="preserve">  ↳ Lunar_YellowBeetleLaserAA</t>
        </is>
      </c>
      <c r="C128" s="6" t="inlineStr">
        <is>
          <t>Armament@eliteAA_UP</t>
        </is>
      </c>
      <c r="K128" s="5" t="n">
        <v>2000</v>
      </c>
      <c r="L128" s="5" t="n">
        <v>60</v>
      </c>
      <c r="M128" s="5" t="n">
        <v>3</v>
      </c>
      <c r="N128" s="5" t="n">
        <v>4</v>
      </c>
      <c r="O128" s="5" t="n">
        <v>9672</v>
      </c>
      <c r="P128" s="5" t="n">
        <v>1</v>
      </c>
      <c r="Q128">
        <f>L128+IF(M128&gt;1,N(N128)*(M128-1),0)</f>
        <v/>
      </c>
      <c r="R128">
        <f>IFERROR(K128*MAX(M128,1)/Q128*P128,0)</f>
        <v/>
      </c>
      <c r="AA128" s="6" t="inlineStr">
        <is>
          <t>^SmallArms, ^Chaingun, ^MediumMissile, ^LaserWeapon</t>
        </is>
      </c>
    </row>
    <row r="129">
      <c r="B129" s="6" t="inlineStr">
        <is>
          <t xml:space="preserve">  ↳ Lunar_AmplifiedBeetleLaser</t>
        </is>
      </c>
      <c r="C129" s="6" t="inlineStr">
        <is>
          <t>Armament@AMP</t>
        </is>
      </c>
      <c r="K129" s="5" t="n">
        <v>2000</v>
      </c>
      <c r="L129" s="5" t="n">
        <v>60</v>
      </c>
      <c r="M129" s="5" t="n">
        <v>4</v>
      </c>
      <c r="N129" s="5" t="n">
        <v>4</v>
      </c>
      <c r="O129" s="5" t="n">
        <v>6448</v>
      </c>
      <c r="P129" s="5" t="n">
        <v>1</v>
      </c>
      <c r="Q129">
        <f>L129+IF(M129&gt;1,N(N129)*(M129-1),0)</f>
        <v/>
      </c>
      <c r="R129">
        <f>IFERROR(K129*MAX(M129,1)/Q129*P129,0)</f>
        <v/>
      </c>
      <c r="AA129" s="6" t="inlineStr">
        <is>
          <t>^SmallArms, ^Chaingun, ^MediumMissile, ^LaserWeapon</t>
        </is>
      </c>
    </row>
    <row r="130">
      <c r="B130" s="6" t="inlineStr">
        <is>
          <t xml:space="preserve">  ↳ Lunar_AmplifiedBeetleLaser</t>
        </is>
      </c>
      <c r="C130" s="6" t="inlineStr">
        <is>
          <t>Armament@eliteAMP</t>
        </is>
      </c>
      <c r="K130" s="5" t="n">
        <v>2000</v>
      </c>
      <c r="L130" s="5" t="n">
        <v>60</v>
      </c>
      <c r="M130" s="5" t="n">
        <v>4</v>
      </c>
      <c r="N130" s="5" t="n">
        <v>4</v>
      </c>
      <c r="O130" s="5" t="n">
        <v>6448</v>
      </c>
      <c r="P130" s="5" t="n">
        <v>1</v>
      </c>
      <c r="Q130">
        <f>L130+IF(M130&gt;1,N(N130)*(M130-1),0)</f>
        <v/>
      </c>
      <c r="R130">
        <f>IFERROR(K130*MAX(M130,1)/Q130*P130,0)</f>
        <v/>
      </c>
      <c r="AA130" s="6" t="inlineStr">
        <is>
          <t>^SmallArms, ^Chaingun, ^MediumMissile, ^LaserWeapon</t>
        </is>
      </c>
    </row>
    <row r="131">
      <c r="B131" s="6" t="inlineStr">
        <is>
          <t xml:space="preserve">  ↳ Lunar_AmplifiedBeetleLaserAA</t>
        </is>
      </c>
      <c r="C131" s="6" t="inlineStr">
        <is>
          <t>Armament@AA_AMP</t>
        </is>
      </c>
      <c r="K131" s="5" t="n">
        <v>2000</v>
      </c>
      <c r="L131" s="5" t="n">
        <v>60</v>
      </c>
      <c r="M131" s="5" t="n">
        <v>4</v>
      </c>
      <c r="N131" s="5" t="n">
        <v>4</v>
      </c>
      <c r="O131" s="5" t="n">
        <v>9672</v>
      </c>
      <c r="P131" s="5" t="n">
        <v>1</v>
      </c>
      <c r="Q131">
        <f>L131+IF(M131&gt;1,N(N131)*(M131-1),0)</f>
        <v/>
      </c>
      <c r="R131">
        <f>IFERROR(K131*MAX(M131,1)/Q131*P131,0)</f>
        <v/>
      </c>
      <c r="AA131" s="6" t="inlineStr">
        <is>
          <t>^SmallArms, ^Chaingun, ^MediumMissile, ^LaserWeapon</t>
        </is>
      </c>
    </row>
    <row r="132">
      <c r="B132" s="6" t="inlineStr">
        <is>
          <t xml:space="preserve">  ↳ Lunar_AmplifiedBeetleLaserAA</t>
        </is>
      </c>
      <c r="C132" s="6" t="inlineStr">
        <is>
          <t>Armament@eliteAA_AMP</t>
        </is>
      </c>
      <c r="K132" s="5" t="n">
        <v>2000</v>
      </c>
      <c r="L132" s="5" t="n">
        <v>60</v>
      </c>
      <c r="M132" s="5" t="n">
        <v>4</v>
      </c>
      <c r="N132" s="5" t="n">
        <v>4</v>
      </c>
      <c r="O132" s="5" t="n">
        <v>9672</v>
      </c>
      <c r="P132" s="5" t="n">
        <v>1</v>
      </c>
      <c r="Q132">
        <f>L132+IF(M132&gt;1,N(N132)*(M132-1),0)</f>
        <v/>
      </c>
      <c r="R132">
        <f>IFERROR(K132*MAX(M132,1)/Q132*P132,0)</f>
        <v/>
      </c>
      <c r="AA132" s="6" t="inlineStr">
        <is>
          <t>^SmallArms, ^Chaingun, ^MediumMissile, ^LaserWeapon</t>
        </is>
      </c>
    </row>
    <row r="133">
      <c r="A133" s="3" t="inlineStr">
        <is>
          <t>BUILDINGS</t>
        </is>
      </c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>
      <c r="A134" t="inlineStr">
        <is>
          <t>redalert2mod</t>
        </is>
      </c>
      <c r="B134" t="inlineStr">
        <is>
          <t>schwarzermond_airfield</t>
        </is>
      </c>
      <c r="C134" t="inlineStr">
        <is>
          <t>Schwarzer Mond Airfield</t>
        </is>
      </c>
      <c r="D134" t="inlineStr"/>
      <c r="E134" s="5" t="n">
        <v>600000</v>
      </c>
      <c r="F134" s="5" t="n"/>
      <c r="G134" t="inlineStr">
        <is>
          <t>Concrete</t>
        </is>
      </c>
      <c r="H134" s="5" t="n">
        <v>1</v>
      </c>
      <c r="I134" s="5" t="n">
        <v>1</v>
      </c>
      <c r="J134" s="5" t="n">
        <v>1</v>
      </c>
      <c r="W134" s="5" t="n">
        <v>3000</v>
      </c>
    </row>
    <row r="135">
      <c r="B135" s="6" t="inlineStr">
        <is>
          <t xml:space="preserve">  ↳ NaxDefensivePlaneTarget</t>
        </is>
      </c>
      <c r="C135" s="6" t="inlineStr">
        <is>
          <t>Armament@PRIMARY</t>
        </is>
      </c>
      <c r="K135" s="5" t="n"/>
      <c r="L135" s="5" t="n">
        <v>30</v>
      </c>
      <c r="M135" s="5" t="n">
        <v>1</v>
      </c>
      <c r="N135" s="5" t="n"/>
      <c r="O135" s="5" t="n">
        <v>30000</v>
      </c>
      <c r="P135" s="5" t="n">
        <v>1</v>
      </c>
      <c r="Q135">
        <f>L135+IF(M135&gt;1,N(N135)*(M135-1),0)</f>
        <v/>
      </c>
      <c r="R135">
        <f>IFERROR(K135*MAX(M135,1)/Q135*P135,0)</f>
        <v/>
      </c>
      <c r="AA135" s="6" t="inlineStr"/>
    </row>
    <row r="136">
      <c r="A136" t="inlineStr">
        <is>
          <t>redalert2mod</t>
        </is>
      </c>
      <c r="B136" t="inlineStr">
        <is>
          <t>schwarzermond_barracks</t>
        </is>
      </c>
      <c r="C136" t="inlineStr">
        <is>
          <t>Schwarzer Mond Barracks</t>
        </is>
      </c>
      <c r="D136" t="inlineStr"/>
      <c r="E136" s="5" t="n">
        <v>200000</v>
      </c>
      <c r="F136" s="5" t="n"/>
      <c r="G136" t="inlineStr">
        <is>
          <t>Wood</t>
        </is>
      </c>
      <c r="H136" s="5" t="n">
        <v>1</v>
      </c>
      <c r="I136" s="5" t="n">
        <v>1</v>
      </c>
      <c r="J136" s="5" t="n">
        <v>1</v>
      </c>
      <c r="W136" s="5" t="n">
        <v>1000</v>
      </c>
    </row>
    <row r="137">
      <c r="A137" t="inlineStr">
        <is>
          <t>redalert2mod</t>
        </is>
      </c>
      <c r="B137" t="inlineStr">
        <is>
          <t>schwarzermond_constructionyard</t>
        </is>
      </c>
      <c r="C137" t="inlineStr">
        <is>
          <t>Schwarzer Mond Construction Yard</t>
        </is>
      </c>
      <c r="D137" t="inlineStr"/>
      <c r="E137" s="5" t="n">
        <v>1000000</v>
      </c>
      <c r="F137" s="5" t="n"/>
      <c r="G137" t="inlineStr">
        <is>
          <t>Concrete</t>
        </is>
      </c>
      <c r="H137" s="5" t="n">
        <v>1</v>
      </c>
      <c r="I137" s="5" t="n">
        <v>1</v>
      </c>
      <c r="J137" s="5" t="n">
        <v>1</v>
      </c>
      <c r="W137" s="5" t="n">
        <v>5000</v>
      </c>
    </row>
    <row r="138">
      <c r="A138" t="inlineStr">
        <is>
          <t>redalert2mod</t>
        </is>
      </c>
      <c r="B138" t="inlineStr">
        <is>
          <t>schwarzermond_gravitycore</t>
        </is>
      </c>
      <c r="C138" t="inlineStr">
        <is>
          <t>Gravity Core</t>
        </is>
      </c>
      <c r="D138" t="inlineStr"/>
      <c r="E138" s="5" t="n">
        <v>1000000</v>
      </c>
      <c r="F138" s="5" t="n"/>
      <c r="G138" t="inlineStr">
        <is>
          <t>Concrete</t>
        </is>
      </c>
      <c r="H138" s="5" t="n">
        <v>1</v>
      </c>
      <c r="I138" s="5" t="n">
        <v>1</v>
      </c>
      <c r="J138" s="5" t="n">
        <v>1</v>
      </c>
      <c r="W138" s="5" t="n">
        <v>2500</v>
      </c>
    </row>
    <row r="139">
      <c r="A139" t="inlineStr">
        <is>
          <t>redalert2mod</t>
        </is>
      </c>
      <c r="B139" t="inlineStr">
        <is>
          <t>schwarzermond_hydrogenplant</t>
        </is>
      </c>
      <c r="C139" t="inlineStr">
        <is>
          <t>Schwarzer Mond Hydrogen Plant</t>
        </is>
      </c>
      <c r="D139" t="inlineStr"/>
      <c r="E139" s="5" t="n">
        <v>175000</v>
      </c>
      <c r="F139" s="5" t="n"/>
      <c r="G139" t="inlineStr">
        <is>
          <t>Wood</t>
        </is>
      </c>
      <c r="H139" s="5" t="n">
        <v>1</v>
      </c>
      <c r="I139" s="5" t="n">
        <v>1</v>
      </c>
      <c r="J139" s="5" t="n">
        <v>1</v>
      </c>
      <c r="W139" s="5" t="n">
        <v>800</v>
      </c>
    </row>
    <row r="140">
      <c r="A140" t="inlineStr">
        <is>
          <t>redalert2mod</t>
        </is>
      </c>
      <c r="B140" t="inlineStr">
        <is>
          <t>schwarzermond_lasertower</t>
        </is>
      </c>
      <c r="C140" t="inlineStr">
        <is>
          <t>Laser Tower</t>
        </is>
      </c>
      <c r="D140" t="inlineStr"/>
      <c r="E140" s="5" t="n">
        <v>160000</v>
      </c>
      <c r="F140" s="5" t="n"/>
      <c r="G140" t="inlineStr">
        <is>
          <t>Steel</t>
        </is>
      </c>
      <c r="H140" s="5" t="n">
        <v>1</v>
      </c>
      <c r="I140" s="5" t="n">
        <v>1</v>
      </c>
      <c r="J140" s="5" t="n">
        <v>1</v>
      </c>
      <c r="W140" s="5" t="n">
        <v>800</v>
      </c>
    </row>
    <row r="141">
      <c r="B141" s="6" t="inlineStr">
        <is>
          <t xml:space="preserve">  ↳ NaxLaserT</t>
        </is>
      </c>
      <c r="C141" s="6" t="inlineStr">
        <is>
          <t>Armament</t>
        </is>
      </c>
      <c r="K141" s="5" t="n">
        <v>2000</v>
      </c>
      <c r="L141" s="5" t="n">
        <v>20</v>
      </c>
      <c r="M141" s="5" t="n">
        <v>1</v>
      </c>
      <c r="N141" s="5" t="n"/>
      <c r="O141" s="5" t="n">
        <v>8181</v>
      </c>
      <c r="P141" s="5" t="n">
        <v>1</v>
      </c>
      <c r="Q141">
        <f>L141+IF(M141&gt;1,N(N141)*(M141-1),0)</f>
        <v/>
      </c>
      <c r="R141">
        <f>IFERROR(K141*MAX(M141,1)/Q141*P141,0)</f>
        <v/>
      </c>
      <c r="AA141" s="6" t="inlineStr">
        <is>
          <t>^SmallArms, ^Chaingun, ^MediumMissile, ^LaserWeapon</t>
        </is>
      </c>
    </row>
    <row r="142">
      <c r="B142" s="6" t="inlineStr">
        <is>
          <t xml:space="preserve">  ↳ Lunar_YellowLaserT</t>
        </is>
      </c>
      <c r="C142" s="6" t="inlineStr">
        <is>
          <t>Armament@UP</t>
        </is>
      </c>
      <c r="K142" s="5" t="n">
        <v>2000</v>
      </c>
      <c r="L142" s="5" t="n">
        <v>20</v>
      </c>
      <c r="M142" s="5" t="n">
        <v>2</v>
      </c>
      <c r="N142" s="5" t="n"/>
      <c r="O142" s="5" t="n">
        <v>8181</v>
      </c>
      <c r="P142" s="5" t="n">
        <v>1</v>
      </c>
      <c r="Q142">
        <f>L142+IF(M142&gt;1,N(N142)*(M142-1),0)</f>
        <v/>
      </c>
      <c r="R142">
        <f>IFERROR(K142*MAX(M142,1)/Q142*P142,0)</f>
        <v/>
      </c>
      <c r="AA142" s="6" t="inlineStr">
        <is>
          <t>^SmallArms, ^Chaingun, ^MediumMissile, ^LaserWeapon</t>
        </is>
      </c>
    </row>
    <row r="143">
      <c r="B143" s="6" t="inlineStr">
        <is>
          <t xml:space="preserve">  ↳ Lunar_AmplifiedLaserT</t>
        </is>
      </c>
      <c r="C143" s="6" t="inlineStr">
        <is>
          <t>Armament@AMP</t>
        </is>
      </c>
      <c r="K143" s="5" t="n">
        <v>2000</v>
      </c>
      <c r="L143" s="5" t="n">
        <v>20</v>
      </c>
      <c r="M143" s="5" t="n">
        <v>3</v>
      </c>
      <c r="N143" s="5" t="n"/>
      <c r="O143" s="5" t="n">
        <v>8181</v>
      </c>
      <c r="P143" s="5" t="n">
        <v>1</v>
      </c>
      <c r="Q143">
        <f>L143+IF(M143&gt;1,N(N143)*(M143-1),0)</f>
        <v/>
      </c>
      <c r="R143">
        <f>IFERROR(K143*MAX(M143,1)/Q143*P143,0)</f>
        <v/>
      </c>
      <c r="AA143" s="6" t="inlineStr">
        <is>
          <t>^SmallArms, ^Chaingun, ^MediumMissile, ^LaserWeapon</t>
        </is>
      </c>
    </row>
    <row r="144">
      <c r="A144" t="inlineStr">
        <is>
          <t>redalert2mod</t>
        </is>
      </c>
      <c r="B144" t="inlineStr">
        <is>
          <t>schwarzermond_meteortractionray</t>
        </is>
      </c>
      <c r="C144" t="inlineStr">
        <is>
          <t>Meteor Traction Ray</t>
        </is>
      </c>
      <c r="D144" t="inlineStr"/>
      <c r="E144" s="5" t="n">
        <v>1000000</v>
      </c>
      <c r="F144" s="5" t="n"/>
      <c r="G144" t="inlineStr">
        <is>
          <t>Concrete</t>
        </is>
      </c>
      <c r="H144" s="5" t="n">
        <v>1</v>
      </c>
      <c r="I144" s="5" t="n">
        <v>1</v>
      </c>
      <c r="J144" s="5" t="n">
        <v>1</v>
      </c>
      <c r="W144" s="5" t="n">
        <v>10000</v>
      </c>
    </row>
    <row r="145">
      <c r="A145" t="inlineStr">
        <is>
          <t>redalert2mod</t>
        </is>
      </c>
      <c r="B145" t="inlineStr">
        <is>
          <t>schwarzermond_moondairyfarm</t>
        </is>
      </c>
      <c r="C145" t="inlineStr">
        <is>
          <t>Moon Dairy Farm</t>
        </is>
      </c>
      <c r="D145" t="inlineStr"/>
      <c r="E145" s="5" t="n">
        <v>250000</v>
      </c>
      <c r="F145" s="5" t="n"/>
      <c r="G145" t="inlineStr">
        <is>
          <t>Wood</t>
        </is>
      </c>
      <c r="H145" s="5" t="n">
        <v>1</v>
      </c>
      <c r="I145" s="5" t="n">
        <v>1</v>
      </c>
      <c r="J145" s="5" t="n">
        <v>1</v>
      </c>
      <c r="W145" s="5" t="n">
        <v>2500</v>
      </c>
    </row>
    <row r="146">
      <c r="A146" t="inlineStr">
        <is>
          <t>redalert2mod</t>
        </is>
      </c>
      <c r="B146" t="inlineStr">
        <is>
          <t>schwarzermond_orerefinery</t>
        </is>
      </c>
      <c r="C146" t="inlineStr">
        <is>
          <t>Schwarzer Mond Ore Refinery</t>
        </is>
      </c>
      <c r="D146" t="inlineStr"/>
      <c r="E146" s="5" t="n">
        <v>300000</v>
      </c>
      <c r="F146" s="5" t="n"/>
      <c r="G146" t="inlineStr">
        <is>
          <t>Concrete</t>
        </is>
      </c>
      <c r="H146" s="5" t="n">
        <v>1</v>
      </c>
      <c r="I146" s="5" t="n">
        <v>1</v>
      </c>
      <c r="J146" s="5" t="n">
        <v>1</v>
      </c>
      <c r="W146" s="5" t="n">
        <v>3000</v>
      </c>
    </row>
    <row r="147">
      <c r="A147" t="inlineStr">
        <is>
          <t>redalert2mod</t>
        </is>
      </c>
      <c r="B147" t="inlineStr">
        <is>
          <t>schwarzermond_radar</t>
        </is>
      </c>
      <c r="C147" t="inlineStr">
        <is>
          <t>Schwarzer Mond Radar</t>
        </is>
      </c>
      <c r="D147" t="inlineStr"/>
      <c r="E147" s="5" t="n">
        <v>250000</v>
      </c>
      <c r="F147" s="5" t="n"/>
      <c r="G147" t="inlineStr">
        <is>
          <t>Wood</t>
        </is>
      </c>
      <c r="H147" s="5" t="n">
        <v>1</v>
      </c>
      <c r="I147" s="5" t="n">
        <v>1</v>
      </c>
      <c r="J147" s="5" t="n">
        <v>1</v>
      </c>
      <c r="W147" s="5" t="n">
        <v>2500</v>
      </c>
    </row>
    <row r="148">
      <c r="A148" t="inlineStr">
        <is>
          <t>redalert2mod</t>
        </is>
      </c>
      <c r="B148" t="inlineStr">
        <is>
          <t>schwarzermond_sturmcannon</t>
        </is>
      </c>
      <c r="C148" t="inlineStr">
        <is>
          <t>Sturm Cannon</t>
        </is>
      </c>
      <c r="D148" t="inlineStr"/>
      <c r="E148" s="5" t="n">
        <v>160000</v>
      </c>
      <c r="F148" s="5" t="n"/>
      <c r="G148" t="inlineStr">
        <is>
          <t>Concrete</t>
        </is>
      </c>
      <c r="H148" s="5" t="n">
        <v>1</v>
      </c>
      <c r="I148" s="5" t="n">
        <v>1</v>
      </c>
      <c r="J148" s="5" t="n">
        <v>1</v>
      </c>
      <c r="W148" s="5" t="n">
        <v>1200</v>
      </c>
    </row>
    <row r="149">
      <c r="B149" s="6" t="inlineStr">
        <is>
          <t xml:space="preserve">  ↳ NaxSturmArty</t>
        </is>
      </c>
      <c r="C149" s="6" t="inlineStr">
        <is>
          <t>Armament@PRIMARY</t>
        </is>
      </c>
      <c r="K149" s="5" t="n">
        <v>30000</v>
      </c>
      <c r="L149" s="5" t="n">
        <v>140</v>
      </c>
      <c r="M149" s="5" t="n">
        <v>1</v>
      </c>
      <c r="N149" s="5" t="n"/>
      <c r="O149" s="5" t="n">
        <v>14000</v>
      </c>
      <c r="P149" s="5" t="n">
        <v>1</v>
      </c>
      <c r="Q149">
        <f>L149+IF(M149&gt;1,N(N149)*(M149-1),0)</f>
        <v/>
      </c>
      <c r="R149">
        <f>IFERROR(K149*MAX(M149,1)/Q149*P149,0)</f>
        <v/>
      </c>
      <c r="AA149" s="6" t="inlineStr">
        <is>
          <t>^HeavyBomb, ^RA2MediumCannon, ^RA2Grenade</t>
        </is>
      </c>
    </row>
    <row r="150">
      <c r="B150" s="6" t="inlineStr">
        <is>
          <t xml:space="preserve">  ↳ Lunar_GreenSturmArty</t>
        </is>
      </c>
      <c r="C150" s="6" t="inlineStr">
        <is>
          <t>Armament@PRIMARY_UP</t>
        </is>
      </c>
      <c r="K150" s="5" t="n">
        <v>30000</v>
      </c>
      <c r="L150" s="5" t="n">
        <v>140</v>
      </c>
      <c r="M150" s="5" t="n">
        <v>1</v>
      </c>
      <c r="N150" s="5" t="n"/>
      <c r="O150" s="5" t="n">
        <v>14000</v>
      </c>
      <c r="P150" s="5" t="n">
        <v>1</v>
      </c>
      <c r="Q150">
        <f>L150+IF(M150&gt;1,N(N150)*(M150-1),0)</f>
        <v/>
      </c>
      <c r="R150">
        <f>IFERROR(K150*MAX(M150,1)/Q150*P150,0)</f>
        <v/>
      </c>
      <c r="AA150" s="6" t="inlineStr">
        <is>
          <t>^TeslaWeapon, ^HeavyBomb, ^RA2MediumCannon, ^RA2Grenade, ^LunarNaxisUpgradedCannons</t>
        </is>
      </c>
    </row>
    <row r="151">
      <c r="A151" t="inlineStr">
        <is>
          <t>redalert2mod</t>
        </is>
      </c>
      <c r="B151" t="inlineStr">
        <is>
          <t>schwarzermond_techcenter</t>
        </is>
      </c>
      <c r="C151" t="inlineStr">
        <is>
          <t>Schwarzer Mond Tech Center</t>
        </is>
      </c>
      <c r="D151" t="inlineStr"/>
      <c r="E151" s="5" t="n">
        <v>500000</v>
      </c>
      <c r="F151" s="5" t="n"/>
      <c r="G151" t="inlineStr">
        <is>
          <t>Concrete</t>
        </is>
      </c>
      <c r="H151" s="5" t="n">
        <v>1</v>
      </c>
      <c r="I151" s="5" t="n">
        <v>1</v>
      </c>
      <c r="J151" s="5" t="n">
        <v>1</v>
      </c>
      <c r="W151" s="5" t="n">
        <v>5000</v>
      </c>
    </row>
    <row r="152">
      <c r="A152" t="inlineStr">
        <is>
          <t>redalert2mod</t>
        </is>
      </c>
      <c r="B152" t="inlineStr">
        <is>
          <t>schwarzermond_warfactory</t>
        </is>
      </c>
      <c r="C152" t="inlineStr">
        <is>
          <t>Schwarzer Mond War Factory</t>
        </is>
      </c>
      <c r="D152" t="inlineStr"/>
      <c r="E152" s="5" t="n">
        <v>400000</v>
      </c>
      <c r="F152" s="5" t="n"/>
      <c r="G152" t="inlineStr">
        <is>
          <t>Concrete</t>
        </is>
      </c>
      <c r="H152" s="5" t="n">
        <v>1</v>
      </c>
      <c r="I152" s="5" t="n">
        <v>1</v>
      </c>
      <c r="J152" s="5" t="n">
        <v>1</v>
      </c>
      <c r="W152" s="5" t="n">
        <v>2000</v>
      </c>
    </row>
    <row r="153">
      <c r="A153" s="3" t="inlineStr">
        <is>
          <t>UPGRADES</t>
        </is>
      </c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>
      <c r="A154" t="inlineStr">
        <is>
          <t>redalert2mod</t>
        </is>
      </c>
      <c r="B154" t="inlineStr">
        <is>
          <t>conyard_infiltrated.nax2</t>
        </is>
      </c>
      <c r="C154" t="inlineStr">
        <is>
          <t>Stolen Schwarzer Mond Buildings Plans</t>
        </is>
      </c>
      <c r="D154" t="inlineStr"/>
      <c r="E154" s="5" t="n"/>
      <c r="F154" s="5" t="n"/>
      <c r="H154" s="5" t="n">
        <v>1</v>
      </c>
      <c r="I154" s="5" t="n">
        <v>1</v>
      </c>
      <c r="J154" s="5" t="n">
        <v>1</v>
      </c>
      <c r="W154" s="5" t="n"/>
    </row>
    <row r="155">
      <c r="A155" t="inlineStr">
        <is>
          <t>redalert2mod</t>
        </is>
      </c>
      <c r="B155" t="inlineStr">
        <is>
          <t>schwarzermond_upgrade_amplifiedlens</t>
        </is>
      </c>
      <c r="C155" t="inlineStr">
        <is>
          <t>Amplified Lens</t>
        </is>
      </c>
      <c r="D155" t="inlineStr"/>
      <c r="E155" s="5" t="n"/>
      <c r="F155" s="5" t="n"/>
      <c r="H155" s="5" t="n">
        <v>1</v>
      </c>
      <c r="I155" s="5" t="n">
        <v>1</v>
      </c>
      <c r="J155" s="5" t="n">
        <v>1</v>
      </c>
      <c r="W155" s="5" t="n">
        <v>5000</v>
      </c>
    </row>
    <row r="156">
      <c r="A156" t="inlineStr">
        <is>
          <t>redalert2mod</t>
        </is>
      </c>
      <c r="B156" t="inlineStr">
        <is>
          <t>schwarzermond_upgrade_cryptofascism</t>
        </is>
      </c>
      <c r="C156" t="inlineStr">
        <is>
          <t>Cryptofascism</t>
        </is>
      </c>
      <c r="D156" t="inlineStr"/>
      <c r="E156" s="5" t="n"/>
      <c r="F156" s="5" t="n"/>
      <c r="H156" s="5" t="n">
        <v>1</v>
      </c>
      <c r="I156" s="5" t="n">
        <v>1</v>
      </c>
      <c r="J156" s="5" t="n">
        <v>1</v>
      </c>
      <c r="W156" s="5" t="n">
        <v>5000</v>
      </c>
    </row>
    <row r="157">
      <c r="A157" t="inlineStr">
        <is>
          <t>redalert2mod</t>
        </is>
      </c>
      <c r="B157" t="inlineStr">
        <is>
          <t>schwarzermond_upgrade_crystallens</t>
        </is>
      </c>
      <c r="C157" t="inlineStr">
        <is>
          <t>Crystal Lens</t>
        </is>
      </c>
      <c r="D157" t="inlineStr"/>
      <c r="E157" s="5" t="n"/>
      <c r="F157" s="5" t="n"/>
      <c r="H157" s="5" t="n">
        <v>1</v>
      </c>
      <c r="I157" s="5" t="n">
        <v>1</v>
      </c>
      <c r="J157" s="5" t="n">
        <v>1</v>
      </c>
      <c r="W157" s="5" t="n">
        <v>5000</v>
      </c>
    </row>
    <row r="158">
      <c r="A158" t="inlineStr">
        <is>
          <t>redalert2mod</t>
        </is>
      </c>
      <c r="B158" t="inlineStr">
        <is>
          <t>schwarzermond_upgrade_helium3</t>
        </is>
      </c>
      <c r="C158" t="inlineStr">
        <is>
          <t>Helium-3 Enrichment</t>
        </is>
      </c>
      <c r="D158" t="inlineStr"/>
      <c r="E158" s="5" t="n"/>
      <c r="F158" s="5" t="n"/>
      <c r="H158" s="5" t="n">
        <v>1</v>
      </c>
      <c r="I158" s="5" t="n">
        <v>1</v>
      </c>
      <c r="J158" s="5" t="n">
        <v>1</v>
      </c>
      <c r="W158" s="5" t="n">
        <v>5000</v>
      </c>
    </row>
    <row r="159">
      <c r="A159" t="inlineStr">
        <is>
          <t>redalert2mod</t>
        </is>
      </c>
      <c r="B159" t="inlineStr">
        <is>
          <t>schwarzermond_upgrade_lunaralloys</t>
        </is>
      </c>
      <c r="C159" t="inlineStr">
        <is>
          <t>Lunar Alloys</t>
        </is>
      </c>
      <c r="D159" t="inlineStr"/>
      <c r="E159" s="5" t="n"/>
      <c r="F159" s="5" t="n"/>
      <c r="H159" s="5" t="n">
        <v>1</v>
      </c>
      <c r="I159" s="5" t="n">
        <v>1</v>
      </c>
      <c r="J159" s="5" t="n">
        <v>1</v>
      </c>
      <c r="W159" s="5" t="n">
        <v>5000</v>
      </c>
    </row>
    <row r="160">
      <c r="A160" t="inlineStr">
        <is>
          <t>redalert2mod</t>
        </is>
      </c>
      <c r="B160" t="inlineStr">
        <is>
          <t>schwarzermond_upgrade_moonpropaganda</t>
        </is>
      </c>
      <c r="C160" t="inlineStr">
        <is>
          <t>Moon Propaganda</t>
        </is>
      </c>
      <c r="D160" t="inlineStr"/>
      <c r="E160" s="5" t="n"/>
      <c r="F160" s="5" t="n"/>
      <c r="H160" s="5" t="n">
        <v>1</v>
      </c>
      <c r="I160" s="5" t="n">
        <v>1</v>
      </c>
      <c r="J160" s="5" t="n">
        <v>1</v>
      </c>
      <c r="W160" s="5" t="n">
        <v>5000</v>
      </c>
    </row>
    <row r="161">
      <c r="A161" t="inlineStr">
        <is>
          <t>redalert2mod</t>
        </is>
      </c>
      <c r="B161" t="inlineStr">
        <is>
          <t>schwarzermond_upgrade_vrilinfusion</t>
        </is>
      </c>
      <c r="C161" t="inlineStr">
        <is>
          <t>Vril Infusion</t>
        </is>
      </c>
      <c r="D161" t="inlineStr"/>
      <c r="E161" s="5" t="n"/>
      <c r="F161" s="5" t="n"/>
      <c r="H161" s="5" t="n">
        <v>1</v>
      </c>
      <c r="I161" s="5" t="n">
        <v>1</v>
      </c>
      <c r="J161" s="5" t="n">
        <v>1</v>
      </c>
      <c r="W161" s="5" t="n">
        <v>5000</v>
      </c>
    </row>
    <row r="162">
      <c r="A162" t="inlineStr">
        <is>
          <t>redalert2mod</t>
        </is>
      </c>
      <c r="B162" t="inlineStr">
        <is>
          <t>schwarzermond_upgrade_vrilpoweredweapons</t>
        </is>
      </c>
      <c r="C162" t="inlineStr">
        <is>
          <t>Vril Powered Weapons</t>
        </is>
      </c>
      <c r="D162" t="inlineStr"/>
      <c r="E162" s="5" t="n"/>
      <c r="F162" s="5" t="n"/>
      <c r="H162" s="5" t="n">
        <v>1</v>
      </c>
      <c r="I162" s="5" t="n">
        <v>1</v>
      </c>
      <c r="J162" s="5" t="n">
        <v>1</v>
      </c>
      <c r="W162" s="5" t="n">
        <v>5000</v>
      </c>
    </row>
    <row r="163">
      <c r="A163" s="3" t="inlineStr">
        <is>
          <t>PROMOTIONS</t>
        </is>
      </c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</row>
    <row r="164">
      <c r="A164" t="inlineStr">
        <is>
          <t>redalert2mod</t>
        </is>
      </c>
      <c r="B164" t="inlineStr">
        <is>
          <t>schwarzermond_promotion_crystaltank</t>
        </is>
      </c>
      <c r="C164" t="inlineStr">
        <is>
          <t>Unlock Crystal Tank</t>
        </is>
      </c>
      <c r="D164" t="inlineStr"/>
      <c r="E164" s="5" t="n"/>
      <c r="F164" s="5" t="n"/>
      <c r="H164" s="5" t="n">
        <v>1</v>
      </c>
      <c r="I164" s="5" t="n">
        <v>1</v>
      </c>
      <c r="J164" s="5" t="n">
        <v>1</v>
      </c>
      <c r="W164" s="5" t="n"/>
    </row>
    <row r="165">
      <c r="A165" t="inlineStr">
        <is>
          <t>redalert2mod</t>
        </is>
      </c>
      <c r="B165" t="inlineStr">
        <is>
          <t>schwarzermond_promotion_dalek</t>
        </is>
      </c>
      <c r="C165" t="inlineStr">
        <is>
          <t>Unlock Dalek</t>
        </is>
      </c>
      <c r="D165" t="inlineStr"/>
      <c r="E165" s="5" t="n"/>
      <c r="F165" s="5" t="n"/>
      <c r="H165" s="5" t="n">
        <v>1</v>
      </c>
      <c r="I165" s="5" t="n">
        <v>1</v>
      </c>
      <c r="J165" s="5" t="n">
        <v>1</v>
      </c>
      <c r="W165" s="5" t="n"/>
    </row>
    <row r="166">
      <c r="A166" t="inlineStr">
        <is>
          <t>redalert2mod</t>
        </is>
      </c>
      <c r="B166" t="inlineStr">
        <is>
          <t>schwarzermond_promotion_dieglocke</t>
        </is>
      </c>
      <c r="C166" t="inlineStr">
        <is>
          <t>Unlock Die Glocke</t>
        </is>
      </c>
      <c r="D166" t="inlineStr"/>
      <c r="E166" s="5" t="n"/>
      <c r="F166" s="5" t="n"/>
      <c r="H166" s="5" t="n">
        <v>1</v>
      </c>
      <c r="I166" s="5" t="n">
        <v>1</v>
      </c>
      <c r="J166" s="5" t="n">
        <v>1</v>
      </c>
      <c r="W166" s="5" t="n"/>
    </row>
    <row r="167">
      <c r="A167" t="inlineStr">
        <is>
          <t>redalert2mod</t>
        </is>
      </c>
      <c r="B167" t="inlineStr">
        <is>
          <t>schwarzermond_promotion_haunebuiii</t>
        </is>
      </c>
      <c r="C167" t="inlineStr">
        <is>
          <t>Haunebu III</t>
        </is>
      </c>
      <c r="D167" t="inlineStr"/>
      <c r="E167" s="5" t="n"/>
      <c r="F167" s="5" t="n"/>
      <c r="H167" s="5" t="n">
        <v>1</v>
      </c>
      <c r="I167" s="5" t="n">
        <v>1</v>
      </c>
      <c r="J167" s="5" t="n">
        <v>1</v>
      </c>
      <c r="W167" s="5" t="n"/>
    </row>
    <row r="168">
      <c r="A168" t="inlineStr">
        <is>
          <t>redalert2mod</t>
        </is>
      </c>
      <c r="B168" t="inlineStr">
        <is>
          <t>schwarzermond_promotion_korruptesbiest</t>
        </is>
      </c>
      <c r="C168" t="inlineStr">
        <is>
          <t>Unlock Korruptes Biest</t>
        </is>
      </c>
      <c r="D168" t="inlineStr"/>
      <c r="E168" s="5" t="n"/>
      <c r="F168" s="5" t="n"/>
      <c r="H168" s="5" t="n">
        <v>1</v>
      </c>
      <c r="I168" s="5" t="n">
        <v>1</v>
      </c>
      <c r="J168" s="5" t="n">
        <v>1</v>
      </c>
      <c r="W168" s="5" t="n"/>
    </row>
    <row r="169">
      <c r="A169" t="inlineStr">
        <is>
          <t>redalert2mod</t>
        </is>
      </c>
      <c r="B169" t="inlineStr">
        <is>
          <t>schwarzermond_promotion_lasertank</t>
        </is>
      </c>
      <c r="C169" t="inlineStr">
        <is>
          <t>Laser Tank</t>
        </is>
      </c>
      <c r="D169" t="inlineStr"/>
      <c r="E169" s="5" t="n"/>
      <c r="F169" s="5" t="n"/>
      <c r="H169" s="5" t="n">
        <v>1</v>
      </c>
      <c r="I169" s="5" t="n">
        <v>1</v>
      </c>
      <c r="J169" s="5" t="n">
        <v>1</v>
      </c>
      <c r="W169" s="5" t="n"/>
    </row>
    <row r="170">
      <c r="A170" t="inlineStr">
        <is>
          <t>redalert2mod</t>
        </is>
      </c>
      <c r="B170" t="inlineStr">
        <is>
          <t>schwarzermond_promotion_lunartiger</t>
        </is>
      </c>
      <c r="C170" t="inlineStr">
        <is>
          <t>Lunar Tiger</t>
        </is>
      </c>
      <c r="D170" t="inlineStr"/>
      <c r="E170" s="5" t="n"/>
      <c r="F170" s="5" t="n"/>
      <c r="H170" s="5" t="n">
        <v>1</v>
      </c>
      <c r="I170" s="5" t="n">
        <v>1</v>
      </c>
      <c r="J170" s="5" t="n">
        <v>1</v>
      </c>
      <c r="W170" s="5" t="n"/>
    </row>
    <row r="171">
      <c r="A171" t="inlineStr">
        <is>
          <t>redalert2mod</t>
        </is>
      </c>
      <c r="B171" t="inlineStr">
        <is>
          <t>schwarzermond_promotion_mars</t>
        </is>
      </c>
      <c r="C171" t="inlineStr">
        <is>
          <t>MARS</t>
        </is>
      </c>
      <c r="D171" t="inlineStr"/>
      <c r="E171" s="5" t="n"/>
      <c r="F171" s="5" t="n"/>
      <c r="H171" s="5" t="n">
        <v>1</v>
      </c>
      <c r="I171" s="5" t="n">
        <v>1</v>
      </c>
      <c r="J171" s="5" t="n">
        <v>1</v>
      </c>
      <c r="W171" s="5" t="n"/>
    </row>
    <row r="172">
      <c r="A172" t="inlineStr">
        <is>
          <t>redalert2mod</t>
        </is>
      </c>
      <c r="B172" t="inlineStr">
        <is>
          <t>schwarzermond_promotion_noidmg</t>
        </is>
      </c>
      <c r="C172" t="inlineStr">
        <is>
          <t>Unlock Noid MG</t>
        </is>
      </c>
      <c r="D172" t="inlineStr"/>
      <c r="E172" s="5" t="n"/>
      <c r="F172" s="5" t="n"/>
      <c r="H172" s="5" t="n">
        <v>1</v>
      </c>
      <c r="I172" s="5" t="n">
        <v>1</v>
      </c>
      <c r="J172" s="5" t="n">
        <v>1</v>
      </c>
      <c r="W172" s="5" t="n"/>
    </row>
    <row r="173">
      <c r="A173" t="inlineStr">
        <is>
          <t>redalert2mod</t>
        </is>
      </c>
      <c r="B173" t="inlineStr">
        <is>
          <t>schwarzermond_promotion_parzival</t>
        </is>
      </c>
      <c r="C173" t="inlineStr">
        <is>
          <t>Unlock Parzival</t>
        </is>
      </c>
      <c r="D173" t="inlineStr"/>
      <c r="E173" s="5" t="n"/>
      <c r="F173" s="5" t="n"/>
      <c r="H173" s="5" t="n">
        <v>1</v>
      </c>
      <c r="I173" s="5" t="n">
        <v>1</v>
      </c>
      <c r="J173" s="5" t="n">
        <v>1</v>
      </c>
      <c r="W173" s="5" t="n"/>
    </row>
    <row r="174">
      <c r="A174" t="inlineStr">
        <is>
          <t>redalert2mod</t>
        </is>
      </c>
      <c r="B174" t="inlineStr">
        <is>
          <t>schwarzermond_promotion_piercer</t>
        </is>
      </c>
      <c r="C174" t="inlineStr">
        <is>
          <t>Unlock Piercer</t>
        </is>
      </c>
      <c r="D174" t="inlineStr"/>
      <c r="E174" s="5" t="n"/>
      <c r="F174" s="5" t="n"/>
      <c r="H174" s="5" t="n">
        <v>1</v>
      </c>
      <c r="I174" s="5" t="n">
        <v>1</v>
      </c>
      <c r="J174" s="5" t="n">
        <v>1</v>
      </c>
      <c r="W174" s="5" t="n"/>
    </row>
    <row r="175">
      <c r="A175" t="inlineStr">
        <is>
          <t>redalert2mod</t>
        </is>
      </c>
      <c r="B175" t="inlineStr">
        <is>
          <t>schwarzermond_promotion_ubermensch</t>
        </is>
      </c>
      <c r="C175" t="inlineStr">
        <is>
          <t>Unlock Übermensch</t>
        </is>
      </c>
      <c r="D175" t="inlineStr"/>
      <c r="E175" s="5" t="n"/>
      <c r="F175" s="5" t="n"/>
      <c r="H175" s="5" t="n">
        <v>1</v>
      </c>
      <c r="I175" s="5" t="n">
        <v>1</v>
      </c>
      <c r="J175" s="5" t="n">
        <v>1</v>
      </c>
      <c r="W175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176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9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redalert2mod</t>
        </is>
      </c>
      <c r="B3" t="inlineStr">
        <is>
          <t>latinsyndicate_engineer</t>
        </is>
      </c>
      <c r="C3" t="inlineStr">
        <is>
          <t>Engineer</t>
        </is>
      </c>
      <c r="D3" t="inlineStr"/>
      <c r="E3" s="5" t="n">
        <v>5000</v>
      </c>
      <c r="F3" s="5" t="n">
        <v>50</v>
      </c>
      <c r="G3" t="inlineStr">
        <is>
          <t>None</t>
        </is>
      </c>
      <c r="H3" s="5" t="n">
        <v>1</v>
      </c>
      <c r="I3" s="5" t="n">
        <v>1</v>
      </c>
      <c r="J3" s="5" t="n">
        <v>1</v>
      </c>
      <c r="O3">
        <f>MAX(O4,O5)</f>
        <v/>
      </c>
      <c r="R3">
        <f>R4+R5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500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DefuseKit</t>
        </is>
      </c>
      <c r="C4" s="6" t="inlineStr">
        <is>
          <t>Armament@defuse</t>
        </is>
      </c>
      <c r="K4" s="5" t="n"/>
      <c r="L4" s="5" t="n">
        <v>20</v>
      </c>
      <c r="M4" s="5" t="n">
        <v>1</v>
      </c>
      <c r="N4" s="5" t="n"/>
      <c r="O4" s="5" t="n">
        <v>1536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^RemovesIvanBombs, ^RemovesTerrorDrone</t>
        </is>
      </c>
    </row>
    <row r="5">
      <c r="B5" s="6" t="inlineStr">
        <is>
          <t xml:space="preserve">  ↳ LeechDisinfect</t>
        </is>
      </c>
      <c r="C5" s="6" t="inlineStr">
        <is>
          <t>Armament@leechdisinfect</t>
        </is>
      </c>
      <c r="K5" s="5" t="n"/>
      <c r="L5" s="5" t="n">
        <v>100</v>
      </c>
      <c r="M5" s="5" t="n">
        <v>1</v>
      </c>
      <c r="N5" s="5" t="n"/>
      <c r="O5" s="5" t="n">
        <v>1536</v>
      </c>
      <c r="P5" s="5" t="n">
        <v>1</v>
      </c>
      <c r="Q5">
        <f>L5+IF(M5&gt;1,N(N5)*(M5-1),0)</f>
        <v/>
      </c>
      <c r="R5">
        <f>IFERROR(K5*MAX(M5,1)/Q5*P5,0)</f>
        <v/>
      </c>
      <c r="AA5" s="6" t="inlineStr"/>
    </row>
    <row r="6">
      <c r="A6" t="inlineStr">
        <is>
          <t>redalert2mod</t>
        </is>
      </c>
      <c r="B6" t="inlineStr">
        <is>
          <t>latinsyndicate_freedomfighter</t>
        </is>
      </c>
      <c r="C6" t="inlineStr">
        <is>
          <t>Freedom Fighter</t>
        </is>
      </c>
      <c r="D6" t="inlineStr"/>
      <c r="E6" s="5" t="n">
        <v>77000</v>
      </c>
      <c r="F6" s="5" t="n">
        <v>55</v>
      </c>
      <c r="G6" t="inlineStr">
        <is>
          <t>Heroic</t>
        </is>
      </c>
      <c r="H6" s="5" t="n">
        <v>0.75</v>
      </c>
      <c r="I6" s="5" t="n">
        <v>1</v>
      </c>
      <c r="J6" s="5" t="n">
        <v>1</v>
      </c>
      <c r="O6">
        <f>MAX(O7,O8,O9,O10)</f>
        <v/>
      </c>
      <c r="R6">
        <f>R7+R8+R9+R10</f>
        <v/>
      </c>
      <c r="S6">
        <f>(E6/100000+F6/100+(O6/1000)*J6/5+R6/200)*200*I6*H6</f>
        <v/>
      </c>
      <c r="T6">
        <f>((E6*F6/25000)+((O6/1000)*J6*R6/2.5))*I6*H6</f>
        <v/>
      </c>
      <c r="U6">
        <f>(E6*F6*(O6/1000)*J6*R6*I6*H6)/12500000</f>
        <v/>
      </c>
      <c r="V6">
        <f>(S6+T6+U6)/3</f>
        <v/>
      </c>
      <c r="W6" s="5" t="n">
        <v>3000</v>
      </c>
      <c r="X6">
        <f>IFERROR(V6-W6,"")</f>
        <v/>
      </c>
      <c r="Y6">
        <f>IFERROR(ABS(X6)/MAX(W6,1),"")</f>
        <v/>
      </c>
      <c r="Z6">
        <f>IFERROR((W6-(((E6/100000+F6/100+R6/200)*200*I6*H6)+((E6*F6/25000)*I6*H6))/3)/(((J6/5)*200*I6*H6)+((J6*R6/2.5)*I6*H6)+((E6*F6*J6*R6*I6*H6)/12500000))/3*1000,"")</f>
        <v/>
      </c>
    </row>
    <row r="7">
      <c r="B7" s="6" t="inlineStr">
        <is>
          <t xml:space="preserve">  ↳ RA2FreedomAK47</t>
        </is>
      </c>
      <c r="C7" s="6" t="inlineStr">
        <is>
          <t>Armament@PRIMARY</t>
        </is>
      </c>
      <c r="K7" s="5" t="n">
        <v>6000</v>
      </c>
      <c r="L7" s="5" t="n">
        <v>42</v>
      </c>
      <c r="M7" s="5" t="n">
        <v>5</v>
      </c>
      <c r="N7" s="5" t="n">
        <v>2</v>
      </c>
      <c r="O7" s="5" t="n">
        <v>7130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^HeavyCannon, ^Chaingun, ^SniperWeapon</t>
        </is>
      </c>
    </row>
    <row r="8">
      <c r="B8" s="6" t="inlineStr">
        <is>
          <t xml:space="preserve">  ↳ RA2FreedomAK47E</t>
        </is>
      </c>
      <c r="C8" s="6" t="inlineStr">
        <is>
          <t>Armament@ELITE</t>
        </is>
      </c>
      <c r="K8" s="5" t="n">
        <v>6000</v>
      </c>
      <c r="L8" s="5" t="n">
        <v>42</v>
      </c>
      <c r="M8" s="5" t="n">
        <v>10</v>
      </c>
      <c r="N8" s="5" t="n">
        <v>1</v>
      </c>
      <c r="O8" s="5" t="n">
        <v>8130</v>
      </c>
      <c r="P8" s="5" t="n">
        <v>1</v>
      </c>
      <c r="Q8">
        <f>L8+IF(M8&gt;1,N(N8)*(M8-1),0)</f>
        <v/>
      </c>
      <c r="R8">
        <f>IFERROR(K8*MAX(M8,1)/Q8*P8,0)</f>
        <v/>
      </c>
      <c r="AA8" s="6" t="inlineStr">
        <is>
          <t>^HeavyCannon, ^Chaingun, ^SniperWeapon</t>
        </is>
      </c>
    </row>
    <row r="9">
      <c r="B9" s="6" t="inlineStr">
        <is>
          <t xml:space="preserve">  ↳ RA2FreedomRocket</t>
        </is>
      </c>
      <c r="C9" s="6" t="inlineStr">
        <is>
          <t>Armament@ROCKET</t>
        </is>
      </c>
      <c r="K9" s="5" t="n">
        <v>60000</v>
      </c>
      <c r="L9" s="5" t="n">
        <v>100</v>
      </c>
      <c r="M9" s="5" t="n">
        <v>1</v>
      </c>
      <c r="N9" s="5" t="n"/>
      <c r="O9" s="5" t="n">
        <v>7130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>
        <is>
          <t>^FlakWeapon, ^ShrapnelWeapon, ^RA2MediumMissile</t>
        </is>
      </c>
    </row>
    <row r="10">
      <c r="B10" s="6" t="inlineStr">
        <is>
          <t xml:space="preserve">  ↳ RA2FreedomRocketE</t>
        </is>
      </c>
      <c r="C10" s="6" t="inlineStr">
        <is>
          <t>Armament@ROCKETELITE</t>
        </is>
      </c>
      <c r="K10" s="5" t="n">
        <v>120000</v>
      </c>
      <c r="L10" s="5" t="n">
        <v>100</v>
      </c>
      <c r="M10" s="5" t="n">
        <v>1</v>
      </c>
      <c r="N10" s="5" t="n"/>
      <c r="O10" s="5" t="n">
        <v>8130</v>
      </c>
      <c r="P10" s="5" t="n">
        <v>1</v>
      </c>
      <c r="Q10">
        <f>L10+IF(M10&gt;1,N(N10)*(M10-1),0)</f>
        <v/>
      </c>
      <c r="R10">
        <f>IFERROR(K10*MAX(M10,1)/Q10*P10,0)</f>
        <v/>
      </c>
      <c r="AA10" s="6" t="inlineStr">
        <is>
          <t>^FlakWeapon, ^ShrapnelWeapon, ^RA2MediumMissile</t>
        </is>
      </c>
    </row>
    <row r="11">
      <c r="B11" s="6" t="inlineStr">
        <is>
          <t xml:space="preserve">  ↳ RA2FreedomAK47</t>
        </is>
      </c>
      <c r="C11" s="6" t="inlineStr">
        <is>
          <t>Armament@GARRISONED</t>
        </is>
      </c>
      <c r="K11" s="5" t="n">
        <v>6000</v>
      </c>
      <c r="L11" s="5" t="n">
        <v>42</v>
      </c>
      <c r="M11" s="5" t="n">
        <v>5</v>
      </c>
      <c r="N11" s="5" t="n">
        <v>2</v>
      </c>
      <c r="O11" s="5" t="n">
        <v>7130</v>
      </c>
      <c r="P11" s="5" t="n">
        <v>1</v>
      </c>
      <c r="Q11">
        <f>L11+IF(M11&gt;1,N(N11)*(M11-1),0)</f>
        <v/>
      </c>
      <c r="R11">
        <f>IFERROR(K11*MAX(M11,1)/Q11*P11,0)</f>
        <v/>
      </c>
      <c r="AA11" s="6" t="inlineStr">
        <is>
          <t>^HeavyCannon, ^Chaingun, ^SniperWeapon</t>
        </is>
      </c>
    </row>
    <row r="12">
      <c r="B12" s="6" t="inlineStr">
        <is>
          <t xml:space="preserve">  ↳ RA2FreedomAK47E</t>
        </is>
      </c>
      <c r="C12" s="6" t="inlineStr">
        <is>
          <t>Armament@GARRISONEDELITE</t>
        </is>
      </c>
      <c r="K12" s="5" t="n">
        <v>6000</v>
      </c>
      <c r="L12" s="5" t="n">
        <v>42</v>
      </c>
      <c r="M12" s="5" t="n">
        <v>10</v>
      </c>
      <c r="N12" s="5" t="n">
        <v>1</v>
      </c>
      <c r="O12" s="5" t="n">
        <v>8130</v>
      </c>
      <c r="P12" s="5" t="n">
        <v>1</v>
      </c>
      <c r="Q12">
        <f>L12+IF(M12&gt;1,N(N12)*(M12-1),0)</f>
        <v/>
      </c>
      <c r="R12">
        <f>IFERROR(K12*MAX(M12,1)/Q12*P12,0)</f>
        <v/>
      </c>
      <c r="AA12" s="6" t="inlineStr">
        <is>
          <t>^HeavyCannon, ^Chaingun, ^SniperWeapon</t>
        </is>
      </c>
    </row>
    <row r="13">
      <c r="B13" s="6" t="inlineStr">
        <is>
          <t xml:space="preserve">  ↳ RA2FreedomRocket</t>
        </is>
      </c>
      <c r="C13" s="6" t="inlineStr">
        <is>
          <t>Armament@RocketGARRISONED</t>
        </is>
      </c>
      <c r="K13" s="5" t="n">
        <v>60000</v>
      </c>
      <c r="L13" s="5" t="n">
        <v>100</v>
      </c>
      <c r="M13" s="5" t="n">
        <v>1</v>
      </c>
      <c r="N13" s="5" t="n"/>
      <c r="O13" s="5" t="n">
        <v>7130</v>
      </c>
      <c r="P13" s="5" t="n">
        <v>1</v>
      </c>
      <c r="Q13">
        <f>L13+IF(M13&gt;1,N(N13)*(M13-1),0)</f>
        <v/>
      </c>
      <c r="R13">
        <f>IFERROR(K13*MAX(M13,1)/Q13*P13,0)</f>
        <v/>
      </c>
      <c r="AA13" s="6" t="inlineStr">
        <is>
          <t>^FlakWeapon, ^ShrapnelWeapon, ^RA2MediumMissile</t>
        </is>
      </c>
    </row>
    <row r="14">
      <c r="B14" s="6" t="inlineStr">
        <is>
          <t xml:space="preserve">  ↳ RA2FreedomRocketE</t>
        </is>
      </c>
      <c r="C14" s="6" t="inlineStr">
        <is>
          <t>Armament@RocketGARRISONEDELITE</t>
        </is>
      </c>
      <c r="K14" s="5" t="n">
        <v>120000</v>
      </c>
      <c r="L14" s="5" t="n">
        <v>100</v>
      </c>
      <c r="M14" s="5" t="n">
        <v>1</v>
      </c>
      <c r="N14" s="5" t="n"/>
      <c r="O14" s="5" t="n">
        <v>8130</v>
      </c>
      <c r="P14" s="5" t="n">
        <v>1</v>
      </c>
      <c r="Q14">
        <f>L14+IF(M14&gt;1,N(N14)*(M14-1),0)</f>
        <v/>
      </c>
      <c r="R14">
        <f>IFERROR(K14*MAX(M14,1)/Q14*P14,0)</f>
        <v/>
      </c>
      <c r="AA14" s="6" t="inlineStr">
        <is>
          <t>^FlakWeapon, ^ShrapnelWeapon, ^RA2MediumMissile</t>
        </is>
      </c>
    </row>
    <row r="15">
      <c r="A15" t="inlineStr">
        <is>
          <t>redalert2mod</t>
        </is>
      </c>
      <c r="B15" t="inlineStr">
        <is>
          <t>latinsyndicate_grenademonkey</t>
        </is>
      </c>
      <c r="C15" t="inlineStr">
        <is>
          <t>Grenade Monkey</t>
        </is>
      </c>
      <c r="D15" t="inlineStr"/>
      <c r="E15" s="5" t="n">
        <v>30000</v>
      </c>
      <c r="F15" s="5" t="n">
        <v>80</v>
      </c>
      <c r="G15" t="inlineStr">
        <is>
          <t>None</t>
        </is>
      </c>
      <c r="H15" s="5" t="n">
        <v>1</v>
      </c>
      <c r="I15" s="5" t="n">
        <v>0.4</v>
      </c>
      <c r="J15" s="5" t="n">
        <v>1</v>
      </c>
      <c r="O15">
        <f>MAX(O16,O17,O18)</f>
        <v/>
      </c>
      <c r="R15">
        <f>R16+R17+R18</f>
        <v/>
      </c>
      <c r="S15">
        <f>(E15/100000+F15/100+(O15/1000)*J15/5+R15/200)*200*I15*H15</f>
        <v/>
      </c>
      <c r="T15">
        <f>((E15*F15/25000)+((O15/1000)*J15*R15/2.5))*I15*H15</f>
        <v/>
      </c>
      <c r="U15">
        <f>(E15*F15*(O15/1000)*J15*R15*I15*H15)/12500000</f>
        <v/>
      </c>
      <c r="V15">
        <f>(S15+T15+U15)/3</f>
        <v/>
      </c>
      <c r="W15" s="5" t="n">
        <v>400</v>
      </c>
      <c r="X15">
        <f>IFERROR(V15-W15,"")</f>
        <v/>
      </c>
      <c r="Y15">
        <f>IFERROR(ABS(X15)/MAX(W15,1),"")</f>
        <v/>
      </c>
      <c r="Z15">
        <f>IFERROR((W15-(((E15/100000+F15/100+R15/200)*200*I15*H15)+((E15*F15/25000)*I15*H15))/3)/(((J15/5)*200*I15*H15)+((J15*R15/2.5)*I15*H15)+((E15*F15*J15*R15*I15*H15)/12500000))/3*1000,"")</f>
        <v/>
      </c>
    </row>
    <row r="16">
      <c r="B16" s="6" t="inlineStr">
        <is>
          <t xml:space="preserve">  ↳ LatinMonkeyGrenade1</t>
        </is>
      </c>
      <c r="C16" s="6" t="inlineStr">
        <is>
          <t>Armament@PRIMARY</t>
        </is>
      </c>
      <c r="K16" s="5" t="n">
        <v>10000</v>
      </c>
      <c r="L16" s="5" t="n">
        <v>60</v>
      </c>
      <c r="M16" s="5" t="n">
        <v>1</v>
      </c>
      <c r="N16" s="5" t="n"/>
      <c r="O16" s="5" t="n">
        <v>6500</v>
      </c>
      <c r="P16" s="5" t="n">
        <v>1</v>
      </c>
      <c r="Q16">
        <f>L16+IF(M16&gt;1,N(N16)*(M16-1),0)</f>
        <v/>
      </c>
      <c r="R16">
        <f>IFERROR(K16*MAX(M16,1)/Q16*P16,0)</f>
        <v/>
      </c>
      <c r="AA16" s="6" t="inlineStr">
        <is>
          <t>^Grenade, ^ShrapnelWeapon, ^HeavyCannon</t>
        </is>
      </c>
    </row>
    <row r="17">
      <c r="B17" s="6" t="inlineStr">
        <is>
          <t xml:space="preserve">  ↳ LatinMonkeyGrenade2</t>
        </is>
      </c>
      <c r="C17" s="6" t="inlineStr">
        <is>
          <t>Armament@SECONDARY</t>
        </is>
      </c>
      <c r="K17" s="5" t="n">
        <v>10000</v>
      </c>
      <c r="L17" s="5" t="n">
        <v>60</v>
      </c>
      <c r="M17" s="5" t="n">
        <v>2</v>
      </c>
      <c r="N17" s="5" t="n">
        <v>3</v>
      </c>
      <c r="O17" s="5" t="n">
        <v>7000</v>
      </c>
      <c r="P17" s="5" t="n">
        <v>1</v>
      </c>
      <c r="Q17">
        <f>L17+IF(M17&gt;1,N(N17)*(M17-1),0)</f>
        <v/>
      </c>
      <c r="R17">
        <f>IFERROR(K17*MAX(M17,1)/Q17*P17,0)</f>
        <v/>
      </c>
      <c r="AA17" s="6" t="inlineStr">
        <is>
          <t>^Grenade, ^ShrapnelWeapon, ^HeavyCannon</t>
        </is>
      </c>
    </row>
    <row r="18">
      <c r="B18" s="6" t="inlineStr">
        <is>
          <t xml:space="preserve">  ↳ LatinMonkeyGrenade3</t>
        </is>
      </c>
      <c r="C18" s="6" t="inlineStr">
        <is>
          <t>Armament@ELITE</t>
        </is>
      </c>
      <c r="K18" s="5" t="n">
        <v>10000</v>
      </c>
      <c r="L18" s="5" t="n">
        <v>60</v>
      </c>
      <c r="M18" s="5" t="n">
        <v>3</v>
      </c>
      <c r="N18" s="5" t="n">
        <v>3</v>
      </c>
      <c r="O18" s="5" t="n">
        <v>7500</v>
      </c>
      <c r="P18" s="5" t="n">
        <v>1</v>
      </c>
      <c r="Q18">
        <f>L18+IF(M18&gt;1,N(N18)*(M18-1),0)</f>
        <v/>
      </c>
      <c r="R18">
        <f>IFERROR(K18*MAX(M18,1)/Q18*P18,0)</f>
        <v/>
      </c>
      <c r="AA18" s="6" t="inlineStr">
        <is>
          <t>^Grenade, ^ShrapnelWeapon, ^HeavyCannon</t>
        </is>
      </c>
    </row>
    <row r="19">
      <c r="B19" s="6" t="inlineStr">
        <is>
          <t xml:space="preserve">  ↳ LatinMonkeyGrenade1</t>
        </is>
      </c>
      <c r="C19" s="6" t="inlineStr">
        <is>
          <t>Armament@GARRISONED</t>
        </is>
      </c>
      <c r="K19" s="5" t="n">
        <v>10000</v>
      </c>
      <c r="L19" s="5" t="n">
        <v>60</v>
      </c>
      <c r="M19" s="5" t="n">
        <v>1</v>
      </c>
      <c r="N19" s="5" t="n"/>
      <c r="O19" s="5" t="n">
        <v>6500</v>
      </c>
      <c r="P19" s="5" t="n">
        <v>1</v>
      </c>
      <c r="Q19">
        <f>L19+IF(M19&gt;1,N(N19)*(M19-1),0)</f>
        <v/>
      </c>
      <c r="R19">
        <f>IFERROR(K19*MAX(M19,1)/Q19*P19,0)</f>
        <v/>
      </c>
      <c r="AA19" s="6" t="inlineStr">
        <is>
          <t>^Grenade, ^ShrapnelWeapon, ^HeavyCannon</t>
        </is>
      </c>
    </row>
    <row r="20">
      <c r="B20" s="6" t="inlineStr">
        <is>
          <t xml:space="preserve">  ↳ LatinMonkeyGrenade2</t>
        </is>
      </c>
      <c r="C20" s="6" t="inlineStr">
        <is>
          <t>Armament@GARRISONEDSECONDARY</t>
        </is>
      </c>
      <c r="K20" s="5" t="n">
        <v>10000</v>
      </c>
      <c r="L20" s="5" t="n">
        <v>60</v>
      </c>
      <c r="M20" s="5" t="n">
        <v>2</v>
      </c>
      <c r="N20" s="5" t="n">
        <v>3</v>
      </c>
      <c r="O20" s="5" t="n">
        <v>7000</v>
      </c>
      <c r="P20" s="5" t="n">
        <v>1</v>
      </c>
      <c r="Q20">
        <f>L20+IF(M20&gt;1,N(N20)*(M20-1),0)</f>
        <v/>
      </c>
      <c r="R20">
        <f>IFERROR(K20*MAX(M20,1)/Q20*P20,0)</f>
        <v/>
      </c>
      <c r="AA20" s="6" t="inlineStr">
        <is>
          <t>^Grenade, ^ShrapnelWeapon, ^HeavyCannon</t>
        </is>
      </c>
    </row>
    <row r="21">
      <c r="B21" s="6" t="inlineStr">
        <is>
          <t xml:space="preserve">  ↳ LatinMonkeyGrenade3</t>
        </is>
      </c>
      <c r="C21" s="6" t="inlineStr">
        <is>
          <t>Armament@GARRISONEDELITE</t>
        </is>
      </c>
      <c r="K21" s="5" t="n">
        <v>10000</v>
      </c>
      <c r="L21" s="5" t="n">
        <v>60</v>
      </c>
      <c r="M21" s="5" t="n">
        <v>3</v>
      </c>
      <c r="N21" s="5" t="n">
        <v>3</v>
      </c>
      <c r="O21" s="5" t="n">
        <v>7500</v>
      </c>
      <c r="P21" s="5" t="n">
        <v>1</v>
      </c>
      <c r="Q21">
        <f>L21+IF(M21&gt;1,N(N21)*(M21-1),0)</f>
        <v/>
      </c>
      <c r="R21">
        <f>IFERROR(K21*MAX(M21,1)/Q21*P21,0)</f>
        <v/>
      </c>
      <c r="AA21" s="6" t="inlineStr">
        <is>
          <t>^Grenade, ^ShrapnelWeapon, ^HeavyCannon</t>
        </is>
      </c>
    </row>
    <row r="22">
      <c r="A22" t="inlineStr">
        <is>
          <t>redalert2mod</t>
        </is>
      </c>
      <c r="B22" t="inlineStr">
        <is>
          <t>latinsyndicate_latinflametrooper</t>
        </is>
      </c>
      <c r="C22" t="inlineStr">
        <is>
          <t>Latin Flame Trooper</t>
        </is>
      </c>
      <c r="D22" t="inlineStr"/>
      <c r="E22" s="5" t="n">
        <v>55000</v>
      </c>
      <c r="F22" s="5" t="n">
        <v>55</v>
      </c>
      <c r="G22" t="inlineStr">
        <is>
          <t>Plate</t>
        </is>
      </c>
      <c r="H22" s="5" t="n">
        <v>1</v>
      </c>
      <c r="I22" s="5" t="n">
        <v>1</v>
      </c>
      <c r="J22" s="5" t="n">
        <v>1</v>
      </c>
      <c r="O22">
        <f>MAX(O23,O24)</f>
        <v/>
      </c>
      <c r="R22">
        <f>R23+R24</f>
        <v/>
      </c>
      <c r="S22">
        <f>(E22/100000+F22/100+(O22/1000)*J22/5+R22/200)*200*I22*H22</f>
        <v/>
      </c>
      <c r="T22">
        <f>((E22*F22/25000)+((O22/1000)*J22*R22/2.5))*I22*H22</f>
        <v/>
      </c>
      <c r="U22">
        <f>(E22*F22*(O22/1000)*J22*R22*I22*H22)/12500000</f>
        <v/>
      </c>
      <c r="V22">
        <f>(S22+T22+U22)/3</f>
        <v/>
      </c>
      <c r="W22" s="5" t="n">
        <v>500</v>
      </c>
      <c r="X22">
        <f>IFERROR(V22-W22,"")</f>
        <v/>
      </c>
      <c r="Y22">
        <f>IFERROR(ABS(X22)/MAX(W22,1),"")</f>
        <v/>
      </c>
      <c r="Z22">
        <f>IFERROR((W22-(((E22/100000+F22/100+R22/200)*200*I22*H22)+((E22*F22/25000)*I22*H22))/3)/(((J22/5)*200*I22*H22)+((J22*R22/2.5)*I22*H22)+((E22*F22*J22*R22*I22*H22)/12500000))/3*1000,"")</f>
        <v/>
      </c>
    </row>
    <row r="23">
      <c r="B23" s="6" t="inlineStr">
        <is>
          <t xml:space="preserve">  ↳ SyndicateFireballLauncher</t>
        </is>
      </c>
      <c r="C23" s="6" t="inlineStr">
        <is>
          <t>Armament@PRIMARY</t>
        </is>
      </c>
      <c r="K23" s="5" t="n">
        <v>2000</v>
      </c>
      <c r="L23" s="5" t="n">
        <v>44</v>
      </c>
      <c r="M23" s="5" t="n">
        <v>4</v>
      </c>
      <c r="N23" s="5" t="n">
        <v>4</v>
      </c>
      <c r="O23" s="5" t="n">
        <v>5555</v>
      </c>
      <c r="P23" s="5" t="n">
        <v>1</v>
      </c>
      <c r="Q23">
        <f>L23+IF(M23&gt;1,N(N23)*(M23-1),0)</f>
        <v/>
      </c>
      <c r="R23">
        <f>IFERROR(K23*MAX(M23,1)/Q23*P23,0)</f>
        <v/>
      </c>
      <c r="AA23" s="6" t="inlineStr">
        <is>
          <t>^LightFlameWeapon, ^MediumFlameWeapon, ^HeavyFlameWeapon</t>
        </is>
      </c>
    </row>
    <row r="24">
      <c r="B24" s="6" t="inlineStr">
        <is>
          <t xml:space="preserve">  ↳ SyndicateFireballLauncherE</t>
        </is>
      </c>
      <c r="C24" s="6" t="inlineStr">
        <is>
          <t>Armament@ELITE</t>
        </is>
      </c>
      <c r="K24" s="5" t="n">
        <v>2000</v>
      </c>
      <c r="L24" s="5" t="n">
        <v>44</v>
      </c>
      <c r="M24" s="5" t="n">
        <v>8</v>
      </c>
      <c r="N24" s="5" t="n">
        <v>3</v>
      </c>
      <c r="O24" s="5" t="n">
        <v>6666</v>
      </c>
      <c r="P24" s="5" t="n">
        <v>1</v>
      </c>
      <c r="Q24">
        <f>L24+IF(M24&gt;1,N(N24)*(M24-1),0)</f>
        <v/>
      </c>
      <c r="R24">
        <f>IFERROR(K24*MAX(M24,1)/Q24*P24,0)</f>
        <v/>
      </c>
      <c r="AA24" s="6" t="inlineStr">
        <is>
          <t>^LightFlameWeapon, ^MediumFlameWeapon, ^HeavyFlameWeapon</t>
        </is>
      </c>
    </row>
    <row r="25">
      <c r="B25" s="6" t="inlineStr">
        <is>
          <t xml:space="preserve">  ↳ SyndicateFireballLauncher</t>
        </is>
      </c>
      <c r="C25" s="6" t="inlineStr">
        <is>
          <t>Armament@GARRISONED</t>
        </is>
      </c>
      <c r="K25" s="5" t="n">
        <v>2000</v>
      </c>
      <c r="L25" s="5" t="n">
        <v>44</v>
      </c>
      <c r="M25" s="5" t="n">
        <v>4</v>
      </c>
      <c r="N25" s="5" t="n">
        <v>4</v>
      </c>
      <c r="O25" s="5" t="n">
        <v>5555</v>
      </c>
      <c r="P25" s="5" t="n">
        <v>1</v>
      </c>
      <c r="Q25">
        <f>L25+IF(M25&gt;1,N(N25)*(M25-1),0)</f>
        <v/>
      </c>
      <c r="R25">
        <f>IFERROR(K25*MAX(M25,1)/Q25*P25,0)</f>
        <v/>
      </c>
      <c r="AA25" s="6" t="inlineStr">
        <is>
          <t>^LightFlameWeapon, ^MediumFlameWeapon, ^HeavyFlameWeapon</t>
        </is>
      </c>
    </row>
    <row r="26">
      <c r="B26" s="6" t="inlineStr">
        <is>
          <t xml:space="preserve">  ↳ SyndicateFireballLauncherE</t>
        </is>
      </c>
      <c r="C26" s="6" t="inlineStr">
        <is>
          <t>Armament@GARRISONEDELITE</t>
        </is>
      </c>
      <c r="K26" s="5" t="n">
        <v>2000</v>
      </c>
      <c r="L26" s="5" t="n">
        <v>44</v>
      </c>
      <c r="M26" s="5" t="n">
        <v>8</v>
      </c>
      <c r="N26" s="5" t="n">
        <v>3</v>
      </c>
      <c r="O26" s="5" t="n">
        <v>6666</v>
      </c>
      <c r="P26" s="5" t="n">
        <v>1</v>
      </c>
      <c r="Q26">
        <f>L26+IF(M26&gt;1,N(N26)*(M26-1),0)</f>
        <v/>
      </c>
      <c r="R26">
        <f>IFERROR(K26*MAX(M26,1)/Q26*P26,0)</f>
        <v/>
      </c>
      <c r="AA26" s="6" t="inlineStr">
        <is>
          <t>^LightFlameWeapon, ^MediumFlameWeapon, ^HeavyFlameWeapon</t>
        </is>
      </c>
    </row>
    <row r="27">
      <c r="A27" t="inlineStr">
        <is>
          <t>redalert2mod</t>
        </is>
      </c>
      <c r="B27" t="inlineStr">
        <is>
          <t>latinsyndicate_latinmilitia</t>
        </is>
      </c>
      <c r="C27" t="inlineStr">
        <is>
          <t>Latin Militia</t>
        </is>
      </c>
      <c r="D27" t="inlineStr"/>
      <c r="E27" s="5" t="n">
        <v>26000</v>
      </c>
      <c r="F27" s="5" t="n">
        <v>52</v>
      </c>
      <c r="G27" t="inlineStr">
        <is>
          <t>None</t>
        </is>
      </c>
      <c r="H27" s="5" t="n">
        <v>1</v>
      </c>
      <c r="I27" s="5" t="n">
        <v>1</v>
      </c>
      <c r="J27" s="5" t="n">
        <v>1</v>
      </c>
      <c r="O27">
        <f>MAX(O28,O29,O30,O31)</f>
        <v/>
      </c>
      <c r="R27">
        <f>R28+R29+R30+R31</f>
        <v/>
      </c>
      <c r="S27">
        <f>(E27/100000+F27/100+(O27/1000)*J27/5+R27/200)*200*I27*H27</f>
        <v/>
      </c>
      <c r="T27">
        <f>((E27*F27/25000)+((O27/1000)*J27*R27/2.5))*I27*H27</f>
        <v/>
      </c>
      <c r="U27">
        <f>(E27*F27*(O27/1000)*J27*R27*I27*H27)/12500000</f>
        <v/>
      </c>
      <c r="V27">
        <f>(S27+T27+U27)/3</f>
        <v/>
      </c>
      <c r="W27" s="5" t="n">
        <v>130</v>
      </c>
      <c r="X27">
        <f>IFERROR(V27-W27,"")</f>
        <v/>
      </c>
      <c r="Y27">
        <f>IFERROR(ABS(X27)/MAX(W27,1),"")</f>
        <v/>
      </c>
      <c r="Z27">
        <f>IFERROR((W27-(((E27/100000+F27/100+R27/200)*200*I27*H27)+((E27*F27/25000)*I27*H27))/3)/(((J27/5)*200*I27*H27)+((J27*R27/2.5)*I27*H27)+((E27*F27*J27*R27*I27*H27)/12500000))/3*1000,"")</f>
        <v/>
      </c>
    </row>
    <row r="28">
      <c r="B28" s="6" t="inlineStr">
        <is>
          <t xml:space="preserve">  ↳ latinsyndicate_latinmilitia_ak47</t>
        </is>
      </c>
      <c r="C28" s="6" t="inlineStr">
        <is>
          <t>Armament@PRIMARY</t>
        </is>
      </c>
      <c r="K28" s="5" t="n">
        <v>2000</v>
      </c>
      <c r="L28" s="5" t="n">
        <v>22</v>
      </c>
      <c r="M28" s="5" t="n">
        <v>3</v>
      </c>
      <c r="N28" s="5" t="n">
        <v>4</v>
      </c>
      <c r="O28" s="5" t="n">
        <v>4500</v>
      </c>
      <c r="P28" s="5" t="n">
        <v>1</v>
      </c>
      <c r="Q28">
        <f>L28+IF(M28&gt;1,N(N28)*(M28-1),0)</f>
        <v/>
      </c>
      <c r="R28">
        <f>IFERROR(K28*MAX(M28,1)/Q28*P28,0)</f>
        <v/>
      </c>
      <c r="AA28" s="6" t="inlineStr">
        <is>
          <t>^RA2SmallArms</t>
        </is>
      </c>
    </row>
    <row r="29">
      <c r="B29" s="6" t="inlineStr">
        <is>
          <t xml:space="preserve">  ↳ latinsyndicate_latinmilitia_ak47_elite</t>
        </is>
      </c>
      <c r="C29" s="6" t="inlineStr">
        <is>
          <t>Armament@ELITE</t>
        </is>
      </c>
      <c r="K29" s="5" t="n">
        <v>2000</v>
      </c>
      <c r="L29" s="5" t="n">
        <v>22</v>
      </c>
      <c r="M29" s="5" t="n">
        <v>6</v>
      </c>
      <c r="N29" s="5" t="n">
        <v>3</v>
      </c>
      <c r="O29" s="5" t="n">
        <v>5500</v>
      </c>
      <c r="P29" s="5" t="n">
        <v>1</v>
      </c>
      <c r="Q29">
        <f>L29+IF(M29&gt;1,N(N29)*(M29-1),0)</f>
        <v/>
      </c>
      <c r="R29">
        <f>IFERROR(K29*MAX(M29,1)/Q29*P29,0)</f>
        <v/>
      </c>
      <c r="AA29" s="6" t="inlineStr">
        <is>
          <t>^RA2SmallArms</t>
        </is>
      </c>
    </row>
    <row r="30">
      <c r="B30" s="6" t="inlineStr">
        <is>
          <t xml:space="preserve">  ↳ latinsyndicate_latinmilitia_molotov</t>
        </is>
      </c>
      <c r="C30" s="6" t="inlineStr">
        <is>
          <t>Armament@Molotov</t>
        </is>
      </c>
      <c r="K30" s="5" t="n">
        <v>2000</v>
      </c>
      <c r="L30" s="5" t="n">
        <v>93</v>
      </c>
      <c r="M30" s="5" t="n">
        <v>1</v>
      </c>
      <c r="N30" s="5" t="n"/>
      <c r="O30" s="5" t="n">
        <v>4500</v>
      </c>
      <c r="P30" s="5" t="n">
        <v>1</v>
      </c>
      <c r="Q30">
        <f>L30+IF(M30&gt;1,N(N30)*(M30-1),0)</f>
        <v/>
      </c>
      <c r="R30">
        <f>IFERROR(K30*MAX(M30,1)/Q30*P30,0)</f>
        <v/>
      </c>
      <c r="AA30" s="6" t="inlineStr">
        <is>
          <t>^LightFlameWeapon, ^MediumChemicalWeapon, ^ShrapnelWeapon, ^RA2Grenade</t>
        </is>
      </c>
    </row>
    <row r="31">
      <c r="B31" s="6" t="inlineStr">
        <is>
          <t xml:space="preserve">  ↳ latinsyndicate_latinmilitia_molotov_elite</t>
        </is>
      </c>
      <c r="C31" s="6" t="inlineStr">
        <is>
          <t>Armament@MolotovELITE</t>
        </is>
      </c>
      <c r="K31" s="5" t="n">
        <v>2000</v>
      </c>
      <c r="L31" s="5" t="n">
        <v>93</v>
      </c>
      <c r="M31" s="5" t="n">
        <v>6</v>
      </c>
      <c r="N31" s="5" t="n">
        <v>3</v>
      </c>
      <c r="O31" s="5" t="n">
        <v>5500</v>
      </c>
      <c r="P31" s="5" t="n">
        <v>1</v>
      </c>
      <c r="Q31">
        <f>L31+IF(M31&gt;1,N(N31)*(M31-1),0)</f>
        <v/>
      </c>
      <c r="R31">
        <f>IFERROR(K31*MAX(M31,1)/Q31*P31,0)</f>
        <v/>
      </c>
      <c r="AA31" s="6" t="inlineStr">
        <is>
          <t>^LightFlameWeapon, ^MediumChemicalWeapon, ^ShrapnelWeapon, ^RA2Grenade</t>
        </is>
      </c>
    </row>
    <row r="32">
      <c r="B32" s="6" t="inlineStr">
        <is>
          <t xml:space="preserve">  ↳ latinsyndicate_latinmilitia_ak47</t>
        </is>
      </c>
      <c r="C32" s="6" t="inlineStr">
        <is>
          <t>Armament@GARRISONED</t>
        </is>
      </c>
      <c r="K32" s="5" t="n">
        <v>2000</v>
      </c>
      <c r="L32" s="5" t="n">
        <v>22</v>
      </c>
      <c r="M32" s="5" t="n">
        <v>3</v>
      </c>
      <c r="N32" s="5" t="n">
        <v>4</v>
      </c>
      <c r="O32" s="5" t="n">
        <v>4500</v>
      </c>
      <c r="P32" s="5" t="n">
        <v>1</v>
      </c>
      <c r="Q32">
        <f>L32+IF(M32&gt;1,N(N32)*(M32-1),0)</f>
        <v/>
      </c>
      <c r="R32">
        <f>IFERROR(K32*MAX(M32,1)/Q32*P32,0)</f>
        <v/>
      </c>
      <c r="AA32" s="6" t="inlineStr">
        <is>
          <t>^RA2SmallArms</t>
        </is>
      </c>
    </row>
    <row r="33">
      <c r="B33" s="6" t="inlineStr">
        <is>
          <t xml:space="preserve">  ↳ latinsyndicate_latinmilitia_ak47_elite</t>
        </is>
      </c>
      <c r="C33" s="6" t="inlineStr">
        <is>
          <t>Armament@GARRISONEDELITE</t>
        </is>
      </c>
      <c r="K33" s="5" t="n">
        <v>2000</v>
      </c>
      <c r="L33" s="5" t="n">
        <v>22</v>
      </c>
      <c r="M33" s="5" t="n">
        <v>6</v>
      </c>
      <c r="N33" s="5" t="n">
        <v>3</v>
      </c>
      <c r="O33" s="5" t="n">
        <v>5500</v>
      </c>
      <c r="P33" s="5" t="n">
        <v>1</v>
      </c>
      <c r="Q33">
        <f>L33+IF(M33&gt;1,N(N33)*(M33-1),0)</f>
        <v/>
      </c>
      <c r="R33">
        <f>IFERROR(K33*MAX(M33,1)/Q33*P33,0)</f>
        <v/>
      </c>
      <c r="AA33" s="6" t="inlineStr">
        <is>
          <t>^RA2SmallArms</t>
        </is>
      </c>
    </row>
    <row r="34">
      <c r="B34" s="6" t="inlineStr">
        <is>
          <t xml:space="preserve">  ↳ latinsyndicate_latinmilitia_molotov</t>
        </is>
      </c>
      <c r="C34" s="6" t="inlineStr">
        <is>
          <t>Armament@MolotovGARRISONED</t>
        </is>
      </c>
      <c r="K34" s="5" t="n">
        <v>2000</v>
      </c>
      <c r="L34" s="5" t="n">
        <v>93</v>
      </c>
      <c r="M34" s="5" t="n">
        <v>1</v>
      </c>
      <c r="N34" s="5" t="n"/>
      <c r="O34" s="5" t="n">
        <v>4500</v>
      </c>
      <c r="P34" s="5" t="n">
        <v>1</v>
      </c>
      <c r="Q34">
        <f>L34+IF(M34&gt;1,N(N34)*(M34-1),0)</f>
        <v/>
      </c>
      <c r="R34">
        <f>IFERROR(K34*MAX(M34,1)/Q34*P34,0)</f>
        <v/>
      </c>
      <c r="AA34" s="6" t="inlineStr">
        <is>
          <t>^LightFlameWeapon, ^MediumChemicalWeapon, ^ShrapnelWeapon, ^RA2Grenade</t>
        </is>
      </c>
    </row>
    <row r="35">
      <c r="B35" s="6" t="inlineStr">
        <is>
          <t xml:space="preserve">  ↳ latinsyndicate_latinmilitia_molotov_elite</t>
        </is>
      </c>
      <c r="C35" s="6" t="inlineStr">
        <is>
          <t>Armament@MolotovGARRISONEDELITE</t>
        </is>
      </c>
      <c r="K35" s="5" t="n">
        <v>2000</v>
      </c>
      <c r="L35" s="5" t="n">
        <v>93</v>
      </c>
      <c r="M35" s="5" t="n">
        <v>6</v>
      </c>
      <c r="N35" s="5" t="n">
        <v>3</v>
      </c>
      <c r="O35" s="5" t="n">
        <v>5500</v>
      </c>
      <c r="P35" s="5" t="n">
        <v>1</v>
      </c>
      <c r="Q35">
        <f>L35+IF(M35&gt;1,N(N35)*(M35-1),0)</f>
        <v/>
      </c>
      <c r="R35">
        <f>IFERROR(K35*MAX(M35,1)/Q35*P35,0)</f>
        <v/>
      </c>
      <c r="AA35" s="6" t="inlineStr">
        <is>
          <t>^LightFlameWeapon, ^MediumChemicalWeapon, ^ShrapnelWeapon, ^RA2Grenade</t>
        </is>
      </c>
    </row>
    <row r="36">
      <c r="A36" t="inlineStr">
        <is>
          <t>redalert2mod</t>
        </is>
      </c>
      <c r="B36" t="inlineStr">
        <is>
          <t>latinsyndicate_latintankkiller</t>
        </is>
      </c>
      <c r="C36" t="inlineStr">
        <is>
          <t>Latin Tank Killer</t>
        </is>
      </c>
      <c r="D36" t="inlineStr"/>
      <c r="E36" s="5" t="n">
        <v>13000</v>
      </c>
      <c r="F36" s="5" t="n">
        <v>53</v>
      </c>
      <c r="G36" t="inlineStr">
        <is>
          <t>Flak</t>
        </is>
      </c>
      <c r="H36" s="5" t="n">
        <v>1</v>
      </c>
      <c r="I36" s="5" t="n">
        <v>0.5</v>
      </c>
      <c r="J36" s="5" t="n">
        <v>1</v>
      </c>
      <c r="O36">
        <f>MAX(O37,O39)</f>
        <v/>
      </c>
      <c r="R36">
        <f>R37+R39</f>
        <v/>
      </c>
      <c r="S36">
        <f>(E36/100000+F36/100+(O36/1000)*J36/5+R36/200)*200*I36*H36</f>
        <v/>
      </c>
      <c r="T36">
        <f>((E36*F36/25000)+((O36/1000)*J36*R36/2.5))*I36*H36</f>
        <v/>
      </c>
      <c r="U36">
        <f>(E36*F36*(O36/1000)*J36*R36*I36*H36)/12500000</f>
        <v/>
      </c>
      <c r="V36">
        <f>(S36+T36+U36)/3</f>
        <v/>
      </c>
      <c r="W36" s="5" t="n">
        <v>270</v>
      </c>
      <c r="X36">
        <f>IFERROR(V36-W36,"")</f>
        <v/>
      </c>
      <c r="Y36">
        <f>IFERROR(ABS(X36)/MAX(W36,1),"")</f>
        <v/>
      </c>
      <c r="Z36">
        <f>IFERROR((W36-(((E36/100000+F36/100+R36/200)*200*I36*H36)+((E36*F36/25000)*I36*H36))/3)/(((J36/5)*200*I36*H36)+((J36*R36/2.5)*I36*H36)+((E36*F36*J36*R36*I36*H36)/12500000))/3*1000,"")</f>
        <v/>
      </c>
    </row>
    <row r="37">
      <c r="B37" s="6" t="inlineStr">
        <is>
          <t xml:space="preserve">  ↳ LatinTankKillerRocket</t>
        </is>
      </c>
      <c r="C37" s="6" t="inlineStr">
        <is>
          <t>Armament@PRIMARY</t>
        </is>
      </c>
      <c r="K37" s="5" t="n">
        <v>26000</v>
      </c>
      <c r="L37" s="5" t="n">
        <v>66</v>
      </c>
      <c r="M37" s="5" t="n">
        <v>1</v>
      </c>
      <c r="N37" s="5" t="n"/>
      <c r="O37" s="5" t="n">
        <v>6666</v>
      </c>
      <c r="P37" s="5" t="n">
        <v>1</v>
      </c>
      <c r="Q37">
        <f>L37+IF(M37&gt;1,N(N37)*(M37-1),0)</f>
        <v/>
      </c>
      <c r="R37">
        <f>IFERROR(K37*MAX(M37,1)/Q37*P37,0)</f>
        <v/>
      </c>
      <c r="AA37" s="6" t="inlineStr">
        <is>
          <t>^RA2LightMissile</t>
        </is>
      </c>
    </row>
    <row r="38">
      <c r="B38" s="6" t="inlineStr">
        <is>
          <t xml:space="preserve">  ↳ LatinTankKillerRocket</t>
        </is>
      </c>
      <c r="C38" s="6" t="inlineStr">
        <is>
          <t>Armament@GARRISONED</t>
        </is>
      </c>
      <c r="K38" s="5" t="n">
        <v>26000</v>
      </c>
      <c r="L38" s="5" t="n">
        <v>66</v>
      </c>
      <c r="M38" s="5" t="n">
        <v>1</v>
      </c>
      <c r="N38" s="5" t="n"/>
      <c r="O38" s="5" t="n">
        <v>6666</v>
      </c>
      <c r="P38" s="5" t="n">
        <v>1</v>
      </c>
      <c r="Q38">
        <f>L38+IF(M38&gt;1,N(N38)*(M38-1),0)</f>
        <v/>
      </c>
      <c r="R38">
        <f>IFERROR(K38*MAX(M38,1)/Q38*P38,0)</f>
        <v/>
      </c>
      <c r="AA38" s="6" t="inlineStr">
        <is>
          <t>^RA2LightMissile</t>
        </is>
      </c>
    </row>
    <row r="39">
      <c r="B39" s="6" t="inlineStr">
        <is>
          <t xml:space="preserve">  ↳ LatinTankKillerRocket_elite</t>
        </is>
      </c>
      <c r="C39" s="6" t="inlineStr">
        <is>
          <t>Armament@PRIMARYE</t>
        </is>
      </c>
      <c r="K39" s="5" t="n">
        <v>52000</v>
      </c>
      <c r="L39" s="5" t="n">
        <v>66</v>
      </c>
      <c r="M39" s="5" t="n">
        <v>1</v>
      </c>
      <c r="N39" s="5" t="n"/>
      <c r="O39" s="5" t="n">
        <v>7777</v>
      </c>
      <c r="P39" s="5" t="n">
        <v>1</v>
      </c>
      <c r="Q39">
        <f>L39+IF(M39&gt;1,N(N39)*(M39-1),0)</f>
        <v/>
      </c>
      <c r="R39">
        <f>IFERROR(K39*MAX(M39,1)/Q39*P39,0)</f>
        <v/>
      </c>
      <c r="AA39" s="6" t="inlineStr">
        <is>
          <t>^RA2LightMissile</t>
        </is>
      </c>
    </row>
    <row r="40">
      <c r="B40" s="6" t="inlineStr">
        <is>
          <t xml:space="preserve">  ↳ LatinTankKillerRocket_elite</t>
        </is>
      </c>
      <c r="C40" s="6" t="inlineStr">
        <is>
          <t>Armament@GARRISONEDE</t>
        </is>
      </c>
      <c r="K40" s="5" t="n">
        <v>52000</v>
      </c>
      <c r="L40" s="5" t="n">
        <v>66</v>
      </c>
      <c r="M40" s="5" t="n">
        <v>1</v>
      </c>
      <c r="N40" s="5" t="n"/>
      <c r="O40" s="5" t="n">
        <v>7777</v>
      </c>
      <c r="P40" s="5" t="n">
        <v>1</v>
      </c>
      <c r="Q40">
        <f>L40+IF(M40&gt;1,N(N40)*(M40-1),0)</f>
        <v/>
      </c>
      <c r="R40">
        <f>IFERROR(K40*MAX(M40,1)/Q40*P40,0)</f>
        <v/>
      </c>
      <c r="AA40" s="6" t="inlineStr">
        <is>
          <t>^RA2LightMissile</t>
        </is>
      </c>
    </row>
    <row r="41">
      <c r="A41" t="inlineStr">
        <is>
          <t>redalert2mod</t>
        </is>
      </c>
      <c r="B41" t="inlineStr">
        <is>
          <t>latinsyndicate_narco</t>
        </is>
      </c>
      <c r="C41" t="inlineStr">
        <is>
          <t>Narco</t>
        </is>
      </c>
      <c r="D41" t="inlineStr"/>
      <c r="E41" s="5" t="n">
        <v>28000</v>
      </c>
      <c r="F41" s="5" t="n">
        <v>70</v>
      </c>
      <c r="G41" t="inlineStr">
        <is>
          <t>Flak</t>
        </is>
      </c>
      <c r="H41" s="5" t="n">
        <v>1</v>
      </c>
      <c r="I41" s="5" t="n">
        <v>0.75</v>
      </c>
      <c r="J41" s="5" t="n">
        <v>1</v>
      </c>
      <c r="O41">
        <f>MAX(O42,O43,O44,O45)</f>
        <v/>
      </c>
      <c r="R41">
        <f>R42+R43+R44+R45</f>
        <v/>
      </c>
      <c r="S41">
        <f>(E41/100000+F41/100+(O41/1000)*J41/5+R41/200)*200*I41*H41</f>
        <v/>
      </c>
      <c r="T41">
        <f>((E41*F41/25000)+((O41/1000)*J41*R41/2.5))*I41*H41</f>
        <v/>
      </c>
      <c r="U41">
        <f>(E41*F41*(O41/1000)*J41*R41*I41*H41)/12500000</f>
        <v/>
      </c>
      <c r="V41">
        <f>(S41+T41+U41)/3</f>
        <v/>
      </c>
      <c r="W41" s="5" t="n">
        <v>900</v>
      </c>
      <c r="X41">
        <f>IFERROR(V41-W41,"")</f>
        <v/>
      </c>
      <c r="Y41">
        <f>IFERROR(ABS(X41)/MAX(W41,1),"")</f>
        <v/>
      </c>
      <c r="Z41">
        <f>IFERROR((W41-(((E41/100000+F41/100+R41/200)*200*I41*H41)+((E41*F41/25000)*I41*H41))/3)/(((J41/5)*200*I41*H41)+((J41*R41/2.5)*I41*H41)+((E41*F41*J41*R41*I41*H41)/12500000))/3*1000,"")</f>
        <v/>
      </c>
    </row>
    <row r="42">
      <c r="B42" s="6" t="inlineStr">
        <is>
          <t xml:space="preserve">  ↳ NarcoGrenade</t>
        </is>
      </c>
      <c r="C42" s="6" t="inlineStr">
        <is>
          <t>Armament@Grenade</t>
        </is>
      </c>
      <c r="K42" s="5" t="n">
        <v>70000</v>
      </c>
      <c r="L42" s="5" t="n">
        <v>77</v>
      </c>
      <c r="M42" s="5" t="n">
        <v>1</v>
      </c>
      <c r="N42" s="5" t="n"/>
      <c r="O42" s="5" t="n">
        <v>6300</v>
      </c>
      <c r="P42" s="5" t="n">
        <v>1</v>
      </c>
      <c r="Q42">
        <f>L42+IF(M42&gt;1,N(N42)*(M42-1),0)</f>
        <v/>
      </c>
      <c r="R42">
        <f>IFERROR(K42*MAX(M42,1)/Q42*P42,0)</f>
        <v/>
      </c>
      <c r="AA42" s="6" t="inlineStr">
        <is>
          <t>^Grenade</t>
        </is>
      </c>
    </row>
    <row r="43">
      <c r="B43" s="6" t="inlineStr">
        <is>
          <t xml:space="preserve">  ↳ NarcoGrenadeE</t>
        </is>
      </c>
      <c r="C43" s="6" t="inlineStr">
        <is>
          <t>Armament@GrenadeELITE</t>
        </is>
      </c>
      <c r="K43" s="5" t="n">
        <v>70000</v>
      </c>
      <c r="L43" s="5" t="n">
        <v>77</v>
      </c>
      <c r="M43" s="5" t="n">
        <v>2</v>
      </c>
      <c r="N43" s="5" t="n">
        <v>3</v>
      </c>
      <c r="O43" s="5" t="n">
        <v>7300</v>
      </c>
      <c r="P43" s="5" t="n">
        <v>1</v>
      </c>
      <c r="Q43">
        <f>L43+IF(M43&gt;1,N(N43)*(M43-1),0)</f>
        <v/>
      </c>
      <c r="R43">
        <f>IFERROR(K43*MAX(M43,1)/Q43*P43,0)</f>
        <v/>
      </c>
      <c r="AA43" s="6" t="inlineStr">
        <is>
          <t>^Grenade</t>
        </is>
      </c>
    </row>
    <row r="44">
      <c r="B44" s="6" t="inlineStr">
        <is>
          <t xml:space="preserve">  ↳ RA2NarcoPistol</t>
        </is>
      </c>
      <c r="C44" s="6" t="inlineStr">
        <is>
          <t>Armament@Pistol</t>
        </is>
      </c>
      <c r="K44" s="5" t="n">
        <v>20000</v>
      </c>
      <c r="L44" s="5" t="n">
        <v>22</v>
      </c>
      <c r="M44" s="5" t="n">
        <v>1</v>
      </c>
      <c r="N44" s="5" t="n"/>
      <c r="O44" s="5" t="n">
        <v>6300</v>
      </c>
      <c r="P44" s="5" t="n">
        <v>1</v>
      </c>
      <c r="Q44">
        <f>L44+IF(M44&gt;1,N(N44)*(M44-1),0)</f>
        <v/>
      </c>
      <c r="R44">
        <f>IFERROR(K44*MAX(M44,1)/Q44*P44,0)</f>
        <v/>
      </c>
      <c r="AA44" s="6" t="inlineStr">
        <is>
          <t>^SniperWeapon</t>
        </is>
      </c>
    </row>
    <row r="45">
      <c r="B45" s="6" t="inlineStr">
        <is>
          <t xml:space="preserve">  ↳ RA2NarcoPistolsE</t>
        </is>
      </c>
      <c r="C45" s="6" t="inlineStr">
        <is>
          <t>Armament@PistolELITE</t>
        </is>
      </c>
      <c r="K45" s="5" t="n">
        <v>20000</v>
      </c>
      <c r="L45" s="5" t="n">
        <v>22</v>
      </c>
      <c r="M45" s="5" t="n">
        <v>2</v>
      </c>
      <c r="N45" s="5" t="n">
        <v>3</v>
      </c>
      <c r="O45" s="5" t="n">
        <v>7300</v>
      </c>
      <c r="P45" s="5" t="n">
        <v>1</v>
      </c>
      <c r="Q45">
        <f>L45+IF(M45&gt;1,N(N45)*(M45-1),0)</f>
        <v/>
      </c>
      <c r="R45">
        <f>IFERROR(K45*MAX(M45,1)/Q45*P45,0)</f>
        <v/>
      </c>
      <c r="AA45" s="6" t="inlineStr">
        <is>
          <t>^SniperWeapon</t>
        </is>
      </c>
    </row>
    <row r="46">
      <c r="B46" s="6" t="inlineStr">
        <is>
          <t xml:space="preserve">  ↳ NarcoGrenade</t>
        </is>
      </c>
      <c r="C46" s="6" t="inlineStr">
        <is>
          <t>Armament@GrenadeGARRISONED</t>
        </is>
      </c>
      <c r="K46" s="5" t="n">
        <v>70000</v>
      </c>
      <c r="L46" s="5" t="n">
        <v>77</v>
      </c>
      <c r="M46" s="5" t="n">
        <v>1</v>
      </c>
      <c r="N46" s="5" t="n"/>
      <c r="O46" s="5" t="n">
        <v>6300</v>
      </c>
      <c r="P46" s="5" t="n">
        <v>1</v>
      </c>
      <c r="Q46">
        <f>L46+IF(M46&gt;1,N(N46)*(M46-1),0)</f>
        <v/>
      </c>
      <c r="R46">
        <f>IFERROR(K46*MAX(M46,1)/Q46*P46,0)</f>
        <v/>
      </c>
      <c r="AA46" s="6" t="inlineStr">
        <is>
          <t>^Grenade</t>
        </is>
      </c>
    </row>
    <row r="47">
      <c r="B47" s="6" t="inlineStr">
        <is>
          <t xml:space="preserve">  ↳ NarcoGrenadeE</t>
        </is>
      </c>
      <c r="C47" s="6" t="inlineStr">
        <is>
          <t>Armament@GrenadeGARRISONEDELITE</t>
        </is>
      </c>
      <c r="K47" s="5" t="n">
        <v>70000</v>
      </c>
      <c r="L47" s="5" t="n">
        <v>77</v>
      </c>
      <c r="M47" s="5" t="n">
        <v>2</v>
      </c>
      <c r="N47" s="5" t="n">
        <v>3</v>
      </c>
      <c r="O47" s="5" t="n">
        <v>7300</v>
      </c>
      <c r="P47" s="5" t="n">
        <v>1</v>
      </c>
      <c r="Q47">
        <f>L47+IF(M47&gt;1,N(N47)*(M47-1),0)</f>
        <v/>
      </c>
      <c r="R47">
        <f>IFERROR(K47*MAX(M47,1)/Q47*P47,0)</f>
        <v/>
      </c>
      <c r="AA47" s="6" t="inlineStr">
        <is>
          <t>^Grenade</t>
        </is>
      </c>
    </row>
    <row r="48">
      <c r="B48" s="6" t="inlineStr">
        <is>
          <t xml:space="preserve">  ↳ RA2NarcoPistol</t>
        </is>
      </c>
      <c r="C48" s="6" t="inlineStr">
        <is>
          <t>Armament@PistolGARRISONED</t>
        </is>
      </c>
      <c r="K48" s="5" t="n">
        <v>20000</v>
      </c>
      <c r="L48" s="5" t="n">
        <v>22</v>
      </c>
      <c r="M48" s="5" t="n">
        <v>1</v>
      </c>
      <c r="N48" s="5" t="n"/>
      <c r="O48" s="5" t="n">
        <v>6300</v>
      </c>
      <c r="P48" s="5" t="n">
        <v>1</v>
      </c>
      <c r="Q48">
        <f>L48+IF(M48&gt;1,N(N48)*(M48-1),0)</f>
        <v/>
      </c>
      <c r="R48">
        <f>IFERROR(K48*MAX(M48,1)/Q48*P48,0)</f>
        <v/>
      </c>
      <c r="AA48" s="6" t="inlineStr">
        <is>
          <t>^SniperWeapon</t>
        </is>
      </c>
    </row>
    <row r="49">
      <c r="B49" s="6" t="inlineStr">
        <is>
          <t xml:space="preserve">  ↳ RA2NarcoPistolsE</t>
        </is>
      </c>
      <c r="C49" s="6" t="inlineStr">
        <is>
          <t>Armament@PistolGARRISONEDELITE</t>
        </is>
      </c>
      <c r="K49" s="5" t="n">
        <v>20000</v>
      </c>
      <c r="L49" s="5" t="n">
        <v>22</v>
      </c>
      <c r="M49" s="5" t="n">
        <v>2</v>
      </c>
      <c r="N49" s="5" t="n">
        <v>3</v>
      </c>
      <c r="O49" s="5" t="n">
        <v>7300</v>
      </c>
      <c r="P49" s="5" t="n">
        <v>1</v>
      </c>
      <c r="Q49">
        <f>L49+IF(M49&gt;1,N(N49)*(M49-1),0)</f>
        <v/>
      </c>
      <c r="R49">
        <f>IFERROR(K49*MAX(M49,1)/Q49*P49,0)</f>
        <v/>
      </c>
      <c r="AA49" s="6" t="inlineStr">
        <is>
          <t>^SniperWeapon</t>
        </is>
      </c>
    </row>
    <row r="50">
      <c r="A50" t="inlineStr">
        <is>
          <t>redalert2mod</t>
        </is>
      </c>
      <c r="B50" t="inlineStr">
        <is>
          <t>latinsyndicate_terrorist</t>
        </is>
      </c>
      <c r="C50" t="inlineStr">
        <is>
          <t>Terrorist</t>
        </is>
      </c>
      <c r="D50" t="inlineStr"/>
      <c r="E50" s="5" t="n">
        <v>15000</v>
      </c>
      <c r="F50" s="5" t="n">
        <v>75</v>
      </c>
      <c r="G50" t="inlineStr">
        <is>
          <t>Plate</t>
        </is>
      </c>
      <c r="H50" s="5" t="n">
        <v>1</v>
      </c>
      <c r="I50" s="5" t="n">
        <v>1</v>
      </c>
      <c r="J50" s="5" t="n">
        <v>1</v>
      </c>
      <c r="O50">
        <f>MAX(O51)</f>
        <v/>
      </c>
      <c r="R50">
        <f>R51</f>
        <v/>
      </c>
      <c r="S50">
        <f>(E50/100000+F50/100+(O50/1000)*J50/5+R50/200)*200*I50*H50</f>
        <v/>
      </c>
      <c r="T50">
        <f>((E50*F50/25000)+((O50/1000)*J50*R50/2.5))*I50*H50</f>
        <v/>
      </c>
      <c r="U50">
        <f>(E50*F50*(O50/1000)*J50*R50*I50*H50)/12500000</f>
        <v/>
      </c>
      <c r="V50">
        <f>(S50+T50+U50)/3</f>
        <v/>
      </c>
      <c r="W50" s="5" t="n">
        <v>200</v>
      </c>
      <c r="X50">
        <f>IFERROR(V50-W50,"")</f>
        <v/>
      </c>
      <c r="Y50">
        <f>IFERROR(ABS(X50)/MAX(W50,1),"")</f>
        <v/>
      </c>
      <c r="Z50">
        <f>IFERROR((W50-(((E50/100000+F50/100+R50/200)*200*I50*H50)+((E50*F50/25000)*I50*H50))/3)/(((J50/5)*200*I50*H50)+((J50*R50/2.5)*I50*H50)+((E50*F50*J50*R50*I50*H50)/12500000))/3*1000,"")</f>
        <v/>
      </c>
    </row>
    <row r="51">
      <c r="B51" s="6" t="inlineStr">
        <is>
          <t xml:space="preserve">  ↳ SuicideBomberTargeting</t>
        </is>
      </c>
      <c r="C51" s="6" t="inlineStr">
        <is>
          <t>Armament@PRIMARY</t>
        </is>
      </c>
      <c r="K51" s="5" t="n"/>
      <c r="L51" s="5" t="n"/>
      <c r="M51" s="5" t="n">
        <v>1</v>
      </c>
      <c r="N51" s="5" t="n"/>
      <c r="O51" s="5" t="n">
        <v>1536</v>
      </c>
      <c r="P51" s="5" t="n">
        <v>1</v>
      </c>
      <c r="Q51">
        <f>L51+IF(M51&gt;1,N(N51)*(M51-1),0)</f>
        <v/>
      </c>
      <c r="R51">
        <f>IFERROR(K51*MAX(M51,1)/Q51*P51,0)</f>
        <v/>
      </c>
      <c r="AA51" s="6" t="inlineStr">
        <is>
          <t>DemoTruckTargeting</t>
        </is>
      </c>
    </row>
    <row r="52">
      <c r="A52" s="3" t="inlineStr">
        <is>
          <t>VEHICLES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>
      <c r="A53" t="inlineStr">
        <is>
          <t>redalert2mod</t>
        </is>
      </c>
      <c r="B53" t="inlineStr">
        <is>
          <t>latinsyndicate_burrito</t>
        </is>
      </c>
      <c r="C53" t="inlineStr">
        <is>
          <t>Burrito</t>
        </is>
      </c>
      <c r="D53" t="inlineStr"/>
      <c r="E53" s="5" t="n">
        <v>35000</v>
      </c>
      <c r="F53" s="5" t="n">
        <v>80</v>
      </c>
      <c r="G53" t="inlineStr">
        <is>
          <t>Medium</t>
        </is>
      </c>
      <c r="H53" s="5" t="n">
        <v>0.75</v>
      </c>
      <c r="I53" s="5" t="n">
        <v>0.5</v>
      </c>
      <c r="J53" s="5" t="n">
        <v>1</v>
      </c>
      <c r="O53">
        <f>MAX(O54,O55)</f>
        <v/>
      </c>
      <c r="R53">
        <f>R54+R55</f>
        <v/>
      </c>
      <c r="S53">
        <f>(E53/100000+F53/100+(O53/1000)*J53/5+R53/200)*200*I53*H53</f>
        <v/>
      </c>
      <c r="T53">
        <f>((E53*F53/25000)+((O53/1000)*J53*R53/2.5))*I53*H53</f>
        <v/>
      </c>
      <c r="U53">
        <f>(E53*F53*(O53/1000)*J53*R53*I53*H53)/12500000</f>
        <v/>
      </c>
      <c r="V53">
        <f>(S53+T53+U53)/3</f>
        <v/>
      </c>
      <c r="W53" s="5" t="n">
        <v>1800</v>
      </c>
      <c r="X53">
        <f>IFERROR(V53-W53,"")</f>
        <v/>
      </c>
      <c r="Y53">
        <f>IFERROR(ABS(X53)/MAX(W53,1),"")</f>
        <v/>
      </c>
      <c r="Z53">
        <f>IFERROR((W53-(((E53/100000+F53/100+R53/200)*200*I53*H53)+((E53*F53/25000)*I53*H53))/3)/(((J53/5)*200*I53*H53)+((J53*R53/2.5)*I53*H53)+((E53*F53*J53*R53*I53*H53)/12500000))/3*1000,"")</f>
        <v/>
      </c>
    </row>
    <row r="54">
      <c r="B54" s="6" t="inlineStr">
        <is>
          <t xml:space="preserve">  ↳ RA2RBurritoRocket</t>
        </is>
      </c>
      <c r="C54" s="6" t="inlineStr">
        <is>
          <t>Armament</t>
        </is>
      </c>
      <c r="K54" s="5" t="n">
        <v>4000</v>
      </c>
      <c r="L54" s="5" t="n">
        <v>122</v>
      </c>
      <c r="M54" s="5" t="n">
        <v>8</v>
      </c>
      <c r="N54" s="5" t="n">
        <v>4</v>
      </c>
      <c r="O54" s="5" t="n">
        <v>12000</v>
      </c>
      <c r="P54" s="5" t="n">
        <v>1</v>
      </c>
      <c r="Q54">
        <f>L54+IF(M54&gt;1,N(N54)*(M54-1),0)</f>
        <v/>
      </c>
      <c r="R54">
        <f>IFERROR(K54*MAX(M54,1)/Q54*P54,0)</f>
        <v/>
      </c>
      <c r="AA54" s="6" t="inlineStr">
        <is>
          <t>^RA2Grenade, ^ShrapnelWeapon, ^MediumFlameWeapon, ^HeavyBomb, ^RA2HeavyMissile</t>
        </is>
      </c>
    </row>
    <row r="55">
      <c r="B55" s="6" t="inlineStr">
        <is>
          <t xml:space="preserve">  ↳ RA2RBurritoRocket</t>
        </is>
      </c>
      <c r="C55" s="6" t="inlineStr">
        <is>
          <t>Armament@PRIMARYELITE</t>
        </is>
      </c>
      <c r="K55" s="5" t="n">
        <v>4000</v>
      </c>
      <c r="L55" s="5" t="n">
        <v>122</v>
      </c>
      <c r="M55" s="5" t="n">
        <v>8</v>
      </c>
      <c r="N55" s="5" t="n">
        <v>4</v>
      </c>
      <c r="O55" s="5" t="n">
        <v>12000</v>
      </c>
      <c r="P55" s="5" t="n">
        <v>1</v>
      </c>
      <c r="Q55">
        <f>L55+IF(M55&gt;1,N(N55)*(M55-1),0)</f>
        <v/>
      </c>
      <c r="R55">
        <f>IFERROR(K55*MAX(M55,1)/Q55*P55,0)</f>
        <v/>
      </c>
      <c r="AA55" s="6" t="inlineStr">
        <is>
          <t>^RA2Grenade, ^ShrapnelWeapon, ^MediumFlameWeapon, ^HeavyBomb, ^RA2HeavyMissile</t>
        </is>
      </c>
    </row>
    <row r="56">
      <c r="A56" t="inlineStr">
        <is>
          <t>redalert2mod</t>
        </is>
      </c>
      <c r="B56" t="inlineStr">
        <is>
          <t>latinsyndicate_carteltruck</t>
        </is>
      </c>
      <c r="C56" t="inlineStr">
        <is>
          <t>Cartel Truck</t>
        </is>
      </c>
      <c r="D56" t="inlineStr"/>
      <c r="E56" s="5" t="n">
        <v>167500</v>
      </c>
      <c r="F56" s="5" t="n">
        <v>70</v>
      </c>
      <c r="G56" t="inlineStr">
        <is>
          <t>Heavy</t>
        </is>
      </c>
      <c r="H56" s="5" t="n">
        <v>0.75</v>
      </c>
      <c r="I56" s="5" t="n">
        <v>1.25</v>
      </c>
      <c r="J56" s="5" t="n">
        <v>1</v>
      </c>
      <c r="O56">
        <f>MAX(O57,O58)</f>
        <v/>
      </c>
      <c r="R56">
        <f>R57+R58</f>
        <v/>
      </c>
      <c r="S56">
        <f>(E56/100000+F56/100+(O56/1000)*J56/5+R56/200)*200*I56*H56</f>
        <v/>
      </c>
      <c r="T56">
        <f>((E56*F56/25000)+((O56/1000)*J56*R56/2.5))*I56*H56</f>
        <v/>
      </c>
      <c r="U56">
        <f>(E56*F56*(O56/1000)*J56*R56*I56*H56)/12500000</f>
        <v/>
      </c>
      <c r="V56">
        <f>(S56+T56+U56)/3</f>
        <v/>
      </c>
      <c r="W56" s="5" t="n">
        <v>6000</v>
      </c>
      <c r="X56">
        <f>IFERROR(V56-W56,"")</f>
        <v/>
      </c>
      <c r="Y56">
        <f>IFERROR(ABS(X56)/MAX(W56,1),"")</f>
        <v/>
      </c>
      <c r="Z56">
        <f>IFERROR((W56-(((E56/100000+F56/100+R56/200)*200*I56*H56)+((E56*F56/25000)*I56*H56))/3)/(((J56/5)*200*I56*H56)+((J56*R56/2.5)*I56*H56)+((E56*F56*J56*R56*I56*H56)/12500000))/3*1000,"")</f>
        <v/>
      </c>
    </row>
    <row r="57">
      <c r="B57" s="6" t="inlineStr">
        <is>
          <t xml:space="preserve">  ↳ RA2Narco60mm</t>
        </is>
      </c>
      <c r="C57" s="6" t="inlineStr">
        <is>
          <t>Armament@AG</t>
        </is>
      </c>
      <c r="K57" s="5" t="n">
        <v>16000</v>
      </c>
      <c r="L57" s="5" t="n">
        <v>20</v>
      </c>
      <c r="M57" s="5" t="n">
        <v>1</v>
      </c>
      <c r="N57" s="5" t="n"/>
      <c r="O57" s="5" t="n">
        <v>5800</v>
      </c>
      <c r="P57" s="5" t="n">
        <v>1</v>
      </c>
      <c r="Q57">
        <f>L57+IF(M57&gt;1,N(N57)*(M57-1),0)</f>
        <v/>
      </c>
      <c r="R57">
        <f>IFERROR(K57*MAX(M57,1)/Q57*P57,0)</f>
        <v/>
      </c>
      <c r="AA57" s="6" t="inlineStr">
        <is>
          <t>^RA2MediumCannon</t>
        </is>
      </c>
    </row>
    <row r="58">
      <c r="B58" s="6" t="inlineStr">
        <is>
          <t xml:space="preserve">  ↳ RA2Narco60mmE</t>
        </is>
      </c>
      <c r="C58" s="6" t="inlineStr">
        <is>
          <t>Armament@AGE</t>
        </is>
      </c>
      <c r="K58" s="5" t="n">
        <v>16000</v>
      </c>
      <c r="L58" s="5" t="n">
        <v>20</v>
      </c>
      <c r="M58" s="5" t="n">
        <v>2</v>
      </c>
      <c r="N58" s="5" t="n">
        <v>3</v>
      </c>
      <c r="O58" s="5" t="n">
        <v>6800</v>
      </c>
      <c r="P58" s="5" t="n">
        <v>1</v>
      </c>
      <c r="Q58">
        <f>L58+IF(M58&gt;1,N(N58)*(M58-1),0)</f>
        <v/>
      </c>
      <c r="R58">
        <f>IFERROR(K58*MAX(M58,1)/Q58*P58,0)</f>
        <v/>
      </c>
      <c r="AA58" s="6" t="inlineStr">
        <is>
          <t>^RA2MediumCannon</t>
        </is>
      </c>
    </row>
    <row r="59">
      <c r="A59" t="inlineStr">
        <is>
          <t>redalert2mod</t>
        </is>
      </c>
      <c r="B59" t="inlineStr">
        <is>
          <t>latinsyndicate_collectiontruck</t>
        </is>
      </c>
      <c r="C59" t="inlineStr">
        <is>
          <t>Collection Truck</t>
        </is>
      </c>
      <c r="D59" t="inlineStr"/>
      <c r="E59" s="5" t="n">
        <v>85000</v>
      </c>
      <c r="F59" s="5" t="n">
        <v>115</v>
      </c>
      <c r="G59" t="inlineStr">
        <is>
          <t>Medium</t>
        </is>
      </c>
      <c r="H59" s="5" t="n">
        <v>1</v>
      </c>
      <c r="I59" s="5" t="n">
        <v>1</v>
      </c>
      <c r="J59" s="5" t="n">
        <v>1</v>
      </c>
      <c r="W59" s="5" t="n">
        <v>1000</v>
      </c>
    </row>
    <row r="60">
      <c r="A60" t="inlineStr">
        <is>
          <t>redalert2mod</t>
        </is>
      </c>
      <c r="B60" t="inlineStr">
        <is>
          <t>latinsyndicate_demolitiontruck</t>
        </is>
      </c>
      <c r="C60" t="inlineStr">
        <is>
          <t>Demolition Truck</t>
        </is>
      </c>
      <c r="D60" t="inlineStr"/>
      <c r="E60" s="5" t="n">
        <v>30000</v>
      </c>
      <c r="F60" s="5" t="n">
        <v>100</v>
      </c>
      <c r="G60" t="inlineStr">
        <is>
          <t>Light</t>
        </is>
      </c>
      <c r="H60" s="5" t="n">
        <v>1</v>
      </c>
      <c r="I60" s="5" t="n">
        <v>1</v>
      </c>
      <c r="J60" s="5" t="n">
        <v>1</v>
      </c>
      <c r="O60">
        <f>MAX(O61)</f>
        <v/>
      </c>
      <c r="R60">
        <f>R61</f>
        <v/>
      </c>
      <c r="S60">
        <f>(E60/100000+F60/100+(O60/1000)*J60/5+R60/200)*200*I60*H60</f>
        <v/>
      </c>
      <c r="T60">
        <f>((E60*F60/25000)+((O60/1000)*J60*R60/2.5))*I60*H60</f>
        <v/>
      </c>
      <c r="U60">
        <f>(E60*F60*(O60/1000)*J60*R60*I60*H60)/12500000</f>
        <v/>
      </c>
      <c r="V60">
        <f>(S60+T60+U60)/3</f>
        <v/>
      </c>
      <c r="W60" s="5" t="n">
        <v>1500</v>
      </c>
      <c r="X60">
        <f>IFERROR(V60-W60,"")</f>
        <v/>
      </c>
      <c r="Y60">
        <f>IFERROR(ABS(X60)/MAX(W60,1),"")</f>
        <v/>
      </c>
      <c r="Z60">
        <f>IFERROR((W60-(((E60/100000+F60/100+R60/200)*200*I60*H60)+((E60*F60/25000)*I60*H60))/3)/(((J60/5)*200*I60*H60)+((J60*R60/2.5)*I60*H60)+((E60*F60*J60*R60*I60*H60)/12500000))/3*1000,"")</f>
        <v/>
      </c>
    </row>
    <row r="61">
      <c r="B61" s="6" t="inlineStr">
        <is>
          <t xml:space="preserve">  ↳ DemoTruckTargeting</t>
        </is>
      </c>
      <c r="C61" s="6" t="inlineStr">
        <is>
          <t>Armament@PRIMARY</t>
        </is>
      </c>
      <c r="K61" s="5" t="n"/>
      <c r="L61" s="5" t="n"/>
      <c r="M61" s="5" t="n">
        <v>1</v>
      </c>
      <c r="N61" s="5" t="n"/>
      <c r="O61" s="5" t="n">
        <v>2000</v>
      </c>
      <c r="P61" s="5" t="n">
        <v>1</v>
      </c>
      <c r="Q61">
        <f>L61+IF(M61&gt;1,N(N61)*(M61-1),0)</f>
        <v/>
      </c>
      <c r="R61">
        <f>IFERROR(K61*MAX(M61,1)/Q61*P61,0)</f>
        <v/>
      </c>
      <c r="AA61" s="6" t="inlineStr"/>
    </row>
    <row r="62">
      <c r="A62" t="inlineStr">
        <is>
          <t>redalert2mod</t>
        </is>
      </c>
      <c r="B62" t="inlineStr">
        <is>
          <t>latinsyndicate_diablo</t>
        </is>
      </c>
      <c r="C62" t="inlineStr">
        <is>
          <t>Diablo</t>
        </is>
      </c>
      <c r="D62" t="inlineStr"/>
      <c r="E62" s="5" t="n">
        <v>45000</v>
      </c>
      <c r="F62" s="5" t="n">
        <v>125</v>
      </c>
      <c r="G62" t="inlineStr">
        <is>
          <t>Light</t>
        </is>
      </c>
      <c r="H62" s="5" t="n">
        <v>1</v>
      </c>
      <c r="I62" s="5" t="n">
        <v>1</v>
      </c>
      <c r="J62" s="5" t="n">
        <v>1</v>
      </c>
      <c r="O62">
        <f>MAX(O63,O64,O65,O66)</f>
        <v/>
      </c>
      <c r="R62">
        <f>R63+R64+R65+R66</f>
        <v/>
      </c>
      <c r="S62">
        <f>(E62/100000+F62/100+(O62/1000)*J62/5+R62/200)*200*I62*H62</f>
        <v/>
      </c>
      <c r="T62">
        <f>((E62*F62/25000)+((O62/1000)*J62*R62/2.5))*I62*H62</f>
        <v/>
      </c>
      <c r="U62">
        <f>(E62*F62*(O62/1000)*J62*R62*I62*H62)/12500000</f>
        <v/>
      </c>
      <c r="V62">
        <f>(S62+T62+U62)/3</f>
        <v/>
      </c>
      <c r="W62" s="5" t="n">
        <v>1200</v>
      </c>
      <c r="X62">
        <f>IFERROR(V62-W62,"")</f>
        <v/>
      </c>
      <c r="Y62">
        <f>IFERROR(ABS(X62)/MAX(W62,1),"")</f>
        <v/>
      </c>
      <c r="Z62">
        <f>IFERROR((W62-(((E62/100000+F62/100+R62/200)*200*I62*H62)+((E62*F62/25000)*I62*H62))/3)/(((J62/5)*200*I62*H62)+((J62*R62/2.5)*I62*H62)+((E62*F62*J62*R62*I62*H62)/12500000))/3*1000,"")</f>
        <v/>
      </c>
    </row>
    <row r="63">
      <c r="B63" s="6" t="inlineStr">
        <is>
          <t xml:space="preserve">  ↳ DiabloCannon</t>
        </is>
      </c>
      <c r="C63" s="6" t="inlineStr">
        <is>
          <t>Armament</t>
        </is>
      </c>
      <c r="K63" s="5" t="n">
        <v>2000</v>
      </c>
      <c r="L63" s="5" t="n">
        <v>16</v>
      </c>
      <c r="M63" s="5" t="n">
        <v>1</v>
      </c>
      <c r="N63" s="5" t="n"/>
      <c r="O63" s="5" t="n">
        <v>6300</v>
      </c>
      <c r="P63" s="5" t="n">
        <v>1</v>
      </c>
      <c r="Q63">
        <f>L63+IF(M63&gt;1,N(N63)*(M63-1),0)</f>
        <v/>
      </c>
      <c r="R63">
        <f>IFERROR(K63*MAX(M63,1)/Q63*P63,0)</f>
        <v/>
      </c>
      <c r="AA63" s="6" t="inlineStr">
        <is>
          <t>^LightMissile, ^TankDestroyerCannon, ^Chaingun, ^RA2FlakWeapon</t>
        </is>
      </c>
    </row>
    <row r="64">
      <c r="B64" s="6" t="inlineStr">
        <is>
          <t xml:space="preserve">  ↳ DiabloCannonE</t>
        </is>
      </c>
      <c r="C64" s="6" t="inlineStr">
        <is>
          <t>Armament@Elite</t>
        </is>
      </c>
      <c r="K64" s="5" t="n">
        <v>2000</v>
      </c>
      <c r="L64" s="5" t="n">
        <v>16</v>
      </c>
      <c r="M64" s="5" t="n">
        <v>2</v>
      </c>
      <c r="N64" s="5" t="n">
        <v>3</v>
      </c>
      <c r="O64" s="5" t="n">
        <v>7300</v>
      </c>
      <c r="P64" s="5" t="n">
        <v>1</v>
      </c>
      <c r="Q64">
        <f>L64+IF(M64&gt;1,N(N64)*(M64-1),0)</f>
        <v/>
      </c>
      <c r="R64">
        <f>IFERROR(K64*MAX(M64,1)/Q64*P64,0)</f>
        <v/>
      </c>
      <c r="AA64" s="6" t="inlineStr">
        <is>
          <t>^LightMissile, ^TankDestroyerCannon, ^Chaingun, ^RA2FlakWeapon</t>
        </is>
      </c>
    </row>
    <row r="65">
      <c r="B65" s="6" t="inlineStr">
        <is>
          <t xml:space="preserve">  ↳ DiabloCannonAA</t>
        </is>
      </c>
      <c r="C65" s="6" t="inlineStr">
        <is>
          <t>Armament@AA</t>
        </is>
      </c>
      <c r="K65" s="5" t="n">
        <v>2000</v>
      </c>
      <c r="L65" s="5" t="n">
        <v>16</v>
      </c>
      <c r="M65" s="5" t="n">
        <v>1</v>
      </c>
      <c r="N65" s="5" t="n"/>
      <c r="O65" s="5" t="n">
        <v>9450</v>
      </c>
      <c r="P65" s="5" t="n">
        <v>1</v>
      </c>
      <c r="Q65">
        <f>L65+IF(M65&gt;1,N(N65)*(M65-1),0)</f>
        <v/>
      </c>
      <c r="R65">
        <f>IFERROR(K65*MAX(M65,1)/Q65*P65,0)</f>
        <v/>
      </c>
      <c r="AA65" s="6" t="inlineStr">
        <is>
          <t>^LightMissile, ^TankDestroyerCannon, ^Chaingun, ^RA2FlakWeapon</t>
        </is>
      </c>
    </row>
    <row r="66">
      <c r="B66" s="6" t="inlineStr">
        <is>
          <t xml:space="preserve">  ↳ DiabloCannonAAE</t>
        </is>
      </c>
      <c r="C66" s="6" t="inlineStr">
        <is>
          <t>Armament@AAE</t>
        </is>
      </c>
      <c r="K66" s="5" t="n">
        <v>2000</v>
      </c>
      <c r="L66" s="5" t="n">
        <v>16</v>
      </c>
      <c r="M66" s="5" t="n">
        <v>2</v>
      </c>
      <c r="N66" s="5" t="n">
        <v>3</v>
      </c>
      <c r="O66" s="5" t="n">
        <v>10450</v>
      </c>
      <c r="P66" s="5" t="n">
        <v>1</v>
      </c>
      <c r="Q66">
        <f>L66+IF(M66&gt;1,N(N66)*(M66-1),0)</f>
        <v/>
      </c>
      <c r="R66">
        <f>IFERROR(K66*MAX(M66,1)/Q66*P66,0)</f>
        <v/>
      </c>
      <c r="AA66" s="6" t="inlineStr">
        <is>
          <t>^LightMissile, ^TankDestroyerCannon, ^Chaingun, ^RA2FlakWeapon</t>
        </is>
      </c>
    </row>
    <row r="67">
      <c r="A67" t="inlineStr">
        <is>
          <t>redalert2mod</t>
        </is>
      </c>
      <c r="B67" t="inlineStr">
        <is>
          <t>latinsyndicate_lars</t>
        </is>
      </c>
      <c r="C67" t="inlineStr">
        <is>
          <t>LARS</t>
        </is>
      </c>
      <c r="D67" t="inlineStr"/>
      <c r="E67" s="5" t="n">
        <v>47500</v>
      </c>
      <c r="F67" s="5" t="n">
        <v>70</v>
      </c>
      <c r="G67" t="inlineStr">
        <is>
          <t>Medium</t>
        </is>
      </c>
      <c r="H67" s="5" t="n">
        <v>0.75</v>
      </c>
      <c r="I67" s="5" t="n">
        <v>1</v>
      </c>
      <c r="J67" s="5" t="n">
        <v>1</v>
      </c>
      <c r="O67">
        <f>MAX(O68,O69)</f>
        <v/>
      </c>
      <c r="R67">
        <f>R68+R69</f>
        <v/>
      </c>
      <c r="S67">
        <f>(E67/100000+F67/100+(O67/1000)*J67/5+R67/200)*200*I67*H67</f>
        <v/>
      </c>
      <c r="T67">
        <f>((E67*F67/25000)+((O67/1000)*J67*R67/2.5))*I67*H67</f>
        <v/>
      </c>
      <c r="U67">
        <f>(E67*F67*(O67/1000)*J67*R67*I67*H67)/12500000</f>
        <v/>
      </c>
      <c r="V67">
        <f>(S67+T67+U67)/3</f>
        <v/>
      </c>
      <c r="W67" s="5" t="n">
        <v>1300</v>
      </c>
      <c r="X67">
        <f>IFERROR(V67-W67,"")</f>
        <v/>
      </c>
      <c r="Y67">
        <f>IFERROR(ABS(X67)/MAX(W67,1),"")</f>
        <v/>
      </c>
      <c r="Z67">
        <f>IFERROR((W67-(((E67/100000+F67/100+R67/200)*200*I67*H67)+((E67*F67/25000)*I67*H67))/3)/(((J67/5)*200*I67*H67)+((J67*R67/2.5)*I67*H67)+((E67*F67*J67*R67*I67*H67)/12500000))/3*1000,"")</f>
        <v/>
      </c>
    </row>
    <row r="68">
      <c r="B68" s="6" t="inlineStr">
        <is>
          <t xml:space="preserve">  ↳ RA2LarsRocket</t>
        </is>
      </c>
      <c r="C68" s="6" t="inlineStr">
        <is>
          <t>Armament</t>
        </is>
      </c>
      <c r="K68" s="5" t="n">
        <v>2000</v>
      </c>
      <c r="L68" s="5" t="n">
        <v>139</v>
      </c>
      <c r="M68" s="5" t="n">
        <v>10</v>
      </c>
      <c r="N68" s="5" t="n">
        <v>4</v>
      </c>
      <c r="O68" s="5" t="n">
        <v>10130</v>
      </c>
      <c r="P68" s="5" t="n">
        <v>1</v>
      </c>
      <c r="Q68">
        <f>L68+IF(M68&gt;1,N(N68)*(M68-1),0)</f>
        <v/>
      </c>
      <c r="R68">
        <f>IFERROR(K68*MAX(M68,1)/Q68*P68,0)</f>
        <v/>
      </c>
      <c r="AA68" s="6" t="inlineStr">
        <is>
          <t>^D2KRocket, ^HeavyAAWeapon, ^LightMissile, ^TankDestroyerCannon, ^RA2MediumMissile</t>
        </is>
      </c>
    </row>
    <row r="69">
      <c r="B69" s="6" t="inlineStr">
        <is>
          <t xml:space="preserve">  ↳ RA2LarsRocket</t>
        </is>
      </c>
      <c r="C69" s="6" t="inlineStr">
        <is>
          <t>Armament@PRIMARYELITE</t>
        </is>
      </c>
      <c r="K69" s="5" t="n">
        <v>2000</v>
      </c>
      <c r="L69" s="5" t="n">
        <v>139</v>
      </c>
      <c r="M69" s="5" t="n">
        <v>10</v>
      </c>
      <c r="N69" s="5" t="n">
        <v>4</v>
      </c>
      <c r="O69" s="5" t="n">
        <v>10130</v>
      </c>
      <c r="P69" s="5" t="n">
        <v>1</v>
      </c>
      <c r="Q69">
        <f>L69+IF(M69&gt;1,N(N69)*(M69-1),0)</f>
        <v/>
      </c>
      <c r="R69">
        <f>IFERROR(K69*MAX(M69,1)/Q69*P69,0)</f>
        <v/>
      </c>
      <c r="AA69" s="6" t="inlineStr">
        <is>
          <t>^D2KRocket, ^HeavyAAWeapon, ^LightMissile, ^TankDestroyerCannon, ^RA2MediumMissile</t>
        </is>
      </c>
    </row>
    <row r="70">
      <c r="A70" t="inlineStr">
        <is>
          <t>redalert2mod</t>
        </is>
      </c>
      <c r="B70" t="inlineStr">
        <is>
          <t>latinsyndicate_latinapc</t>
        </is>
      </c>
      <c r="C70" t="inlineStr">
        <is>
          <t>Latin APC</t>
        </is>
      </c>
      <c r="D70" t="inlineStr"/>
      <c r="E70" s="5" t="n">
        <v>180000</v>
      </c>
      <c r="F70" s="5" t="n">
        <v>90</v>
      </c>
      <c r="G70" t="inlineStr">
        <is>
          <t>Medium</t>
        </is>
      </c>
      <c r="H70" s="5" t="n">
        <v>1</v>
      </c>
      <c r="I70" s="5" t="n">
        <v>1</v>
      </c>
      <c r="J70" s="5" t="n">
        <v>1</v>
      </c>
      <c r="O70">
        <f>MAX(O71,O72,O73,O74,O75,O76,O77,O78,O79,O80,O81,O82)</f>
        <v/>
      </c>
      <c r="R70">
        <f>R71+R72+R73+R74+R75+R76+R77+R78+R79+R80+R81+R82</f>
        <v/>
      </c>
      <c r="S70">
        <f>(E70/100000+F70/100+(O70/1000)*J70/5+R70/200)*200*I70*H70</f>
        <v/>
      </c>
      <c r="T70">
        <f>((E70*F70/25000)+((O70/1000)*J70*R70/2.5))*I70*H70</f>
        <v/>
      </c>
      <c r="U70">
        <f>(E70*F70*(O70/1000)*J70*R70*I70*H70)/12500000</f>
        <v/>
      </c>
      <c r="V70">
        <f>(S70+T70+U70)/3</f>
        <v/>
      </c>
      <c r="W70" s="5" t="n">
        <v>2400</v>
      </c>
      <c r="X70">
        <f>IFERROR(V70-W70,"")</f>
        <v/>
      </c>
      <c r="Y70">
        <f>IFERROR(ABS(X70)/MAX(W70,1),"")</f>
        <v/>
      </c>
      <c r="Z70">
        <f>IFERROR((W70-(((E70/100000+F70/100+R70/200)*200*I70*H70)+((E70*F70/25000)*I70*H70))/3)/(((J70/5)*200*I70*H70)+((J70*R70/2.5)*I70*H70)+((E70*F70*J70*R70*I70*H70)/12500000))/3*1000,"")</f>
        <v/>
      </c>
    </row>
    <row r="71">
      <c r="B71" s="6" t="inlineStr">
        <is>
          <t xml:space="preserve">  ↳ RA2APCFlakCannon</t>
        </is>
      </c>
      <c r="C71" s="6" t="inlineStr">
        <is>
          <t>Armament@Flak</t>
        </is>
      </c>
      <c r="K71" s="5" t="n">
        <v>2000</v>
      </c>
      <c r="L71" s="5" t="n">
        <v>12</v>
      </c>
      <c r="M71" s="5" t="n">
        <v>1</v>
      </c>
      <c r="N71" s="5" t="n"/>
      <c r="O71" s="5" t="n">
        <v>5740</v>
      </c>
      <c r="P71" s="5" t="n">
        <v>1</v>
      </c>
      <c r="Q71">
        <f>L71+IF(M71&gt;1,N(N71)*(M71-1),0)</f>
        <v/>
      </c>
      <c r="R71">
        <f>IFERROR(K71*MAX(M71,1)/Q71*P71,0)</f>
        <v/>
      </c>
      <c r="AA71" s="6" t="inlineStr">
        <is>
          <t>^LightMissile, ^TankDestroyerCannon, ^Chaingun, ^RA2FlakWeapon</t>
        </is>
      </c>
    </row>
    <row r="72">
      <c r="B72" s="6" t="inlineStr">
        <is>
          <t xml:space="preserve">  ↳ RA2APCFlakCannonE</t>
        </is>
      </c>
      <c r="C72" s="6" t="inlineStr">
        <is>
          <t>Armament@FlakELITE</t>
        </is>
      </c>
      <c r="K72" s="5" t="n">
        <v>2000</v>
      </c>
      <c r="L72" s="5" t="n">
        <v>12</v>
      </c>
      <c r="M72" s="5" t="n">
        <v>2</v>
      </c>
      <c r="N72" s="5" t="n">
        <v>3</v>
      </c>
      <c r="O72" s="5" t="n">
        <v>6740</v>
      </c>
      <c r="P72" s="5" t="n">
        <v>1</v>
      </c>
      <c r="Q72">
        <f>L72+IF(M72&gt;1,N(N72)*(M72-1),0)</f>
        <v/>
      </c>
      <c r="R72">
        <f>IFERROR(K72*MAX(M72,1)/Q72*P72,0)</f>
        <v/>
      </c>
      <c r="AA72" s="6" t="inlineStr">
        <is>
          <t>^LightMissile, ^TankDestroyerCannon, ^Chaingun, ^RA2FlakWeapon</t>
        </is>
      </c>
    </row>
    <row r="73">
      <c r="B73" s="6" t="inlineStr">
        <is>
          <t xml:space="preserve">  ↳ RA2APCFlakCannonAA</t>
        </is>
      </c>
      <c r="C73" s="6" t="inlineStr">
        <is>
          <t>Armament@FlakAA</t>
        </is>
      </c>
      <c r="K73" s="5" t="n">
        <v>2000</v>
      </c>
      <c r="L73" s="5" t="n">
        <v>12</v>
      </c>
      <c r="M73" s="5" t="n">
        <v>1</v>
      </c>
      <c r="N73" s="5" t="n"/>
      <c r="O73" s="5" t="n">
        <v>8610</v>
      </c>
      <c r="P73" s="5" t="n">
        <v>1</v>
      </c>
      <c r="Q73">
        <f>L73+IF(M73&gt;1,N(N73)*(M73-1),0)</f>
        <v/>
      </c>
      <c r="R73">
        <f>IFERROR(K73*MAX(M73,1)/Q73*P73,0)</f>
        <v/>
      </c>
      <c r="AA73" s="6" t="inlineStr">
        <is>
          <t>^LightMissile, ^TankDestroyerCannon, ^Chaingun, ^RA2FlakWeapon</t>
        </is>
      </c>
    </row>
    <row r="74">
      <c r="B74" s="6" t="inlineStr">
        <is>
          <t xml:space="preserve">  ↳ RA2APCFlakCannonAAE</t>
        </is>
      </c>
      <c r="C74" s="6" t="inlineStr">
        <is>
          <t>Armament@FlakAAELITE</t>
        </is>
      </c>
      <c r="K74" s="5" t="n">
        <v>2000</v>
      </c>
      <c r="L74" s="5" t="n">
        <v>12</v>
      </c>
      <c r="M74" s="5" t="n">
        <v>2</v>
      </c>
      <c r="N74" s="5" t="n">
        <v>3</v>
      </c>
      <c r="O74" s="5" t="n">
        <v>9610</v>
      </c>
      <c r="P74" s="5" t="n">
        <v>1</v>
      </c>
      <c r="Q74">
        <f>L74+IF(M74&gt;1,N(N74)*(M74-1),0)</f>
        <v/>
      </c>
      <c r="R74">
        <f>IFERROR(K74*MAX(M74,1)/Q74*P74,0)</f>
        <v/>
      </c>
      <c r="AA74" s="6" t="inlineStr">
        <is>
          <t>^LightMissile, ^TankDestroyerCannon, ^Chaingun, ^RA2FlakWeapon</t>
        </is>
      </c>
    </row>
    <row r="75">
      <c r="B75" s="6" t="inlineStr">
        <is>
          <t xml:space="preserve">  ↳ RA2APCMachineGun</t>
        </is>
      </c>
      <c r="C75" s="6" t="inlineStr">
        <is>
          <t>Armament@Machinegun</t>
        </is>
      </c>
      <c r="K75" s="5" t="n">
        <v>2000</v>
      </c>
      <c r="L75" s="5" t="n">
        <v>12</v>
      </c>
      <c r="M75" s="5" t="n">
        <v>4</v>
      </c>
      <c r="N75" s="5" t="n">
        <v>4</v>
      </c>
      <c r="O75" s="5" t="n">
        <v>5740</v>
      </c>
      <c r="P75" s="5" t="n">
        <v>1</v>
      </c>
      <c r="Q75">
        <f>L75+IF(M75&gt;1,N(N75)*(M75-1),0)</f>
        <v/>
      </c>
      <c r="R75">
        <f>IFERROR(K75*MAX(M75,1)/Q75*P75,0)</f>
        <v/>
      </c>
      <c r="AA75" s="6" t="inlineStr">
        <is>
          <t>^RA2SmallArms, ^RA2Chaingun</t>
        </is>
      </c>
    </row>
    <row r="76">
      <c r="B76" s="6" t="inlineStr">
        <is>
          <t xml:space="preserve">  ↳ RA2APCMachineGunE</t>
        </is>
      </c>
      <c r="C76" s="6" t="inlineStr">
        <is>
          <t>Armament@MachinegunELITE</t>
        </is>
      </c>
      <c r="K76" s="5" t="n">
        <v>2000</v>
      </c>
      <c r="L76" s="5" t="n">
        <v>12</v>
      </c>
      <c r="M76" s="5" t="n">
        <v>8</v>
      </c>
      <c r="N76" s="5" t="n">
        <v>2</v>
      </c>
      <c r="O76" s="5" t="n">
        <v>6740</v>
      </c>
      <c r="P76" s="5" t="n">
        <v>1</v>
      </c>
      <c r="Q76">
        <f>L76+IF(M76&gt;1,N(N76)*(M76-1),0)</f>
        <v/>
      </c>
      <c r="R76">
        <f>IFERROR(K76*MAX(M76,1)/Q76*P76,0)</f>
        <v/>
      </c>
      <c r="AA76" s="6" t="inlineStr">
        <is>
          <t>^RA2SmallArms, ^RA2Chaingun</t>
        </is>
      </c>
    </row>
    <row r="77">
      <c r="B77" s="6" t="inlineStr">
        <is>
          <t xml:space="preserve">  ↳ RA2APCMachineGunAA</t>
        </is>
      </c>
      <c r="C77" s="6" t="inlineStr">
        <is>
          <t>Armament@MachinegunAA</t>
        </is>
      </c>
      <c r="K77" s="5" t="n">
        <v>2000</v>
      </c>
      <c r="L77" s="5" t="n">
        <v>12</v>
      </c>
      <c r="M77" s="5" t="n">
        <v>4</v>
      </c>
      <c r="N77" s="5" t="n">
        <v>4</v>
      </c>
      <c r="O77" s="5" t="n">
        <v>8610</v>
      </c>
      <c r="P77" s="5" t="n">
        <v>1</v>
      </c>
      <c r="Q77">
        <f>L77+IF(M77&gt;1,N(N77)*(M77-1),0)</f>
        <v/>
      </c>
      <c r="R77">
        <f>IFERROR(K77*MAX(M77,1)/Q77*P77,0)</f>
        <v/>
      </c>
      <c r="AA77" s="6" t="inlineStr">
        <is>
          <t>^RA2SmallArms, ^RA2Chaingun</t>
        </is>
      </c>
    </row>
    <row r="78">
      <c r="B78" s="6" t="inlineStr">
        <is>
          <t xml:space="preserve">  ↳ RA2APCMachineGunAAE</t>
        </is>
      </c>
      <c r="C78" s="6" t="inlineStr">
        <is>
          <t>Armament@MachinegunAAELITE</t>
        </is>
      </c>
      <c r="K78" s="5" t="n">
        <v>2000</v>
      </c>
      <c r="L78" s="5" t="n">
        <v>12</v>
      </c>
      <c r="M78" s="5" t="n">
        <v>8</v>
      </c>
      <c r="N78" s="5" t="n">
        <v>2</v>
      </c>
      <c r="O78" s="5" t="n">
        <v>9610</v>
      </c>
      <c r="P78" s="5" t="n">
        <v>1</v>
      </c>
      <c r="Q78">
        <f>L78+IF(M78&gt;1,N(N78)*(M78-1),0)</f>
        <v/>
      </c>
      <c r="R78">
        <f>IFERROR(K78*MAX(M78,1)/Q78*P78,0)</f>
        <v/>
      </c>
      <c r="AA78" s="6" t="inlineStr">
        <is>
          <t>^RA2SmallArms, ^RA2Chaingun</t>
        </is>
      </c>
    </row>
    <row r="79">
      <c r="B79" s="6" t="inlineStr">
        <is>
          <t xml:space="preserve">  ↳ RA2APCRocket</t>
        </is>
      </c>
      <c r="C79" s="6" t="inlineStr">
        <is>
          <t>Armament@Rockets</t>
        </is>
      </c>
      <c r="K79" s="5" t="n">
        <v>2000</v>
      </c>
      <c r="L79" s="5" t="n">
        <v>53</v>
      </c>
      <c r="M79" s="5" t="n">
        <v>4</v>
      </c>
      <c r="N79" s="5" t="n">
        <v>3</v>
      </c>
      <c r="O79" s="5" t="n">
        <v>5740</v>
      </c>
      <c r="P79" s="5" t="n">
        <v>1</v>
      </c>
      <c r="Q79">
        <f>L79+IF(M79&gt;1,N(N79)*(M79-1),0)</f>
        <v/>
      </c>
      <c r="R79">
        <f>IFERROR(K79*MAX(M79,1)/Q79*P79,0)</f>
        <v/>
      </c>
      <c r="AA79" s="6" t="inlineStr">
        <is>
          <t>^HeavyBomb, ^HeavyAAWeapon, ^FlakWeapon, ^RA2MediumMissile</t>
        </is>
      </c>
    </row>
    <row r="80">
      <c r="B80" s="6" t="inlineStr">
        <is>
          <t xml:space="preserve">  ↳ RA2APCRocketE</t>
        </is>
      </c>
      <c r="C80" s="6" t="inlineStr">
        <is>
          <t>Armament@RocketsELITE</t>
        </is>
      </c>
      <c r="K80" s="5" t="n">
        <v>2000</v>
      </c>
      <c r="L80" s="5" t="n">
        <v>53</v>
      </c>
      <c r="M80" s="5" t="n">
        <v>8</v>
      </c>
      <c r="N80" s="5" t="n">
        <v>3</v>
      </c>
      <c r="O80" s="5" t="n">
        <v>6740</v>
      </c>
      <c r="P80" s="5" t="n">
        <v>1</v>
      </c>
      <c r="Q80">
        <f>L80+IF(M80&gt;1,N(N80)*(M80-1),0)</f>
        <v/>
      </c>
      <c r="R80">
        <f>IFERROR(K80*MAX(M80,1)/Q80*P80,0)</f>
        <v/>
      </c>
      <c r="AA80" s="6" t="inlineStr">
        <is>
          <t>^HeavyBomb, ^HeavyAAWeapon, ^FlakWeapon, ^RA2MediumMissile</t>
        </is>
      </c>
    </row>
    <row r="81">
      <c r="B81" s="6" t="inlineStr">
        <is>
          <t xml:space="preserve">  ↳ RA2APCRocketAA</t>
        </is>
      </c>
      <c r="C81" s="6" t="inlineStr">
        <is>
          <t>Armament@RocketsAA</t>
        </is>
      </c>
      <c r="K81" s="5" t="n">
        <v>2000</v>
      </c>
      <c r="L81" s="5" t="n">
        <v>53</v>
      </c>
      <c r="M81" s="5" t="n">
        <v>4</v>
      </c>
      <c r="N81" s="5" t="n">
        <v>3</v>
      </c>
      <c r="O81" s="5" t="n">
        <v>8610</v>
      </c>
      <c r="P81" s="5" t="n">
        <v>1</v>
      </c>
      <c r="Q81">
        <f>L81+IF(M81&gt;1,N(N81)*(M81-1),0)</f>
        <v/>
      </c>
      <c r="R81">
        <f>IFERROR(K81*MAX(M81,1)/Q81*P81,0)</f>
        <v/>
      </c>
      <c r="AA81" s="6" t="inlineStr">
        <is>
          <t>^HeavyBomb, ^HeavyAAWeapon, ^FlakWeapon, ^RA2MediumMissile</t>
        </is>
      </c>
    </row>
    <row r="82">
      <c r="B82" s="6" t="inlineStr">
        <is>
          <t xml:space="preserve">  ↳ RA2APCRocketAAE</t>
        </is>
      </c>
      <c r="C82" s="6" t="inlineStr">
        <is>
          <t>Armament@RocketsAAELITE</t>
        </is>
      </c>
      <c r="K82" s="5" t="n">
        <v>2000</v>
      </c>
      <c r="L82" s="5" t="n">
        <v>53</v>
      </c>
      <c r="M82" s="5" t="n">
        <v>8</v>
      </c>
      <c r="N82" s="5" t="n">
        <v>3</v>
      </c>
      <c r="O82" s="5" t="n">
        <v>9610</v>
      </c>
      <c r="P82" s="5" t="n">
        <v>1</v>
      </c>
      <c r="Q82">
        <f>L82+IF(M82&gt;1,N(N82)*(M82-1),0)</f>
        <v/>
      </c>
      <c r="R82">
        <f>IFERROR(K82*MAX(M82,1)/Q82*P82,0)</f>
        <v/>
      </c>
      <c r="AA82" s="6" t="inlineStr">
        <is>
          <t>^HeavyBomb, ^HeavyAAWeapon, ^FlakWeapon, ^RA2MediumMissile</t>
        </is>
      </c>
    </row>
    <row r="83">
      <c r="A83" t="inlineStr">
        <is>
          <t>redalert2mod</t>
        </is>
      </c>
      <c r="B83" t="inlineStr">
        <is>
          <t>latinsyndicate_missiletruck</t>
        </is>
      </c>
      <c r="C83" t="inlineStr">
        <is>
          <t>Missile Truck</t>
        </is>
      </c>
      <c r="D83" t="inlineStr"/>
      <c r="E83" s="5" t="n">
        <v>30000</v>
      </c>
      <c r="F83" s="5" t="n">
        <v>75</v>
      </c>
      <c r="G83" t="inlineStr">
        <is>
          <t>Light</t>
        </is>
      </c>
      <c r="H83" s="5" t="n">
        <v>1</v>
      </c>
      <c r="I83" s="5" t="n">
        <v>1</v>
      </c>
      <c r="J83" s="5" t="n">
        <v>1</v>
      </c>
      <c r="O83">
        <f>MAX(O84,O85)</f>
        <v/>
      </c>
      <c r="R83">
        <f>R84+R85</f>
        <v/>
      </c>
      <c r="S83">
        <f>(E83/100000+F83/100+(O83/1000)*J83/5+R83/200)*200*I83*H83</f>
        <v/>
      </c>
      <c r="T83">
        <f>((E83*F83/25000)+((O83/1000)*J83*R83/2.5))*I83*H83</f>
        <v/>
      </c>
      <c r="U83">
        <f>(E83*F83*(O83/1000)*J83*R83*I83*H83)/12500000</f>
        <v/>
      </c>
      <c r="V83">
        <f>(S83+T83+U83)/3</f>
        <v/>
      </c>
      <c r="W83" s="5" t="n">
        <v>1000</v>
      </c>
      <c r="X83">
        <f>IFERROR(V83-W83,"")</f>
        <v/>
      </c>
      <c r="Y83">
        <f>IFERROR(ABS(X83)/MAX(W83,1),"")</f>
        <v/>
      </c>
      <c r="Z83">
        <f>IFERROR((W83-(((E83/100000+F83/100+R83/200)*200*I83*H83)+((E83*F83/25000)*I83*H83))/3)/(((J83/5)*200*I83*H83)+((J83*R83/2.5)*I83*H83)+((E83*F83*J83*R83*I83*H83)/12500000))/3*1000,"")</f>
        <v/>
      </c>
    </row>
    <row r="84">
      <c r="B84" s="6" t="inlineStr">
        <is>
          <t xml:space="preserve">  ↳ RA2RTruckRocket</t>
        </is>
      </c>
      <c r="C84" s="6" t="inlineStr">
        <is>
          <t>Armament</t>
        </is>
      </c>
      <c r="K84" s="5" t="n">
        <v>2000</v>
      </c>
      <c r="L84" s="5" t="n">
        <v>108</v>
      </c>
      <c r="M84" s="5" t="n">
        <v>8</v>
      </c>
      <c r="N84" s="5" t="n">
        <v>3</v>
      </c>
      <c r="O84" s="5" t="n">
        <v>7777</v>
      </c>
      <c r="P84" s="5" t="n">
        <v>1</v>
      </c>
      <c r="Q84">
        <f>L84+IF(M84&gt;1,N(N84)*(M84-1),0)</f>
        <v/>
      </c>
      <c r="R84">
        <f>IFERROR(K84*MAX(M84,1)/Q84*P84,0)</f>
        <v/>
      </c>
      <c r="AA84" s="6" t="inlineStr">
        <is>
          <t>^RA2Grenade, ^LightFlameWeapon, ^ShrapnelWeapon, ^RA2MediumMissile</t>
        </is>
      </c>
    </row>
    <row r="85">
      <c r="B85" s="6" t="inlineStr">
        <is>
          <t xml:space="preserve">  ↳ RA2RTruckRocket</t>
        </is>
      </c>
      <c r="C85" s="6" t="inlineStr">
        <is>
          <t>Armament@PRIMARYELITE</t>
        </is>
      </c>
      <c r="K85" s="5" t="n">
        <v>2000</v>
      </c>
      <c r="L85" s="5" t="n">
        <v>108</v>
      </c>
      <c r="M85" s="5" t="n">
        <v>8</v>
      </c>
      <c r="N85" s="5" t="n">
        <v>3</v>
      </c>
      <c r="O85" s="5" t="n">
        <v>7777</v>
      </c>
      <c r="P85" s="5" t="n">
        <v>1</v>
      </c>
      <c r="Q85">
        <f>L85+IF(M85&gt;1,N(N85)*(M85-1),0)</f>
        <v/>
      </c>
      <c r="R85">
        <f>IFERROR(K85*MAX(M85,1)/Q85*P85,0)</f>
        <v/>
      </c>
      <c r="AA85" s="6" t="inlineStr">
        <is>
          <t>^RA2Grenade, ^LightFlameWeapon, ^ShrapnelWeapon, ^RA2MediumMissile</t>
        </is>
      </c>
    </row>
    <row r="86">
      <c r="A86" t="inlineStr">
        <is>
          <t>redalert2mod</t>
        </is>
      </c>
      <c r="B86" t="inlineStr">
        <is>
          <t>latinsyndicate_mortarbike</t>
        </is>
      </c>
      <c r="C86" t="inlineStr">
        <is>
          <t>Mortar Bike</t>
        </is>
      </c>
      <c r="D86" t="inlineStr"/>
      <c r="E86" s="5" t="n">
        <v>28000</v>
      </c>
      <c r="F86" s="5" t="n">
        <v>140</v>
      </c>
      <c r="G86" t="inlineStr">
        <is>
          <t>None</t>
        </is>
      </c>
      <c r="H86" s="5" t="n">
        <v>1</v>
      </c>
      <c r="I86" s="5" t="n">
        <v>0.6</v>
      </c>
      <c r="J86" s="5" t="n">
        <v>1</v>
      </c>
      <c r="O86">
        <f>MAX(O87,O88)</f>
        <v/>
      </c>
      <c r="R86">
        <f>R87+R88</f>
        <v/>
      </c>
      <c r="S86">
        <f>(E86/100000+F86/100+(O86/1000)*J86/5+R86/200)*200*I86*H86</f>
        <v/>
      </c>
      <c r="T86">
        <f>((E86*F86/25000)+((O86/1000)*J86*R86/2.5))*I86*H86</f>
        <v/>
      </c>
      <c r="U86">
        <f>(E86*F86*(O86/1000)*J86*R86*I86*H86)/12500000</f>
        <v/>
      </c>
      <c r="V86">
        <f>(S86+T86+U86)/3</f>
        <v/>
      </c>
      <c r="W86" s="5" t="n">
        <v>500</v>
      </c>
      <c r="X86">
        <f>IFERROR(V86-W86,"")</f>
        <v/>
      </c>
      <c r="Y86">
        <f>IFERROR(ABS(X86)/MAX(W86,1),"")</f>
        <v/>
      </c>
      <c r="Z86">
        <f>IFERROR((W86-(((E86/100000+F86/100+R86/200)*200*I86*H86)+((E86*F86/25000)*I86*H86))/3)/(((J86/5)*200*I86*H86)+((J86*R86/2.5)*I86*H86)+((E86*F86*J86*R86*I86*H86)/12500000))/3*1000,"")</f>
        <v/>
      </c>
    </row>
    <row r="87">
      <c r="B87" s="6" t="inlineStr">
        <is>
          <t xml:space="preserve">  ↳ RA2MortarBike</t>
        </is>
      </c>
      <c r="C87" s="6" t="inlineStr">
        <is>
          <t>Armament</t>
        </is>
      </c>
      <c r="K87" s="5" t="n">
        <v>6000</v>
      </c>
      <c r="L87" s="5" t="n">
        <v>67</v>
      </c>
      <c r="M87" s="5" t="n">
        <v>1</v>
      </c>
      <c r="N87" s="5" t="n"/>
      <c r="O87" s="5" t="n">
        <v>7500</v>
      </c>
      <c r="P87" s="5" t="n">
        <v>1</v>
      </c>
      <c r="Q87">
        <f>L87+IF(M87&gt;1,N(N87)*(M87-1),0)</f>
        <v/>
      </c>
      <c r="R87">
        <f>IFERROR(K87*MAX(M87,1)/Q87*P87,0)</f>
        <v/>
      </c>
      <c r="AA87" s="6" t="inlineStr">
        <is>
          <t>^Grenade, ^ShrapnelWeapon, ^HeavyBomb, ^LightFlameWeapon, ^MediumChemicalWeapon, ^HeavyCannon</t>
        </is>
      </c>
    </row>
    <row r="88">
      <c r="B88" s="6" t="inlineStr">
        <is>
          <t xml:space="preserve">  ↳ RA2MortarBikeE</t>
        </is>
      </c>
      <c r="C88" s="6" t="inlineStr">
        <is>
          <t>Armament@ELITE</t>
        </is>
      </c>
      <c r="K88" s="5" t="n">
        <v>6000</v>
      </c>
      <c r="L88" s="5" t="n">
        <v>67</v>
      </c>
      <c r="M88" s="5" t="n">
        <v>2</v>
      </c>
      <c r="N88" s="5" t="n">
        <v>3</v>
      </c>
      <c r="O88" s="5" t="n">
        <v>8500</v>
      </c>
      <c r="P88" s="5" t="n">
        <v>1</v>
      </c>
      <c r="Q88">
        <f>L88+IF(M88&gt;1,N(N88)*(M88-1),0)</f>
        <v/>
      </c>
      <c r="R88">
        <f>IFERROR(K88*MAX(M88,1)/Q88*P88,0)</f>
        <v/>
      </c>
      <c r="AA88" s="6" t="inlineStr">
        <is>
          <t>^Grenade, ^ShrapnelWeapon, ^HeavyBomb, ^LightFlameWeapon, ^MediumChemicalWeapon, ^HeavyCannon</t>
        </is>
      </c>
    </row>
    <row r="89">
      <c r="A89" t="inlineStr">
        <is>
          <t>redalert2mod</t>
        </is>
      </c>
      <c r="B89" t="inlineStr">
        <is>
          <t>latinsyndicate_narcohummer</t>
        </is>
      </c>
      <c r="C89" t="inlineStr">
        <is>
          <t>Narco Hummer</t>
        </is>
      </c>
      <c r="D89" t="inlineStr"/>
      <c r="E89" s="5" t="n">
        <v>97500</v>
      </c>
      <c r="F89" s="5" t="n">
        <v>110</v>
      </c>
      <c r="G89" t="inlineStr">
        <is>
          <t>Medium</t>
        </is>
      </c>
      <c r="H89" s="5" t="n">
        <v>0.75</v>
      </c>
      <c r="I89" s="5" t="n">
        <v>1.25</v>
      </c>
      <c r="J89" s="5" t="n">
        <v>1</v>
      </c>
      <c r="O89">
        <f>MAX(O90,O91)</f>
        <v/>
      </c>
      <c r="R89">
        <f>R90+R91</f>
        <v/>
      </c>
      <c r="S89">
        <f>(E89/100000+F89/100+(O89/1000)*J89/5+R89/200)*200*I89*H89</f>
        <v/>
      </c>
      <c r="T89">
        <f>((E89*F89/25000)+((O89/1000)*J89*R89/2.5))*I89*H89</f>
        <v/>
      </c>
      <c r="U89">
        <f>(E89*F89*(O89/1000)*J89*R89*I89*H89)/12500000</f>
        <v/>
      </c>
      <c r="V89">
        <f>(S89+T89+U89)/3</f>
        <v/>
      </c>
      <c r="W89" s="5" t="n">
        <v>3000</v>
      </c>
      <c r="X89">
        <f>IFERROR(V89-W89,"")</f>
        <v/>
      </c>
      <c r="Y89">
        <f>IFERROR(ABS(X89)/MAX(W89,1),"")</f>
        <v/>
      </c>
      <c r="Z89">
        <f>IFERROR((W89-(((E89/100000+F89/100+R89/200)*200*I89*H89)+((E89*F89/25000)*I89*H89))/3)/(((J89/5)*200*I89*H89)+((J89*R89/2.5)*I89*H89)+((E89*F89*J89*R89*I89*H89)/12500000))/3*1000,"")</f>
        <v/>
      </c>
    </row>
    <row r="90">
      <c r="B90" s="6" t="inlineStr">
        <is>
          <t xml:space="preserve">  ↳ RA2NarcoAKM</t>
        </is>
      </c>
      <c r="C90" s="6" t="inlineStr">
        <is>
          <t>Armament@AG</t>
        </is>
      </c>
      <c r="K90" s="5" t="n">
        <v>2000</v>
      </c>
      <c r="L90" s="5" t="n">
        <v>10</v>
      </c>
      <c r="M90" s="5" t="n">
        <v>1</v>
      </c>
      <c r="N90" s="5" t="n"/>
      <c r="O90" s="5" t="n">
        <v>5800</v>
      </c>
      <c r="P90" s="5" t="n">
        <v>1</v>
      </c>
      <c r="Q90">
        <f>L90+IF(M90&gt;1,N(N90)*(M90-1),0)</f>
        <v/>
      </c>
      <c r="R90">
        <f>IFERROR(K90*MAX(M90,1)/Q90*P90,0)</f>
        <v/>
      </c>
      <c r="AA90" s="6" t="inlineStr">
        <is>
          <t>^RA2SmallArms, ^RA2Chaingun</t>
        </is>
      </c>
    </row>
    <row r="91">
      <c r="B91" s="6" t="inlineStr">
        <is>
          <t xml:space="preserve">  ↳ RA2NarcoAKME</t>
        </is>
      </c>
      <c r="C91" s="6" t="inlineStr">
        <is>
          <t>Armament@AGE</t>
        </is>
      </c>
      <c r="K91" s="5" t="n">
        <v>2000</v>
      </c>
      <c r="L91" s="5" t="n">
        <v>10</v>
      </c>
      <c r="M91" s="5" t="n">
        <v>2</v>
      </c>
      <c r="N91" s="5" t="n">
        <v>3</v>
      </c>
      <c r="O91" s="5" t="n">
        <v>6800</v>
      </c>
      <c r="P91" s="5" t="n">
        <v>1</v>
      </c>
      <c r="Q91">
        <f>L91+IF(M91&gt;1,N(N91)*(M91-1),0)</f>
        <v/>
      </c>
      <c r="R91">
        <f>IFERROR(K91*MAX(M91,1)/Q91*P91,0)</f>
        <v/>
      </c>
      <c r="AA91" s="6" t="inlineStr">
        <is>
          <t>^RA2SmallArms, ^RA2Chaingun</t>
        </is>
      </c>
    </row>
    <row r="92">
      <c r="A92" t="inlineStr">
        <is>
          <t>redalert2mod</t>
        </is>
      </c>
      <c r="B92" t="inlineStr">
        <is>
          <t>latinsyndicate_nuketruck</t>
        </is>
      </c>
      <c r="C92" t="inlineStr">
        <is>
          <t>Nuke Truck</t>
        </is>
      </c>
      <c r="D92" t="inlineStr"/>
      <c r="E92" s="5" t="n">
        <v>60000</v>
      </c>
      <c r="F92" s="5" t="n">
        <v>100</v>
      </c>
      <c r="G92" t="inlineStr">
        <is>
          <t>Superheavy</t>
        </is>
      </c>
      <c r="H92" s="5" t="n">
        <v>1</v>
      </c>
      <c r="I92" s="5" t="n">
        <v>1</v>
      </c>
      <c r="J92" s="5" t="n">
        <v>1</v>
      </c>
      <c r="O92">
        <f>MAX(O93)</f>
        <v/>
      </c>
      <c r="R92">
        <f>R93</f>
        <v/>
      </c>
      <c r="S92">
        <f>(E92/100000+F92/100+(O92/1000)*J92/5+R92/200)*200*I92*H92</f>
        <v/>
      </c>
      <c r="T92">
        <f>((E92*F92/25000)+((O92/1000)*J92*R92/2.5))*I92*H92</f>
        <v/>
      </c>
      <c r="U92">
        <f>(E92*F92*(O92/1000)*J92*R92*I92*H92)/12500000</f>
        <v/>
      </c>
      <c r="V92">
        <f>(S92+T92+U92)/3</f>
        <v/>
      </c>
      <c r="W92" s="5" t="n">
        <v>3000</v>
      </c>
      <c r="X92">
        <f>IFERROR(V92-W92,"")</f>
        <v/>
      </c>
      <c r="Y92">
        <f>IFERROR(ABS(X92)/MAX(W92,1),"")</f>
        <v/>
      </c>
      <c r="Z92">
        <f>IFERROR((W92-(((E92/100000+F92/100+R92/200)*200*I92*H92)+((E92*F92/25000)*I92*H92))/3)/(((J92/5)*200*I92*H92)+((J92*R92/2.5)*I92*H92)+((E92*F92*J92*R92*I92*H92)/12500000))/3*1000,"")</f>
        <v/>
      </c>
    </row>
    <row r="93">
      <c r="B93" s="6" t="inlineStr">
        <is>
          <t xml:space="preserve">  ↳ DemoTruckTargeting</t>
        </is>
      </c>
      <c r="C93" s="6" t="inlineStr">
        <is>
          <t>Armament@PRIMARY</t>
        </is>
      </c>
      <c r="K93" s="5" t="n"/>
      <c r="L93" s="5" t="n"/>
      <c r="M93" s="5" t="n">
        <v>1</v>
      </c>
      <c r="N93" s="5" t="n"/>
      <c r="O93" s="5" t="n">
        <v>2000</v>
      </c>
      <c r="P93" s="5" t="n">
        <v>1</v>
      </c>
      <c r="Q93">
        <f>L93+IF(M93&gt;1,N(N93)*(M93-1),0)</f>
        <v/>
      </c>
      <c r="R93">
        <f>IFERROR(K93*MAX(M93,1)/Q93*P93,0)</f>
        <v/>
      </c>
      <c r="AA93" s="6" t="inlineStr"/>
    </row>
    <row r="94">
      <c r="A94" t="inlineStr">
        <is>
          <t>redalert2mod</t>
        </is>
      </c>
      <c r="B94" t="inlineStr">
        <is>
          <t>latinsyndicate_raiderbuggy</t>
        </is>
      </c>
      <c r="C94" t="inlineStr">
        <is>
          <t>Raider Buggy</t>
        </is>
      </c>
      <c r="D94" t="inlineStr"/>
      <c r="E94" s="5" t="n">
        <v>37500</v>
      </c>
      <c r="F94" s="5" t="n">
        <v>115</v>
      </c>
      <c r="G94" t="inlineStr">
        <is>
          <t>Light</t>
        </is>
      </c>
      <c r="H94" s="5" t="n">
        <v>1</v>
      </c>
      <c r="I94" s="5" t="n">
        <v>1</v>
      </c>
      <c r="J94" s="5" t="n">
        <v>1</v>
      </c>
      <c r="O94">
        <f>MAX(O95,O96,O97,O98,O99,O100)</f>
        <v/>
      </c>
      <c r="R94">
        <f>R95+R96+R97+R98+R99+R100</f>
        <v/>
      </c>
      <c r="S94">
        <f>(E94/100000+F94/100+(O94/1000)*J94/5+R94/200)*200*I94*H94</f>
        <v/>
      </c>
      <c r="T94">
        <f>((E94*F94/25000)+((O94/1000)*J94*R94/2.5))*I94*H94</f>
        <v/>
      </c>
      <c r="U94">
        <f>(E94*F94*(O94/1000)*J94*R94*I94*H94)/12500000</f>
        <v/>
      </c>
      <c r="V94">
        <f>(S94+T94+U94)/3</f>
        <v/>
      </c>
      <c r="W94" s="5" t="n">
        <v>700</v>
      </c>
      <c r="X94">
        <f>IFERROR(V94-W94,"")</f>
        <v/>
      </c>
      <c r="Y94">
        <f>IFERROR(ABS(X94)/MAX(W94,1),"")</f>
        <v/>
      </c>
      <c r="Z94">
        <f>IFERROR((W94-(((E94/100000+F94/100+R94/200)*200*I94*H94)+((E94*F94/25000)*I94*H94))/3)/(((J94/5)*200*I94*H94)+((J94*R94/2.5)*I94*H94)+((E94*F94*J94*R94*I94*H94)/12500000))/3*1000,"")</f>
        <v/>
      </c>
    </row>
    <row r="95">
      <c r="B95" s="6" t="inlineStr">
        <is>
          <t xml:space="preserve">  ↳ LatinBuggyMG</t>
        </is>
      </c>
      <c r="C95" s="6" t="inlineStr">
        <is>
          <t>Armament</t>
        </is>
      </c>
      <c r="K95" s="5" t="n">
        <v>4000</v>
      </c>
      <c r="L95" s="5" t="n">
        <v>35</v>
      </c>
      <c r="M95" s="5" t="n">
        <v>5</v>
      </c>
      <c r="N95" s="5" t="n">
        <v>5</v>
      </c>
      <c r="O95" s="5" t="n">
        <v>6000</v>
      </c>
      <c r="P95" s="5" t="n">
        <v>1</v>
      </c>
      <c r="Q95">
        <f>L95+IF(M95&gt;1,N(N95)*(M95-1),0)</f>
        <v/>
      </c>
      <c r="R95">
        <f>IFERROR(K95*MAX(M95,1)/Q95*P95,0)</f>
        <v/>
      </c>
      <c r="AA95" s="6" t="inlineStr">
        <is>
          <t>^RA2SmallArms, ^RA2Chaingun</t>
        </is>
      </c>
    </row>
    <row r="96">
      <c r="B96" s="6" t="inlineStr">
        <is>
          <t xml:space="preserve">  ↳ LatinBuggyMGE</t>
        </is>
      </c>
      <c r="C96" s="6" t="inlineStr">
        <is>
          <t>Armament@Elite</t>
        </is>
      </c>
      <c r="K96" s="5" t="n">
        <v>4000</v>
      </c>
      <c r="L96" s="5" t="n">
        <v>35</v>
      </c>
      <c r="M96" s="5" t="n">
        <v>10</v>
      </c>
      <c r="N96" s="5" t="n">
        <v>3</v>
      </c>
      <c r="O96" s="5" t="n">
        <v>7000</v>
      </c>
      <c r="P96" s="5" t="n">
        <v>1</v>
      </c>
      <c r="Q96">
        <f>L96+IF(M96&gt;1,N(N96)*(M96-1),0)</f>
        <v/>
      </c>
      <c r="R96">
        <f>IFERROR(K96*MAX(M96,1)/Q96*P96,0)</f>
        <v/>
      </c>
      <c r="AA96" s="6" t="inlineStr">
        <is>
          <t>^RA2SmallArms, ^RA2Chaingun</t>
        </is>
      </c>
    </row>
    <row r="97">
      <c r="B97" s="6" t="inlineStr">
        <is>
          <t xml:space="preserve">  ↳ LatinBuggyChaingun</t>
        </is>
      </c>
      <c r="C97" s="6" t="inlineStr">
        <is>
          <t>Armament@Gatling</t>
        </is>
      </c>
      <c r="K97" s="5" t="n">
        <v>2000</v>
      </c>
      <c r="L97" s="5" t="n">
        <v>11</v>
      </c>
      <c r="M97" s="5" t="n">
        <v>1</v>
      </c>
      <c r="N97" s="5" t="n"/>
      <c r="O97" s="5" t="n">
        <v>6000</v>
      </c>
      <c r="P97" s="5" t="n">
        <v>1</v>
      </c>
      <c r="Q97">
        <f>L97+IF(M97&gt;1,N(N97)*(M97-1),0)</f>
        <v/>
      </c>
      <c r="R97">
        <f>IFERROR(K97*MAX(M97,1)/Q97*P97,0)</f>
        <v/>
      </c>
      <c r="AA97" s="6" t="inlineStr">
        <is>
          <t>^TankDestroyerCannon, ^FlakWeapon, ^RA2SmallArms, ^RA2Chaingun</t>
        </is>
      </c>
    </row>
    <row r="98">
      <c r="B98" s="6" t="inlineStr">
        <is>
          <t xml:space="preserve">  ↳ LatinBuggyChaingunE</t>
        </is>
      </c>
      <c r="C98" s="6" t="inlineStr">
        <is>
          <t>Armament@GatlingElite</t>
        </is>
      </c>
      <c r="K98" s="5" t="n">
        <v>2000</v>
      </c>
      <c r="L98" s="5" t="n">
        <v>11</v>
      </c>
      <c r="M98" s="5" t="n">
        <v>1</v>
      </c>
      <c r="N98" s="5" t="n"/>
      <c r="O98" s="5" t="n">
        <v>7000</v>
      </c>
      <c r="P98" s="5" t="n">
        <v>1</v>
      </c>
      <c r="Q98">
        <f>L98+IF(M98&gt;1,N(N98)*(M98-1),0)</f>
        <v/>
      </c>
      <c r="R98">
        <f>IFERROR(K98*MAX(M98,1)/Q98*P98,0)</f>
        <v/>
      </c>
      <c r="AA98" s="6" t="inlineStr">
        <is>
          <t>^TankDestroyerCannon, ^FlakWeapon, ^RA2SmallArms, ^RA2Chaingun</t>
        </is>
      </c>
    </row>
    <row r="99">
      <c r="B99" s="6" t="inlineStr">
        <is>
          <t xml:space="preserve">  ↳ LatinBuggyRocket</t>
        </is>
      </c>
      <c r="C99" s="6" t="inlineStr">
        <is>
          <t>Armament@Rocket</t>
        </is>
      </c>
      <c r="K99" s="5" t="n">
        <v>10000</v>
      </c>
      <c r="L99" s="5" t="n">
        <v>55</v>
      </c>
      <c r="M99" s="5" t="n">
        <v>1</v>
      </c>
      <c r="N99" s="5" t="n"/>
      <c r="O99" s="5" t="n">
        <v>6000</v>
      </c>
      <c r="P99" s="5" t="n">
        <v>1</v>
      </c>
      <c r="Q99">
        <f>L99+IF(M99&gt;1,N(N99)*(M99-1),0)</f>
        <v/>
      </c>
      <c r="R99">
        <f>IFERROR(K99*MAX(M99,1)/Q99*P99,0)</f>
        <v/>
      </c>
      <c r="AA99" s="6" t="inlineStr">
        <is>
          <t>^Grenade, ^ShrapnelWeapon, ^SteelLightMissile, ^RA2MediumMissile</t>
        </is>
      </c>
    </row>
    <row r="100">
      <c r="B100" s="6" t="inlineStr">
        <is>
          <t xml:space="preserve">  ↳ LatinBuggyRocketE</t>
        </is>
      </c>
      <c r="C100" s="6" t="inlineStr">
        <is>
          <t>Armament@RocketElite</t>
        </is>
      </c>
      <c r="K100" s="5" t="n">
        <v>10000</v>
      </c>
      <c r="L100" s="5" t="n">
        <v>55</v>
      </c>
      <c r="M100" s="5" t="n">
        <v>2</v>
      </c>
      <c r="N100" s="5" t="n">
        <v>3</v>
      </c>
      <c r="O100" s="5" t="n">
        <v>7000</v>
      </c>
      <c r="P100" s="5" t="n">
        <v>1</v>
      </c>
      <c r="Q100">
        <f>L100+IF(M100&gt;1,N(N100)*(M100-1),0)</f>
        <v/>
      </c>
      <c r="R100">
        <f>IFERROR(K100*MAX(M100,1)/Q100*P100,0)</f>
        <v/>
      </c>
      <c r="AA100" s="6" t="inlineStr">
        <is>
          <t>^Grenade, ^ShrapnelWeapon, ^SteelLightMissile, ^RA2MediumMissile</t>
        </is>
      </c>
    </row>
    <row r="101">
      <c r="A101" t="inlineStr">
        <is>
          <t>redalert2mod</t>
        </is>
      </c>
      <c r="B101" t="inlineStr">
        <is>
          <t>latinsyndicate_rushertank</t>
        </is>
      </c>
      <c r="C101" t="inlineStr">
        <is>
          <t>Rusher Tank</t>
        </is>
      </c>
      <c r="D101" t="inlineStr"/>
      <c r="E101" s="5" t="n">
        <v>75000</v>
      </c>
      <c r="F101" s="5" t="n">
        <v>115</v>
      </c>
      <c r="G101" t="inlineStr">
        <is>
          <t>Medium</t>
        </is>
      </c>
      <c r="H101" s="5" t="n">
        <v>1</v>
      </c>
      <c r="I101" s="5" t="n">
        <v>1</v>
      </c>
      <c r="J101" s="5" t="n">
        <v>1</v>
      </c>
      <c r="O101">
        <f>MAX(O102,O103,O104,O105)</f>
        <v/>
      </c>
      <c r="R101">
        <f>R102+R103+R104+R105</f>
        <v/>
      </c>
      <c r="S101">
        <f>(E101/100000+F101/100+(O101/1000)*J101/5+R101/200)*200*I101*H101</f>
        <v/>
      </c>
      <c r="T101">
        <f>((E101*F101/25000)+((O101/1000)*J101*R101/2.5))*I101*H101</f>
        <v/>
      </c>
      <c r="U101">
        <f>(E101*F101*(O101/1000)*J101*R101*I101*H101)/12500000</f>
        <v/>
      </c>
      <c r="V101">
        <f>(S101+T101+U101)/3</f>
        <v/>
      </c>
      <c r="W101" s="5" t="n">
        <v>650</v>
      </c>
      <c r="X101">
        <f>IFERROR(V101-W101,"")</f>
        <v/>
      </c>
      <c r="Y101">
        <f>IFERROR(ABS(X101)/MAX(W101,1),"")</f>
        <v/>
      </c>
      <c r="Z101">
        <f>IFERROR((W101-(((E101/100000+F101/100+R101/200)*200*I101*H101)+((E101*F101/25000)*I101*H101))/3)/(((J101/5)*200*I101*H101)+((J101*R101/2.5)*I101*H101)+((E101*F101*J101*R101*I101*H101)/12500000))/3*1000,"")</f>
        <v/>
      </c>
    </row>
    <row r="102">
      <c r="B102" s="6" t="inlineStr">
        <is>
          <t xml:space="preserve">  ↳ RA2Gren60mm</t>
        </is>
      </c>
      <c r="C102" s="6" t="inlineStr">
        <is>
          <t>Armament</t>
        </is>
      </c>
      <c r="K102" s="5" t="n">
        <v>2000</v>
      </c>
      <c r="L102" s="5" t="n">
        <v>38</v>
      </c>
      <c r="M102" s="5" t="n">
        <v>1</v>
      </c>
      <c r="N102" s="5" t="n"/>
      <c r="O102" s="5" t="n">
        <v>5031</v>
      </c>
      <c r="P102" s="5" t="n">
        <v>1</v>
      </c>
      <c r="Q102">
        <f>L102+IF(M102&gt;1,N(N102)*(M102-1),0)</f>
        <v/>
      </c>
      <c r="R102">
        <f>IFERROR(K102*MAX(M102,1)/Q102*P102,0)</f>
        <v/>
      </c>
      <c r="AA102" s="6" t="inlineStr">
        <is>
          <t>^RA2HeavyCannon, ^RA2MediumCannon, ^RA2TankDestroyerCannon</t>
        </is>
      </c>
    </row>
    <row r="103">
      <c r="B103" s="6" t="inlineStr">
        <is>
          <t xml:space="preserve">  ↳ RA2Gren60mmE</t>
        </is>
      </c>
      <c r="C103" s="6" t="inlineStr">
        <is>
          <t>Armament@elite</t>
        </is>
      </c>
      <c r="K103" s="5" t="n">
        <v>2000</v>
      </c>
      <c r="L103" s="5" t="n">
        <v>38</v>
      </c>
      <c r="M103" s="5" t="n">
        <v>2</v>
      </c>
      <c r="N103" s="5" t="n">
        <v>3</v>
      </c>
      <c r="O103" s="5" t="n">
        <v>6031</v>
      </c>
      <c r="P103" s="5" t="n">
        <v>1</v>
      </c>
      <c r="Q103">
        <f>L103+IF(M103&gt;1,N(N103)*(M103-1),0)</f>
        <v/>
      </c>
      <c r="R103">
        <f>IFERROR(K103*MAX(M103,1)/Q103*P103,0)</f>
        <v/>
      </c>
      <c r="AA103" s="6" t="inlineStr">
        <is>
          <t>^RA2HeavyCannon, ^RA2MediumCannon, ^RA2TankDestroyerCannon</t>
        </is>
      </c>
    </row>
    <row r="104">
      <c r="B104" s="6" t="inlineStr">
        <is>
          <t xml:space="preserve">  ↳ LatinRusherRocket</t>
        </is>
      </c>
      <c r="C104" s="6" t="inlineStr">
        <is>
          <t>Armament@AA</t>
        </is>
      </c>
      <c r="K104" s="5" t="n">
        <v>16000</v>
      </c>
      <c r="L104" s="5" t="n">
        <v>101</v>
      </c>
      <c r="M104" s="5" t="n">
        <v>1</v>
      </c>
      <c r="N104" s="5" t="n"/>
      <c r="O104" s="5" t="n">
        <v>5031</v>
      </c>
      <c r="P104" s="5" t="n">
        <v>1</v>
      </c>
      <c r="Q104">
        <f>L104+IF(M104&gt;1,N(N104)*(M104-1),0)</f>
        <v/>
      </c>
      <c r="R104">
        <f>IFERROR(K104*MAX(M104,1)/Q104*P104,0)</f>
        <v/>
      </c>
      <c r="AA104" s="6" t="inlineStr">
        <is>
          <t>^RA2MediumMissile</t>
        </is>
      </c>
    </row>
    <row r="105">
      <c r="B105" s="6" t="inlineStr">
        <is>
          <t xml:space="preserve">  ↳ LatinRusherRocketE</t>
        </is>
      </c>
      <c r="C105" s="6" t="inlineStr">
        <is>
          <t>Armament@AAE</t>
        </is>
      </c>
      <c r="K105" s="5" t="n">
        <v>32000</v>
      </c>
      <c r="L105" s="5" t="n">
        <v>101</v>
      </c>
      <c r="M105" s="5" t="n">
        <v>1</v>
      </c>
      <c r="N105" s="5" t="n"/>
      <c r="O105" s="5" t="n">
        <v>6031</v>
      </c>
      <c r="P105" s="5" t="n">
        <v>1</v>
      </c>
      <c r="Q105">
        <f>L105+IF(M105&gt;1,N(N105)*(M105-1),0)</f>
        <v/>
      </c>
      <c r="R105">
        <f>IFERROR(K105*MAX(M105,1)/Q105*P105,0)</f>
        <v/>
      </c>
      <c r="AA105" s="6" t="inlineStr">
        <is>
          <t>^RA2MediumMissile</t>
        </is>
      </c>
    </row>
    <row r="106">
      <c r="A106" t="inlineStr">
        <is>
          <t>redalert2mod</t>
        </is>
      </c>
      <c r="B106" t="inlineStr">
        <is>
          <t>latinsyndicate_smokertank</t>
        </is>
      </c>
      <c r="C106" t="inlineStr">
        <is>
          <t>Smoker Tank</t>
        </is>
      </c>
      <c r="D106" t="inlineStr"/>
      <c r="E106" s="5" t="n">
        <v>260000</v>
      </c>
      <c r="F106" s="5" t="n">
        <v>95</v>
      </c>
      <c r="G106" t="inlineStr">
        <is>
          <t>Heavy</t>
        </is>
      </c>
      <c r="H106" s="5" t="n">
        <v>1</v>
      </c>
      <c r="I106" s="5" t="n">
        <v>1</v>
      </c>
      <c r="J106" s="5" t="n">
        <v>1</v>
      </c>
      <c r="O106">
        <f>MAX(O107,O108,O109,O110,O111,O112)</f>
        <v/>
      </c>
      <c r="R106">
        <f>R107+R108+R109+R110+R111+R112</f>
        <v/>
      </c>
      <c r="S106">
        <f>(E106/100000+F106/100+(O106/1000)*J106/5+R106/200)*200*I106*H106</f>
        <v/>
      </c>
      <c r="T106">
        <f>((E106*F106/25000)+((O106/1000)*J106*R106/2.5))*I106*H106</f>
        <v/>
      </c>
      <c r="U106">
        <f>(E106*F106*(O106/1000)*J106*R106*I106*H106)/12500000</f>
        <v/>
      </c>
      <c r="V106">
        <f>(S106+T106+U106)/3</f>
        <v/>
      </c>
      <c r="W106" s="5" t="n">
        <v>1800</v>
      </c>
      <c r="X106">
        <f>IFERROR(V106-W106,"")</f>
        <v/>
      </c>
      <c r="Y106">
        <f>IFERROR(ABS(X106)/MAX(W106,1),"")</f>
        <v/>
      </c>
      <c r="Z106">
        <f>IFERROR((W106-(((E106/100000+F106/100+R106/200)*200*I106*H106)+((E106*F106/25000)*I106*H106))/3)/(((J106/5)*200*I106*H106)+((J106*R106/2.5)*I106*H106)+((E106*F106*J106*R106*I106*H106)/12500000))/3*1000,"")</f>
        <v/>
      </c>
    </row>
    <row r="107">
      <c r="B107" s="6" t="inlineStr">
        <is>
          <t xml:space="preserve">  ↳ LatinSmokerCannon</t>
        </is>
      </c>
      <c r="C107" s="6" t="inlineStr">
        <is>
          <t>Armament</t>
        </is>
      </c>
      <c r="K107" s="5" t="n">
        <v>2000</v>
      </c>
      <c r="L107" s="5" t="n">
        <v>65</v>
      </c>
      <c r="M107" s="5" t="n">
        <v>1</v>
      </c>
      <c r="N107" s="5" t="n"/>
      <c r="O107" s="5" t="n">
        <v>6550</v>
      </c>
      <c r="P107" s="5" t="n">
        <v>1</v>
      </c>
      <c r="Q107">
        <f>L107+IF(M107&gt;1,N(N107)*(M107-1),0)</f>
        <v/>
      </c>
      <c r="R107">
        <f>IFERROR(K107*MAX(M107,1)/Q107*P107,0)</f>
        <v/>
      </c>
      <c r="AA107" s="6" t="inlineStr">
        <is>
          <t>^RailgunWeapon, ^MediumFlameWeapon, ^HeavyBomb, ^ShrapnelWeapon, ^RA2HeavyCannon, ^RA2MediumCannon</t>
        </is>
      </c>
    </row>
    <row r="108">
      <c r="B108" s="6" t="inlineStr">
        <is>
          <t xml:space="preserve">  ↳ LatinSmokerCannonE</t>
        </is>
      </c>
      <c r="C108" s="6" t="inlineStr">
        <is>
          <t>Armament@elite</t>
        </is>
      </c>
      <c r="K108" s="5" t="n">
        <v>2000</v>
      </c>
      <c r="L108" s="5" t="n">
        <v>65</v>
      </c>
      <c r="M108" s="5" t="n">
        <v>2</v>
      </c>
      <c r="N108" s="5" t="n">
        <v>3</v>
      </c>
      <c r="O108" s="5" t="n">
        <v>7550</v>
      </c>
      <c r="P108" s="5" t="n">
        <v>1</v>
      </c>
      <c r="Q108">
        <f>L108+IF(M108&gt;1,N(N108)*(M108-1),0)</f>
        <v/>
      </c>
      <c r="R108">
        <f>IFERROR(K108*MAX(M108,1)/Q108*P108,0)</f>
        <v/>
      </c>
      <c r="AA108" s="6" t="inlineStr">
        <is>
          <t>^RailgunWeapon, ^MediumFlameWeapon, ^HeavyBomb, ^ShrapnelWeapon, ^RA2HeavyCannon, ^RA2MediumCannon, ^RA2EliteEffects</t>
        </is>
      </c>
    </row>
    <row r="109">
      <c r="B109" s="6" t="inlineStr">
        <is>
          <t xml:space="preserve">  ↳ RA2GrenadePack</t>
        </is>
      </c>
      <c r="C109" s="6" t="inlineStr">
        <is>
          <t>Armament@GrenadePack</t>
        </is>
      </c>
      <c r="K109" s="5" t="n">
        <v>2000</v>
      </c>
      <c r="L109" s="5" t="n">
        <v>110</v>
      </c>
      <c r="M109" s="5" t="n">
        <v>4</v>
      </c>
      <c r="N109" s="5" t="n">
        <v>2</v>
      </c>
      <c r="O109" s="5" t="n">
        <v>6550</v>
      </c>
      <c r="P109" s="5" t="n">
        <v>1</v>
      </c>
      <c r="Q109">
        <f>L109+IF(M109&gt;1,N(N109)*(M109-1),0)</f>
        <v/>
      </c>
      <c r="R109">
        <f>IFERROR(K109*MAX(M109,1)/Q109*P109,0)</f>
        <v/>
      </c>
      <c r="AA109" s="6" t="inlineStr">
        <is>
          <t>^HeavyMissile, ^Grenade, ^RA2FlakWeapon</t>
        </is>
      </c>
    </row>
    <row r="110">
      <c r="B110" s="6" t="inlineStr">
        <is>
          <t xml:space="preserve">  ↳ RA2GrenadePackE</t>
        </is>
      </c>
      <c r="C110" s="6" t="inlineStr">
        <is>
          <t>Armament@GrenadePackE</t>
        </is>
      </c>
      <c r="K110" s="5" t="n">
        <v>2000</v>
      </c>
      <c r="L110" s="5" t="n">
        <v>110</v>
      </c>
      <c r="M110" s="5" t="n">
        <v>8</v>
      </c>
      <c r="N110" s="5" t="n">
        <v>2</v>
      </c>
      <c r="O110" s="5" t="n">
        <v>7550</v>
      </c>
      <c r="P110" s="5" t="n">
        <v>1</v>
      </c>
      <c r="Q110">
        <f>L110+IF(M110&gt;1,N(N110)*(M110-1),0)</f>
        <v/>
      </c>
      <c r="R110">
        <f>IFERROR(K110*MAX(M110,1)/Q110*P110,0)</f>
        <v/>
      </c>
      <c r="AA110" s="6" t="inlineStr">
        <is>
          <t>^HeavyMissile, ^Grenade, ^RA2FlakWeapon, ^RA2EliteEffects</t>
        </is>
      </c>
    </row>
    <row r="111">
      <c r="B111" s="6" t="inlineStr">
        <is>
          <t xml:space="preserve">  ↳ LatinSmokerRocket</t>
        </is>
      </c>
      <c r="C111" s="6" t="inlineStr">
        <is>
          <t>Armament@AA</t>
        </is>
      </c>
      <c r="K111" s="5" t="n">
        <v>24000</v>
      </c>
      <c r="L111" s="5" t="n">
        <v>116</v>
      </c>
      <c r="M111" s="5" t="n">
        <v>1</v>
      </c>
      <c r="N111" s="5" t="n"/>
      <c r="O111" s="5" t="n">
        <v>6550</v>
      </c>
      <c r="P111" s="5" t="n">
        <v>1</v>
      </c>
      <c r="Q111">
        <f>L111+IF(M111&gt;1,N(N111)*(M111-1),0)</f>
        <v/>
      </c>
      <c r="R111">
        <f>IFERROR(K111*MAX(M111,1)/Q111*P111,0)</f>
        <v/>
      </c>
      <c r="AA111" s="6" t="inlineStr">
        <is>
          <t>^RA2MediumMissile</t>
        </is>
      </c>
    </row>
    <row r="112">
      <c r="B112" s="6" t="inlineStr">
        <is>
          <t xml:space="preserve">  ↳ LatinSmokerRocketE</t>
        </is>
      </c>
      <c r="C112" s="6" t="inlineStr">
        <is>
          <t>Armament@AAE</t>
        </is>
      </c>
      <c r="K112" s="5" t="n">
        <v>48000</v>
      </c>
      <c r="L112" s="5" t="n">
        <v>116</v>
      </c>
      <c r="M112" s="5" t="n">
        <v>1</v>
      </c>
      <c r="N112" s="5" t="n"/>
      <c r="O112" s="5" t="n">
        <v>7550</v>
      </c>
      <c r="P112" s="5" t="n">
        <v>1</v>
      </c>
      <c r="Q112">
        <f>L112+IF(M112&gt;1,N(N112)*(M112-1),0)</f>
        <v/>
      </c>
      <c r="R112">
        <f>IFERROR(K112*MAX(M112,1)/Q112*P112,0)</f>
        <v/>
      </c>
      <c r="AA112" s="6" t="inlineStr">
        <is>
          <t>^RA2MediumMissile</t>
        </is>
      </c>
    </row>
    <row r="113">
      <c r="A113" t="inlineStr">
        <is>
          <t>redalert2mod</t>
        </is>
      </c>
      <c r="B113" t="inlineStr">
        <is>
          <t>latinsyndicate_syndicatemobileconstructionvehicle</t>
        </is>
      </c>
      <c r="C113" t="inlineStr">
        <is>
          <t>Syndicate Mobile Construction Vehicle</t>
        </is>
      </c>
      <c r="D113" t="inlineStr"/>
      <c r="E113" s="5" t="n">
        <v>300000</v>
      </c>
      <c r="F113" s="5" t="n">
        <v>75</v>
      </c>
      <c r="G113" t="inlineStr">
        <is>
          <t>Medium</t>
        </is>
      </c>
      <c r="H113" s="5" t="n">
        <v>1</v>
      </c>
      <c r="I113" s="5" t="n">
        <v>1</v>
      </c>
      <c r="J113" s="5" t="n">
        <v>1</v>
      </c>
      <c r="W113" s="5" t="n">
        <v>5000</v>
      </c>
    </row>
    <row r="114">
      <c r="A114" t="inlineStr">
        <is>
          <t>redalert2mod</t>
        </is>
      </c>
      <c r="B114" t="inlineStr">
        <is>
          <t>latinsyndicate_topolm</t>
        </is>
      </c>
      <c r="C114" t="inlineStr">
        <is>
          <t>Topol-M</t>
        </is>
      </c>
      <c r="D114" t="inlineStr"/>
      <c r="E114" s="5" t="n">
        <v>100000</v>
      </c>
      <c r="F114" s="5" t="n">
        <v>75</v>
      </c>
      <c r="G114" t="inlineStr">
        <is>
          <t>Medium</t>
        </is>
      </c>
      <c r="H114" s="5" t="n">
        <v>0.75</v>
      </c>
      <c r="I114" s="5" t="n">
        <v>0.5</v>
      </c>
      <c r="J114" s="5" t="n">
        <v>1</v>
      </c>
      <c r="O114">
        <f>MAX(O115,O116)</f>
        <v/>
      </c>
      <c r="R114">
        <f>R115+R116</f>
        <v/>
      </c>
      <c r="S114">
        <f>(E114/100000+F114/100+(O114/1000)*J114/5+R114/200)*200*I114*H114</f>
        <v/>
      </c>
      <c r="T114">
        <f>((E114*F114/25000)+((O114/1000)*J114*R114/2.5))*I114*H114</f>
        <v/>
      </c>
      <c r="U114">
        <f>(E114*F114*(O114/1000)*J114*R114*I114*H114)/12500000</f>
        <v/>
      </c>
      <c r="V114">
        <f>(S114+T114+U114)/3</f>
        <v/>
      </c>
      <c r="W114" s="5" t="n">
        <v>6000</v>
      </c>
      <c r="X114">
        <f>IFERROR(V114-W114,"")</f>
        <v/>
      </c>
      <c r="Y114">
        <f>IFERROR(ABS(X114)/MAX(W114,1),"")</f>
        <v/>
      </c>
      <c r="Z114">
        <f>IFERROR((W114-(((E114/100000+F114/100+R114/200)*200*I114*H114)+((E114*F114/25000)*I114*H114))/3)/(((J114/5)*200*I114*H114)+((J114*R114/2.5)*I114*H114)+((E114*F114*J114*R114*I114*H114)/12500000))/3*1000,"")</f>
        <v/>
      </c>
    </row>
    <row r="115">
      <c r="B115" s="6" t="inlineStr">
        <is>
          <t xml:space="preserve">  ↳ RA2TOPOLCubaTarget</t>
        </is>
      </c>
      <c r="C115" s="6" t="inlineStr">
        <is>
          <t>Armament</t>
        </is>
      </c>
      <c r="K115" s="5" t="n"/>
      <c r="L115" s="5" t="n">
        <v>50</v>
      </c>
      <c r="M115" s="5" t="n">
        <v>1</v>
      </c>
      <c r="N115" s="5" t="n"/>
      <c r="O115" s="5" t="n">
        <v>32000</v>
      </c>
      <c r="P115" s="5" t="n">
        <v>1</v>
      </c>
      <c r="Q115">
        <f>L115+IF(M115&gt;1,N(N115)*(M115-1),0)</f>
        <v/>
      </c>
      <c r="R115">
        <f>IFERROR(K115*MAX(M115,1)/Q115*P115,0)</f>
        <v/>
      </c>
      <c r="AA115" s="6" t="inlineStr"/>
    </row>
    <row r="116">
      <c r="B116" s="6" t="inlineStr">
        <is>
          <t xml:space="preserve">  ↳ RA2TOPOLCuba</t>
        </is>
      </c>
      <c r="C116" s="6" t="inlineStr">
        <is>
          <t>Armament@Launch</t>
        </is>
      </c>
      <c r="K116" s="5" t="n">
        <v>20000</v>
      </c>
      <c r="L116" s="5" t="n">
        <v>500</v>
      </c>
      <c r="M116" s="5" t="n">
        <v>1</v>
      </c>
      <c r="N116" s="5" t="n"/>
      <c r="O116" s="5" t="n">
        <v>32000</v>
      </c>
      <c r="P116" s="5" t="n">
        <v>1</v>
      </c>
      <c r="Q116">
        <f>L116+IF(M116&gt;1,N(N116)*(M116-1),0)</f>
        <v/>
      </c>
      <c r="R116">
        <f>IFERROR(K116*MAX(M116,1)/Q116*P116,0)</f>
        <v/>
      </c>
      <c r="AA116" s="6" t="inlineStr">
        <is>
          <t>^NuclearWarhead, ^HeavyBomb, ^MediumFlameWeapon, ^ShrapnelWeapon, ^LightChemicalWeapon, ^Grenade</t>
        </is>
      </c>
    </row>
    <row r="117">
      <c r="A117" t="inlineStr">
        <is>
          <t>redalert2mod</t>
        </is>
      </c>
      <c r="B117" t="inlineStr">
        <is>
          <t>latinsyndicate_tortugatank</t>
        </is>
      </c>
      <c r="C117" t="inlineStr">
        <is>
          <t>Tortuga Tank</t>
        </is>
      </c>
      <c r="D117" t="inlineStr"/>
      <c r="E117" s="5" t="n">
        <v>875000</v>
      </c>
      <c r="F117" s="5" t="n">
        <v>45</v>
      </c>
      <c r="G117" t="inlineStr">
        <is>
          <t>Heavy</t>
        </is>
      </c>
      <c r="H117" s="5" t="n">
        <v>0.5</v>
      </c>
      <c r="I117" s="5" t="n">
        <v>1</v>
      </c>
      <c r="J117" s="5" t="n">
        <v>1</v>
      </c>
      <c r="O117">
        <f>MAX(O118,O119,O120,O121)</f>
        <v/>
      </c>
      <c r="R117">
        <f>R118+R119+R120+R121</f>
        <v/>
      </c>
      <c r="S117">
        <f>(E117/100000+F117/100+(O117/1000)*J117/5+R117/200)*200*I117*H117</f>
        <v/>
      </c>
      <c r="T117">
        <f>((E117*F117/25000)+((O117/1000)*J117*R117/2.5))*I117*H117</f>
        <v/>
      </c>
      <c r="U117">
        <f>(E117*F117*(O117/1000)*J117*R117*I117*H117)/12500000</f>
        <v/>
      </c>
      <c r="V117">
        <f>(S117+T117+U117)/3</f>
        <v/>
      </c>
      <c r="W117" s="5" t="n">
        <v>3000</v>
      </c>
      <c r="X117">
        <f>IFERROR(V117-W117,"")</f>
        <v/>
      </c>
      <c r="Y117">
        <f>IFERROR(ABS(X117)/MAX(W117,1),"")</f>
        <v/>
      </c>
      <c r="Z117">
        <f>IFERROR((W117-(((E117/100000+F117/100+R117/200)*200*I117*H117)+((E117*F117/25000)*I117*H117))/3)/(((J117/5)*200*I117*H117)+((J117*R117/2.5)*I117*H117)+((E117*F117*J117*R117*I117*H117)/12500000))/3*1000,"")</f>
        <v/>
      </c>
    </row>
    <row r="118">
      <c r="B118" s="6" t="inlineStr">
        <is>
          <t xml:space="preserve">  ↳ LatinBuggyMG</t>
        </is>
      </c>
      <c r="C118" s="6" t="inlineStr">
        <is>
          <t>Armament</t>
        </is>
      </c>
      <c r="K118" s="5" t="n">
        <v>4000</v>
      </c>
      <c r="L118" s="5" t="n">
        <v>35</v>
      </c>
      <c r="M118" s="5" t="n">
        <v>5</v>
      </c>
      <c r="N118" s="5" t="n">
        <v>5</v>
      </c>
      <c r="O118" s="5" t="n">
        <v>6000</v>
      </c>
      <c r="P118" s="5" t="n">
        <v>1</v>
      </c>
      <c r="Q118">
        <f>L118+IF(M118&gt;1,N(N118)*(M118-1),0)</f>
        <v/>
      </c>
      <c r="R118">
        <f>IFERROR(K118*MAX(M118,1)/Q118*P118,0)</f>
        <v/>
      </c>
      <c r="AA118" s="6" t="inlineStr">
        <is>
          <t>^RA2SmallArms, ^RA2Chaingun</t>
        </is>
      </c>
    </row>
    <row r="119">
      <c r="B119" s="6" t="inlineStr">
        <is>
          <t xml:space="preserve">  ↳ LatinBuggyMGE</t>
        </is>
      </c>
      <c r="C119" s="6" t="inlineStr">
        <is>
          <t>Armament@Elite</t>
        </is>
      </c>
      <c r="K119" s="5" t="n">
        <v>4000</v>
      </c>
      <c r="L119" s="5" t="n">
        <v>35</v>
      </c>
      <c r="M119" s="5" t="n">
        <v>10</v>
      </c>
      <c r="N119" s="5" t="n">
        <v>3</v>
      </c>
      <c r="O119" s="5" t="n">
        <v>7000</v>
      </c>
      <c r="P119" s="5" t="n">
        <v>1</v>
      </c>
      <c r="Q119">
        <f>L119+IF(M119&gt;1,N(N119)*(M119-1),0)</f>
        <v/>
      </c>
      <c r="R119">
        <f>IFERROR(K119*MAX(M119,1)/Q119*P119,0)</f>
        <v/>
      </c>
      <c r="AA119" s="6" t="inlineStr">
        <is>
          <t>^RA2SmallArms, ^RA2Chaingun</t>
        </is>
      </c>
    </row>
    <row r="120">
      <c r="B120" s="6" t="inlineStr">
        <is>
          <t xml:space="preserve">  ↳ LatinBuggyChaingun</t>
        </is>
      </c>
      <c r="C120" s="6" t="inlineStr">
        <is>
          <t>Armament@Gatling</t>
        </is>
      </c>
      <c r="K120" s="5" t="n">
        <v>2000</v>
      </c>
      <c r="L120" s="5" t="n">
        <v>11</v>
      </c>
      <c r="M120" s="5" t="n">
        <v>1</v>
      </c>
      <c r="N120" s="5" t="n"/>
      <c r="O120" s="5" t="n">
        <v>6000</v>
      </c>
      <c r="P120" s="5" t="n">
        <v>1</v>
      </c>
      <c r="Q120">
        <f>L120+IF(M120&gt;1,N(N120)*(M120-1),0)</f>
        <v/>
      </c>
      <c r="R120">
        <f>IFERROR(K120*MAX(M120,1)/Q120*P120,0)</f>
        <v/>
      </c>
      <c r="AA120" s="6" t="inlineStr">
        <is>
          <t>^TankDestroyerCannon, ^FlakWeapon, ^RA2SmallArms, ^RA2Chaingun</t>
        </is>
      </c>
    </row>
    <row r="121">
      <c r="B121" s="6" t="inlineStr">
        <is>
          <t xml:space="preserve">  ↳ LatinBuggyChaingunE</t>
        </is>
      </c>
      <c r="C121" s="6" t="inlineStr">
        <is>
          <t>Armament@GatlingElite</t>
        </is>
      </c>
      <c r="K121" s="5" t="n">
        <v>2000</v>
      </c>
      <c r="L121" s="5" t="n">
        <v>11</v>
      </c>
      <c r="M121" s="5" t="n">
        <v>1</v>
      </c>
      <c r="N121" s="5" t="n"/>
      <c r="O121" s="5" t="n">
        <v>7000</v>
      </c>
      <c r="P121" s="5" t="n">
        <v>1</v>
      </c>
      <c r="Q121">
        <f>L121+IF(M121&gt;1,N(N121)*(M121-1),0)</f>
        <v/>
      </c>
      <c r="R121">
        <f>IFERROR(K121*MAX(M121,1)/Q121*P121,0)</f>
        <v/>
      </c>
      <c r="AA121" s="6" t="inlineStr">
        <is>
          <t>^TankDestroyerCannon, ^FlakWeapon, ^RA2SmallArms, ^RA2Chaingun</t>
        </is>
      </c>
    </row>
    <row r="122">
      <c r="A122" t="inlineStr">
        <is>
          <t>redalert2mod</t>
        </is>
      </c>
      <c r="B122" t="inlineStr">
        <is>
          <t>scrapcar2_demo.latin</t>
        </is>
      </c>
      <c r="C122" t="inlineStr">
        <is>
          <t>Bomb Car</t>
        </is>
      </c>
      <c r="D122" t="inlineStr"/>
      <c r="E122" s="5" t="n">
        <v>20000</v>
      </c>
      <c r="F122" s="5" t="n">
        <v>100</v>
      </c>
      <c r="G122" t="inlineStr">
        <is>
          <t>Light</t>
        </is>
      </c>
      <c r="H122" s="5" t="n">
        <v>1</v>
      </c>
      <c r="I122" s="5" t="n">
        <v>1</v>
      </c>
      <c r="J122" s="5" t="n">
        <v>1</v>
      </c>
      <c r="O122">
        <f>MAX(O123)</f>
        <v/>
      </c>
      <c r="R122">
        <f>R123</f>
        <v/>
      </c>
      <c r="S122">
        <f>(E122/100000+F122/100+(O122/1000)*J122/5+R122/200)*200*I122*H122</f>
        <v/>
      </c>
      <c r="T122">
        <f>((E122*F122/25000)+((O122/1000)*J122*R122/2.5))*I122*H122</f>
        <v/>
      </c>
      <c r="U122">
        <f>(E122*F122*(O122/1000)*J122*R122*I122*H122)/12500000</f>
        <v/>
      </c>
      <c r="V122">
        <f>(S122+T122+U122)/3</f>
        <v/>
      </c>
      <c r="W122" s="5" t="n">
        <v>500</v>
      </c>
      <c r="X122">
        <f>IFERROR(V122-W122,"")</f>
        <v/>
      </c>
      <c r="Y122">
        <f>IFERROR(ABS(X122)/MAX(W122,1),"")</f>
        <v/>
      </c>
      <c r="Z122">
        <f>IFERROR((W122-(((E122/100000+F122/100+R122/200)*200*I122*H122)+((E122*F122/25000)*I122*H122))/3)/(((J122/5)*200*I122*H122)+((J122*R122/2.5)*I122*H122)+((E122*F122*J122*R122*I122*H122)/12500000))/3*1000,"")</f>
        <v/>
      </c>
    </row>
    <row r="123">
      <c r="B123" s="6" t="inlineStr">
        <is>
          <t xml:space="preserve">  ↳ DemoTruckTargeting</t>
        </is>
      </c>
      <c r="C123" s="6" t="inlineStr">
        <is>
          <t>Armament@PRIMARY</t>
        </is>
      </c>
      <c r="K123" s="5" t="n"/>
      <c r="L123" s="5" t="n"/>
      <c r="M123" s="5" t="n">
        <v>1</v>
      </c>
      <c r="N123" s="5" t="n"/>
      <c r="O123" s="5" t="n">
        <v>2000</v>
      </c>
      <c r="P123" s="5" t="n">
        <v>1</v>
      </c>
      <c r="Q123">
        <f>L123+IF(M123&gt;1,N(N123)*(M123-1),0)</f>
        <v/>
      </c>
      <c r="R123">
        <f>IFERROR(K123*MAX(M123,1)/Q123*P123,0)</f>
        <v/>
      </c>
      <c r="AA123" s="6" t="inlineStr"/>
    </row>
    <row r="124">
      <c r="A124" t="inlineStr">
        <is>
          <t>redalert2mod</t>
        </is>
      </c>
      <c r="B124" t="inlineStr">
        <is>
          <t>scrapcar2_driveby.latin</t>
        </is>
      </c>
      <c r="C124" t="inlineStr">
        <is>
          <t>Drive By Car</t>
        </is>
      </c>
      <c r="D124" t="inlineStr"/>
      <c r="E124" s="5" t="n">
        <v>25000</v>
      </c>
      <c r="F124" s="5" t="n">
        <v>100</v>
      </c>
      <c r="G124" t="inlineStr">
        <is>
          <t>Scout</t>
        </is>
      </c>
      <c r="H124" s="5" t="n">
        <v>1</v>
      </c>
      <c r="I124" s="5" t="n">
        <v>1</v>
      </c>
      <c r="J124" s="5" t="n">
        <v>1</v>
      </c>
      <c r="O124">
        <f>MAX(O125)</f>
        <v/>
      </c>
      <c r="R124">
        <f>R125</f>
        <v/>
      </c>
      <c r="S124">
        <f>(E124/100000+F124/100+(O124/1000)*J124/5+R124/200)*200*I124*H124</f>
        <v/>
      </c>
      <c r="T124">
        <f>((E124*F124/25000)+((O124/1000)*J124*R124/2.5))*I124*H124</f>
        <v/>
      </c>
      <c r="U124">
        <f>(E124*F124*(O124/1000)*J124*R124*I124*H124)/12500000</f>
        <v/>
      </c>
      <c r="V124">
        <f>(S124+T124+U124)/3</f>
        <v/>
      </c>
      <c r="W124" s="5" t="n">
        <v>1000</v>
      </c>
      <c r="X124">
        <f>IFERROR(V124-W124,"")</f>
        <v/>
      </c>
      <c r="Y124">
        <f>IFERROR(ABS(X124)/MAX(W124,1),"")</f>
        <v/>
      </c>
      <c r="Z124">
        <f>IFERROR((W124-(((E124/100000+F124/100+R124/200)*200*I124*H124)+((E124*F124/25000)*I124*H124))/3)/(((J124/5)*200*I124*H124)+((J124*R124/2.5)*I124*H124)+((E124*F124*J124*R124*I124*H124)/12500000))/3*1000,"")</f>
        <v/>
      </c>
    </row>
    <row r="125">
      <c r="B125" s="6" t="inlineStr">
        <is>
          <t xml:space="preserve">  ↳ RA220mmrapid</t>
        </is>
      </c>
      <c r="C125" s="6" t="inlineStr">
        <is>
          <t>Armament</t>
        </is>
      </c>
      <c r="K125" s="5" t="n">
        <v>4000</v>
      </c>
      <c r="L125" s="5" t="n">
        <v>15</v>
      </c>
      <c r="M125" s="5" t="n">
        <v>1</v>
      </c>
      <c r="N125" s="5" t="n"/>
      <c r="O125" s="5" t="n">
        <v>5000</v>
      </c>
      <c r="P125" s="5" t="n">
        <v>1</v>
      </c>
      <c r="Q125">
        <f>L125+IF(M125&gt;1,N(N125)*(M125-1),0)</f>
        <v/>
      </c>
      <c r="R125">
        <f>IFERROR(K125*MAX(M125,1)/Q125*P125,0)</f>
        <v/>
      </c>
      <c r="AA125" s="6" t="inlineStr">
        <is>
          <t>^RA2SmallArms, ^RA2Chaingun</t>
        </is>
      </c>
    </row>
    <row r="126">
      <c r="A126" t="inlineStr">
        <is>
          <t>redalert2mod</t>
        </is>
      </c>
      <c r="B126" t="inlineStr">
        <is>
          <t>scrapcar_demo.latin</t>
        </is>
      </c>
      <c r="C126" t="inlineStr">
        <is>
          <t>Bomb Car</t>
        </is>
      </c>
      <c r="D126" t="inlineStr"/>
      <c r="E126" s="5" t="n">
        <v>20000</v>
      </c>
      <c r="F126" s="5" t="n">
        <v>100</v>
      </c>
      <c r="G126" t="inlineStr">
        <is>
          <t>Light</t>
        </is>
      </c>
      <c r="H126" s="5" t="n">
        <v>1</v>
      </c>
      <c r="I126" s="5" t="n">
        <v>1</v>
      </c>
      <c r="J126" s="5" t="n">
        <v>1</v>
      </c>
      <c r="O126">
        <f>MAX(O127)</f>
        <v/>
      </c>
      <c r="R126">
        <f>R127</f>
        <v/>
      </c>
      <c r="S126">
        <f>(E126/100000+F126/100+(O126/1000)*J126/5+R126/200)*200*I126*H126</f>
        <v/>
      </c>
      <c r="T126">
        <f>((E126*F126/25000)+((O126/1000)*J126*R126/2.5))*I126*H126</f>
        <v/>
      </c>
      <c r="U126">
        <f>(E126*F126*(O126/1000)*J126*R126*I126*H126)/12500000</f>
        <v/>
      </c>
      <c r="V126">
        <f>(S126+T126+U126)/3</f>
        <v/>
      </c>
      <c r="W126" s="5" t="n">
        <v>500</v>
      </c>
      <c r="X126">
        <f>IFERROR(V126-W126,"")</f>
        <v/>
      </c>
      <c r="Y126">
        <f>IFERROR(ABS(X126)/MAX(W126,1),"")</f>
        <v/>
      </c>
      <c r="Z126">
        <f>IFERROR((W126-(((E126/100000+F126/100+R126/200)*200*I126*H126)+((E126*F126/25000)*I126*H126))/3)/(((J126/5)*200*I126*H126)+((J126*R126/2.5)*I126*H126)+((E126*F126*J126*R126*I126*H126)/12500000))/3*1000,"")</f>
        <v/>
      </c>
    </row>
    <row r="127">
      <c r="B127" s="6" t="inlineStr">
        <is>
          <t xml:space="preserve">  ↳ DemoTruckTargeting</t>
        </is>
      </c>
      <c r="C127" s="6" t="inlineStr">
        <is>
          <t>Armament@PRIMARY</t>
        </is>
      </c>
      <c r="K127" s="5" t="n"/>
      <c r="L127" s="5" t="n"/>
      <c r="M127" s="5" t="n">
        <v>1</v>
      </c>
      <c r="N127" s="5" t="n"/>
      <c r="O127" s="5" t="n">
        <v>2000</v>
      </c>
      <c r="P127" s="5" t="n">
        <v>1</v>
      </c>
      <c r="Q127">
        <f>L127+IF(M127&gt;1,N(N127)*(M127-1),0)</f>
        <v/>
      </c>
      <c r="R127">
        <f>IFERROR(K127*MAX(M127,1)/Q127*P127,0)</f>
        <v/>
      </c>
      <c r="AA127" s="6" t="inlineStr"/>
    </row>
    <row r="128">
      <c r="A128" t="inlineStr">
        <is>
          <t>redalert2mod</t>
        </is>
      </c>
      <c r="B128" t="inlineStr">
        <is>
          <t>scrapcar_driveby.latin</t>
        </is>
      </c>
      <c r="C128" t="inlineStr">
        <is>
          <t>Drive By Car</t>
        </is>
      </c>
      <c r="D128" t="inlineStr"/>
      <c r="E128" s="5" t="n">
        <v>25000</v>
      </c>
      <c r="F128" s="5" t="n">
        <v>100</v>
      </c>
      <c r="G128" t="inlineStr">
        <is>
          <t>Scout</t>
        </is>
      </c>
      <c r="H128" s="5" t="n">
        <v>1</v>
      </c>
      <c r="I128" s="5" t="n">
        <v>1</v>
      </c>
      <c r="J128" s="5" t="n">
        <v>1</v>
      </c>
      <c r="O128">
        <f>MAX(O129)</f>
        <v/>
      </c>
      <c r="R128">
        <f>R129</f>
        <v/>
      </c>
      <c r="S128">
        <f>(E128/100000+F128/100+(O128/1000)*J128/5+R128/200)*200*I128*H128</f>
        <v/>
      </c>
      <c r="T128">
        <f>((E128*F128/25000)+((O128/1000)*J128*R128/2.5))*I128*H128</f>
        <v/>
      </c>
      <c r="U128">
        <f>(E128*F128*(O128/1000)*J128*R128*I128*H128)/12500000</f>
        <v/>
      </c>
      <c r="V128">
        <f>(S128+T128+U128)/3</f>
        <v/>
      </c>
      <c r="W128" s="5" t="n">
        <v>1000</v>
      </c>
      <c r="X128">
        <f>IFERROR(V128-W128,"")</f>
        <v/>
      </c>
      <c r="Y128">
        <f>IFERROR(ABS(X128)/MAX(W128,1),"")</f>
        <v/>
      </c>
      <c r="Z128">
        <f>IFERROR((W128-(((E128/100000+F128/100+R128/200)*200*I128*H128)+((E128*F128/25000)*I128*H128))/3)/(((J128/5)*200*I128*H128)+((J128*R128/2.5)*I128*H128)+((E128*F128*J128*R128*I128*H128)/12500000))/3*1000,"")</f>
        <v/>
      </c>
    </row>
    <row r="129">
      <c r="B129" s="6" t="inlineStr">
        <is>
          <t xml:space="preserve">  ↳ RA220mmrapid</t>
        </is>
      </c>
      <c r="C129" s="6" t="inlineStr">
        <is>
          <t>Armament</t>
        </is>
      </c>
      <c r="K129" s="5" t="n">
        <v>4000</v>
      </c>
      <c r="L129" s="5" t="n">
        <v>15</v>
      </c>
      <c r="M129" s="5" t="n">
        <v>1</v>
      </c>
      <c r="N129" s="5" t="n"/>
      <c r="O129" s="5" t="n">
        <v>5000</v>
      </c>
      <c r="P129" s="5" t="n">
        <v>1</v>
      </c>
      <c r="Q129">
        <f>L129+IF(M129&gt;1,N(N129)*(M129-1),0)</f>
        <v/>
      </c>
      <c r="R129">
        <f>IFERROR(K129*MAX(M129,1)/Q129*P129,0)</f>
        <v/>
      </c>
      <c r="AA129" s="6" t="inlineStr">
        <is>
          <t>^RA2SmallArms, ^RA2Chaingun</t>
        </is>
      </c>
    </row>
    <row r="130">
      <c r="A130" s="3" t="inlineStr">
        <is>
          <t>AIRCRAFT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</row>
    <row r="131">
      <c r="A131" t="inlineStr">
        <is>
          <t>redalert2mod</t>
        </is>
      </c>
      <c r="B131" t="inlineStr">
        <is>
          <t>latinsyndicate_hindtransport</t>
        </is>
      </c>
      <c r="C131" t="inlineStr">
        <is>
          <t>Hind Transport</t>
        </is>
      </c>
      <c r="D131" t="inlineStr"/>
      <c r="E131" s="5" t="n">
        <v>95000</v>
      </c>
      <c r="F131" s="5" t="n">
        <v>90</v>
      </c>
      <c r="G131" t="inlineStr">
        <is>
          <t>Helicopter</t>
        </is>
      </c>
      <c r="H131" s="5" t="n">
        <v>1</v>
      </c>
      <c r="I131" s="5" t="n">
        <v>1</v>
      </c>
      <c r="J131" s="5" t="n">
        <v>1</v>
      </c>
      <c r="O131">
        <f>MAX(O132)</f>
        <v/>
      </c>
      <c r="R131">
        <f>R132</f>
        <v/>
      </c>
      <c r="S131">
        <f>(E131/100000+F131/100+(O131/1000)*J131/5+R131/200)*200*I131*H131</f>
        <v/>
      </c>
      <c r="T131">
        <f>((E131*F131/25000)+((O131/1000)*J131*R131/2.5))*I131*H131</f>
        <v/>
      </c>
      <c r="U131">
        <f>(E131*F131*(O131/1000)*J131*R131*I131*H131)/12500000</f>
        <v/>
      </c>
      <c r="V131">
        <f>(S131+T131+U131)/3</f>
        <v/>
      </c>
      <c r="W131" s="5" t="n">
        <v>2500</v>
      </c>
      <c r="X131">
        <f>IFERROR(V131-W131,"")</f>
        <v/>
      </c>
      <c r="Y131">
        <f>IFERROR(ABS(X131)/MAX(W131,1),"")</f>
        <v/>
      </c>
      <c r="Z131">
        <f>IFERROR((W131-(((E131/100000+F131/100+R131/200)*200*I131*H131)+((E131*F131/25000)*I131*H131))/3)/(((J131/5)*200*I131*H131)+((J131*R131/2.5)*I131*H131)+((E131*F131*J131*R131*I131*H131)/12500000))/3*1000,"")</f>
        <v/>
      </c>
    </row>
    <row r="132">
      <c r="B132" s="6" t="inlineStr">
        <is>
          <t xml:space="preserve">  ↳ BlackHawkCannon</t>
        </is>
      </c>
      <c r="C132" s="6" t="inlineStr">
        <is>
          <t>Armament@PRIMARY</t>
        </is>
      </c>
      <c r="K132" s="5" t="n">
        <v>2000</v>
      </c>
      <c r="L132" s="5" t="n">
        <v>3</v>
      </c>
      <c r="M132" s="5" t="n">
        <v>1</v>
      </c>
      <c r="N132" s="5" t="n"/>
      <c r="O132" s="5" t="n">
        <v>4750</v>
      </c>
      <c r="P132" s="5" t="n">
        <v>1</v>
      </c>
      <c r="Q132">
        <f>L132+IF(M132&gt;1,N(N132)*(M132-1),0)</f>
        <v/>
      </c>
      <c r="R132">
        <f>IFERROR(K132*MAX(M132,1)/Q132*P132,0)</f>
        <v/>
      </c>
      <c r="AA132" s="6" t="inlineStr">
        <is>
          <t>^RA2SmallArms, ^RA2Chaingun</t>
        </is>
      </c>
    </row>
    <row r="133">
      <c r="A133" t="inlineStr">
        <is>
          <t>redalert2mod</t>
        </is>
      </c>
      <c r="B133" t="inlineStr">
        <is>
          <t>latinsyndicate_mig21</t>
        </is>
      </c>
      <c r="C133" t="inlineStr">
        <is>
          <t>MiG-21</t>
        </is>
      </c>
      <c r="D133" t="inlineStr"/>
      <c r="E133" s="5" t="n">
        <v>50000</v>
      </c>
      <c r="F133" s="5" t="n">
        <v>190</v>
      </c>
      <c r="G133" t="inlineStr">
        <is>
          <t>Bomber</t>
        </is>
      </c>
      <c r="H133" s="5" t="n">
        <v>0.75</v>
      </c>
      <c r="I133" s="5" t="n">
        <v>1</v>
      </c>
      <c r="J133" s="5" t="n">
        <v>1</v>
      </c>
      <c r="O133">
        <f>MAX(O134,O135,O136,O137)</f>
        <v/>
      </c>
      <c r="R133">
        <f>R134+R135+R136+R137</f>
        <v/>
      </c>
      <c r="S133">
        <f>(E133/100000+F133/100+(O133/1000)*J133/5+R133/200)*200*I133*H133</f>
        <v/>
      </c>
      <c r="T133">
        <f>((E133*F133/25000)+((O133/1000)*J133*R133/2.5))*I133*H133</f>
        <v/>
      </c>
      <c r="U133">
        <f>(E133*F133*(O133/1000)*J133*R133*I133*H133)/12500000</f>
        <v/>
      </c>
      <c r="V133">
        <f>(S133+T133+U133)/3</f>
        <v/>
      </c>
      <c r="W133" s="5" t="n">
        <v>1000</v>
      </c>
      <c r="X133">
        <f>IFERROR(V133-W133,"")</f>
        <v/>
      </c>
      <c r="Y133">
        <f>IFERROR(ABS(X133)/MAX(W133,1),"")</f>
        <v/>
      </c>
      <c r="Z133">
        <f>IFERROR((W133-(((E133/100000+F133/100+R133/200)*200*I133*H133)+((E133*F133/25000)*I133*H133))/3)/(((J133/5)*200*I133*H133)+((J133*R133/2.5)*I133*H133)+((E133*F133*J133*R133*I133*H133)/12500000))/3*1000,"")</f>
        <v/>
      </c>
    </row>
    <row r="134">
      <c r="B134" s="6" t="inlineStr">
        <is>
          <t xml:space="preserve">  ↳ MigMissiles</t>
        </is>
      </c>
      <c r="C134" s="6" t="inlineStr">
        <is>
          <t>Armament</t>
        </is>
      </c>
      <c r="K134" s="5" t="n">
        <v>8000</v>
      </c>
      <c r="L134" s="5" t="n">
        <v>50</v>
      </c>
      <c r="M134" s="5" t="n">
        <v>4</v>
      </c>
      <c r="N134" s="5" t="n">
        <v>2</v>
      </c>
      <c r="O134" s="5" t="n">
        <v>7600</v>
      </c>
      <c r="P134" s="5" t="n">
        <v>1</v>
      </c>
      <c r="Q134">
        <f>L134+IF(M134&gt;1,N(N134)*(M134-1),0)</f>
        <v/>
      </c>
      <c r="R134">
        <f>IFERROR(K134*MAX(M134,1)/Q134*P134,0)</f>
        <v/>
      </c>
      <c r="AA134" s="6" t="inlineStr">
        <is>
          <t>^HeavyBomb, ^HeavyAAWeapon, ^FlakWeapon, ^RA2MediumMissile</t>
        </is>
      </c>
    </row>
    <row r="135">
      <c r="B135" s="6" t="inlineStr">
        <is>
          <t xml:space="preserve">  ↳ MigMissilesE</t>
        </is>
      </c>
      <c r="C135" s="6" t="inlineStr">
        <is>
          <t>Armament@PRIMARYELITE</t>
        </is>
      </c>
      <c r="K135" s="5" t="n">
        <v>8000</v>
      </c>
      <c r="L135" s="5" t="n">
        <v>50</v>
      </c>
      <c r="M135" s="5" t="n">
        <v>8</v>
      </c>
      <c r="N135" s="5" t="n">
        <v>2</v>
      </c>
      <c r="O135" s="5" t="n">
        <v>8600</v>
      </c>
      <c r="P135" s="5" t="n">
        <v>1</v>
      </c>
      <c r="Q135">
        <f>L135+IF(M135&gt;1,N(N135)*(M135-1),0)</f>
        <v/>
      </c>
      <c r="R135">
        <f>IFERROR(K135*MAX(M135,1)/Q135*P135,0)</f>
        <v/>
      </c>
      <c r="AA135" s="6" t="inlineStr">
        <is>
          <t>^HeavyBomb, ^HeavyAAWeapon, ^FlakWeapon, ^RA2MediumMissile</t>
        </is>
      </c>
    </row>
    <row r="136">
      <c r="B136" s="6" t="inlineStr">
        <is>
          <t xml:space="preserve">  ↳ MigMissiles_AA</t>
        </is>
      </c>
      <c r="C136" s="6" t="inlineStr">
        <is>
          <t>Armament@AA</t>
        </is>
      </c>
      <c r="K136" s="5" t="n">
        <v>8000</v>
      </c>
      <c r="L136" s="5" t="n">
        <v>50</v>
      </c>
      <c r="M136" s="5" t="n">
        <v>4</v>
      </c>
      <c r="N136" s="5" t="n">
        <v>2</v>
      </c>
      <c r="O136" s="5" t="n">
        <v>7600</v>
      </c>
      <c r="P136" s="5" t="n">
        <v>1</v>
      </c>
      <c r="Q136">
        <f>L136+IF(M136&gt;1,N(N136)*(M136-1),0)</f>
        <v/>
      </c>
      <c r="R136">
        <f>IFERROR(K136*MAX(M136,1)/Q136*P136,0)</f>
        <v/>
      </c>
      <c r="AA136" s="6" t="inlineStr">
        <is>
          <t>^HeavyBomb, ^HeavyAAWeapon, ^FlakWeapon, ^RA2MediumMissile</t>
        </is>
      </c>
    </row>
    <row r="137">
      <c r="B137" s="6" t="inlineStr">
        <is>
          <t xml:space="preserve">  ↳ MigMissiles_AA_ELITE</t>
        </is>
      </c>
      <c r="C137" s="6" t="inlineStr">
        <is>
          <t>Armament@AAELITE</t>
        </is>
      </c>
      <c r="K137" s="5" t="n">
        <v>8000</v>
      </c>
      <c r="L137" s="5" t="n">
        <v>50</v>
      </c>
      <c r="M137" s="5" t="n">
        <v>8</v>
      </c>
      <c r="N137" s="5" t="n">
        <v>2</v>
      </c>
      <c r="O137" s="5" t="n">
        <v>8600</v>
      </c>
      <c r="P137" s="5" t="n">
        <v>1</v>
      </c>
      <c r="Q137">
        <f>L137+IF(M137&gt;1,N(N137)*(M137-1),0)</f>
        <v/>
      </c>
      <c r="R137">
        <f>IFERROR(K137*MAX(M137,1)/Q137*P137,0)</f>
        <v/>
      </c>
      <c r="AA137" s="6" t="inlineStr">
        <is>
          <t>^HeavyBomb, ^HeavyAAWeapon, ^FlakWeapon, ^RA2MediumMissile</t>
        </is>
      </c>
    </row>
    <row r="138">
      <c r="A138" t="inlineStr">
        <is>
          <t>redalert2mod</t>
        </is>
      </c>
      <c r="B138" t="inlineStr">
        <is>
          <t>latinsyndicate_yakovlev</t>
        </is>
      </c>
      <c r="C138" t="inlineStr">
        <is>
          <t>Yakovlev</t>
        </is>
      </c>
      <c r="D138" t="inlineStr"/>
      <c r="E138" s="5" t="n">
        <v>40000</v>
      </c>
      <c r="F138" s="5" t="n">
        <v>165</v>
      </c>
      <c r="G138" t="inlineStr">
        <is>
          <t>Fighter</t>
        </is>
      </c>
      <c r="H138" s="5" t="n">
        <v>1</v>
      </c>
      <c r="I138" s="5" t="n">
        <v>1</v>
      </c>
      <c r="J138" s="5" t="n">
        <v>1</v>
      </c>
      <c r="O138">
        <f>MAX(O139,O140,O141)</f>
        <v/>
      </c>
      <c r="R138">
        <f>R139+R140+R141</f>
        <v/>
      </c>
      <c r="S138">
        <f>(E138/100000+F138/100+(O138/1000)*J138/5+R138/200)*200*I138*H138</f>
        <v/>
      </c>
      <c r="T138">
        <f>((E138*F138/25000)+((O138/1000)*J138*R138/2.5))*I138*H138</f>
        <v/>
      </c>
      <c r="U138">
        <f>(E138*F138*(O138/1000)*J138*R138*I138*H138)/12500000</f>
        <v/>
      </c>
      <c r="V138">
        <f>(S138+T138+U138)/3</f>
        <v/>
      </c>
      <c r="W138" s="5" t="n">
        <v>900</v>
      </c>
      <c r="X138">
        <f>IFERROR(V138-W138,"")</f>
        <v/>
      </c>
      <c r="Y138">
        <f>IFERROR(ABS(X138)/MAX(W138,1),"")</f>
        <v/>
      </c>
      <c r="Z138">
        <f>IFERROR((W138-(((E138/100000+F138/100+R138/200)*200*I138*H138)+((E138*F138/25000)*I138*H138))/3)/(((J138/5)*200*I138*H138)+((J138*R138/2.5)*I138*H138)+((E138*F138*J138*R138*I138*H138)/12500000))/3*1000,"")</f>
        <v/>
      </c>
    </row>
    <row r="139">
      <c r="B139" s="6" t="inlineStr">
        <is>
          <t xml:space="preserve">  ↳ YakovlevCannon</t>
        </is>
      </c>
      <c r="C139" s="6" t="inlineStr">
        <is>
          <t>Armament</t>
        </is>
      </c>
      <c r="K139" s="5" t="n">
        <v>2000</v>
      </c>
      <c r="L139" s="5" t="n">
        <v>80</v>
      </c>
      <c r="M139" s="5" t="n">
        <v>4</v>
      </c>
      <c r="N139" s="5" t="n">
        <v>5</v>
      </c>
      <c r="O139" s="5" t="n">
        <v>4444</v>
      </c>
      <c r="P139" s="5" t="n">
        <v>1</v>
      </c>
      <c r="Q139">
        <f>L139+IF(M139&gt;1,N(N139)*(M139-1),0)</f>
        <v/>
      </c>
      <c r="R139">
        <f>IFERROR(K139*MAX(M139,1)/Q139*P139,0)</f>
        <v/>
      </c>
      <c r="AA139" s="6" t="inlineStr">
        <is>
          <t>^TankDestroyerCannon, ^FlakWeapon, ^HeavyCannon, ^RA2Chaingun</t>
        </is>
      </c>
    </row>
    <row r="140">
      <c r="B140" s="6" t="inlineStr">
        <is>
          <t xml:space="preserve">  ↳ YakovlevCannonE</t>
        </is>
      </c>
      <c r="C140" s="6" t="inlineStr">
        <is>
          <t>Armament@ELITE</t>
        </is>
      </c>
      <c r="K140" s="5" t="n">
        <v>2000</v>
      </c>
      <c r="L140" s="5" t="n">
        <v>5</v>
      </c>
      <c r="M140" s="5" t="n">
        <v>1</v>
      </c>
      <c r="N140" s="5" t="n"/>
      <c r="O140" s="5" t="n">
        <v>5555</v>
      </c>
      <c r="P140" s="5" t="n">
        <v>1</v>
      </c>
      <c r="Q140">
        <f>L140+IF(M140&gt;1,N(N140)*(M140-1),0)</f>
        <v/>
      </c>
      <c r="R140">
        <f>IFERROR(K140*MAX(M140,1)/Q140*P140,0)</f>
        <v/>
      </c>
      <c r="AA140" s="6" t="inlineStr">
        <is>
          <t>^TankDestroyerCannon, ^FlakWeapon, ^HeavyCannon, ^RA2Chaingun</t>
        </is>
      </c>
    </row>
    <row r="141">
      <c r="B141" s="6" t="inlineStr">
        <is>
          <t xml:space="preserve">  ↳ YakovlevCannonE</t>
        </is>
      </c>
      <c r="C141" s="6" t="inlineStr">
        <is>
          <t>Armament@latinsyndicate_upgrade_yuristolentechchainguns</t>
        </is>
      </c>
      <c r="K141" s="5" t="n">
        <v>2000</v>
      </c>
      <c r="L141" s="5" t="n">
        <v>5</v>
      </c>
      <c r="M141" s="5" t="n">
        <v>1</v>
      </c>
      <c r="N141" s="5" t="n"/>
      <c r="O141" s="5" t="n">
        <v>5555</v>
      </c>
      <c r="P141" s="5" t="n">
        <v>1</v>
      </c>
      <c r="Q141">
        <f>L141+IF(M141&gt;1,N(N141)*(M141-1),0)</f>
        <v/>
      </c>
      <c r="R141">
        <f>IFERROR(K141*MAX(M141,1)/Q141*P141,0)</f>
        <v/>
      </c>
      <c r="AA141" s="6" t="inlineStr">
        <is>
          <t>^TankDestroyerCannon, ^FlakWeapon, ^HeavyCannon, ^RA2Chaingun</t>
        </is>
      </c>
    </row>
    <row r="142">
      <c r="A142" s="3" t="inlineStr">
        <is>
          <t>NAVAL</t>
        </is>
      </c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>
      <c r="A143" t="inlineStr">
        <is>
          <t>redalert2mod</t>
        </is>
      </c>
      <c r="B143" t="inlineStr">
        <is>
          <t>rammax.latin</t>
        </is>
      </c>
      <c r="C143" t="inlineStr">
        <is>
          <t>Rammax Drone</t>
        </is>
      </c>
      <c r="D143" t="inlineStr"/>
      <c r="E143" s="5" t="n">
        <v>47500</v>
      </c>
      <c r="F143" s="5" t="n">
        <v>125</v>
      </c>
      <c r="G143" t="inlineStr">
        <is>
          <t>Medium</t>
        </is>
      </c>
      <c r="H143" s="5" t="n">
        <v>1</v>
      </c>
      <c r="I143" s="5" t="n">
        <v>1</v>
      </c>
      <c r="J143" s="5" t="n">
        <v>1</v>
      </c>
      <c r="O143">
        <f>MAX(O144,O145)</f>
        <v/>
      </c>
      <c r="R143">
        <f>R144+R145</f>
        <v/>
      </c>
      <c r="S143">
        <f>(E143/100000+F143/100+(O143/1000)*J143/5+R143/200)*200*I143*H143</f>
        <v/>
      </c>
      <c r="T143">
        <f>((E143*F143/25000)+((O143/1000)*J143*R143/2.5))*I143*H143</f>
        <v/>
      </c>
      <c r="U143">
        <f>(E143*F143*(O143/1000)*J143*R143*I143*H143)/12500000</f>
        <v/>
      </c>
      <c r="V143">
        <f>(S143+T143+U143)/3</f>
        <v/>
      </c>
      <c r="W143" s="5" t="n">
        <v>800</v>
      </c>
      <c r="X143">
        <f>IFERROR(V143-W143,"")</f>
        <v/>
      </c>
      <c r="Y143">
        <f>IFERROR(ABS(X143)/MAX(W143,1),"")</f>
        <v/>
      </c>
      <c r="Z143">
        <f>IFERROR((W143-(((E143/100000+F143/100+R143/200)*200*I143*H143)+((E143*F143/25000)*I143*H143))/3)/(((J143/5)*200*I143*H143)+((J143*R143/2.5)*I143*H143)+((E143*F143*J143*R143*I143*H143)/12500000))/3*1000,"")</f>
        <v/>
      </c>
    </row>
    <row r="144">
      <c r="B144" s="6" t="inlineStr">
        <is>
          <t xml:space="preserve">  ↳ Rammax_Sabot</t>
        </is>
      </c>
      <c r="C144" s="6" t="inlineStr">
        <is>
          <t>Armament@PRIMARY</t>
        </is>
      </c>
      <c r="K144" s="5" t="n">
        <v>10000</v>
      </c>
      <c r="L144" s="5" t="n">
        <v>15</v>
      </c>
      <c r="M144" s="5" t="n">
        <v>1</v>
      </c>
      <c r="N144" s="5" t="n"/>
      <c r="O144" s="5" t="n">
        <v>3072</v>
      </c>
      <c r="P144" s="5" t="n">
        <v>1</v>
      </c>
      <c r="Q144">
        <f>L144+IF(M144&gt;1,N(N144)*(M144-1),0)</f>
        <v/>
      </c>
      <c r="R144">
        <f>IFERROR(K144*MAX(M144,1)/Q144*P144,0)</f>
        <v/>
      </c>
      <c r="AA144" s="6" t="inlineStr">
        <is>
          <t>^Chaingun, ^LaserWeapon, ^TeslaWeapon, ^TSLaserEffect</t>
        </is>
      </c>
    </row>
    <row r="145">
      <c r="B145" s="6" t="inlineStr">
        <is>
          <t xml:space="preserve">  ↳ Rammax_Sabot</t>
        </is>
      </c>
      <c r="C145" s="6" t="inlineStr">
        <is>
          <t>Armament@ELITE</t>
        </is>
      </c>
      <c r="K145" s="5" t="n">
        <v>10000</v>
      </c>
      <c r="L145" s="5" t="n">
        <v>15</v>
      </c>
      <c r="M145" s="5" t="n">
        <v>1</v>
      </c>
      <c r="N145" s="5" t="n"/>
      <c r="O145" s="5" t="n">
        <v>3072</v>
      </c>
      <c r="P145" s="5" t="n">
        <v>1</v>
      </c>
      <c r="Q145">
        <f>L145+IF(M145&gt;1,N(N145)*(M145-1),0)</f>
        <v/>
      </c>
      <c r="R145">
        <f>IFERROR(K145*MAX(M145,1)/Q145*P145,0)</f>
        <v/>
      </c>
      <c r="AA145" s="6" t="inlineStr">
        <is>
          <t>^Chaingun, ^LaserWeapon, ^TeslaWeapon, ^TSLaserEffect</t>
        </is>
      </c>
    </row>
    <row r="146">
      <c r="A146" t="inlineStr">
        <is>
          <t>redalert2mod</t>
        </is>
      </c>
      <c r="B146" t="inlineStr">
        <is>
          <t>sub.latin</t>
        </is>
      </c>
      <c r="C146" t="inlineStr">
        <is>
          <t>Akula</t>
        </is>
      </c>
      <c r="D146" t="inlineStr"/>
      <c r="E146" s="5" t="n">
        <v>240000</v>
      </c>
      <c r="F146" s="5" t="n">
        <v>55</v>
      </c>
      <c r="G146" t="inlineStr">
        <is>
          <t>Heavy</t>
        </is>
      </c>
      <c r="H146" s="5" t="n">
        <v>1</v>
      </c>
      <c r="I146" s="5" t="n">
        <v>1</v>
      </c>
      <c r="J146" s="5" t="n">
        <v>1</v>
      </c>
      <c r="O146">
        <f>MAX(O147)</f>
        <v/>
      </c>
      <c r="R146">
        <f>R147</f>
        <v/>
      </c>
      <c r="S146">
        <f>(E146/100000+F146/100+(O146/1000)*J146/5+R146/200)*200*I146*H146</f>
        <v/>
      </c>
      <c r="T146">
        <f>((E146*F146/25000)+((O146/1000)*J146*R146/2.5))*I146*H146</f>
        <v/>
      </c>
      <c r="U146">
        <f>(E146*F146*(O146/1000)*J146*R146*I146*H146)/12500000</f>
        <v/>
      </c>
      <c r="V146">
        <f>(S146+T146+U146)/3</f>
        <v/>
      </c>
      <c r="W146" s="5" t="n">
        <v>3600</v>
      </c>
      <c r="X146">
        <f>IFERROR(V146-W146,"")</f>
        <v/>
      </c>
      <c r="Y146">
        <f>IFERROR(ABS(X146)/MAX(W146,1),"")</f>
        <v/>
      </c>
      <c r="Z146">
        <f>IFERROR((W146-(((E146/100000+F146/100+R146/200)*200*I146*H146)+((E146*F146/25000)*I146*H146))/3)/(((J146/5)*200*I146*H146)+((J146*R146/2.5)*I146*H146)+((E146*F146*J146*R146*I146*H146)/12500000))/3*1000,"")</f>
        <v/>
      </c>
    </row>
    <row r="147">
      <c r="B147" s="6" t="inlineStr">
        <is>
          <t xml:space="preserve">  ↳ RA2AkulaRockets</t>
        </is>
      </c>
      <c r="C147" s="6" t="inlineStr">
        <is>
          <t>Armament@ARTILLERY</t>
        </is>
      </c>
      <c r="K147" s="5" t="n">
        <v>8000</v>
      </c>
      <c r="L147" s="5" t="n">
        <v>500</v>
      </c>
      <c r="M147" s="5" t="n">
        <v>8</v>
      </c>
      <c r="N147" s="5" t="n">
        <v>15</v>
      </c>
      <c r="O147" s="5" t="n">
        <v>24000</v>
      </c>
      <c r="P147" s="5" t="n">
        <v>1</v>
      </c>
      <c r="Q147">
        <f>L147+IF(M147&gt;1,N(N147)*(M147-1),0)</f>
        <v/>
      </c>
      <c r="R147">
        <f>IFERROR(K147*MAX(M147,1)/Q147*P147,0)</f>
        <v/>
      </c>
      <c r="AA147" s="6" t="inlineStr">
        <is>
          <t>^HeavyBomb, ^RA2Grenade, ^RA2MediumMissile, ^RA2RadShell</t>
        </is>
      </c>
    </row>
    <row r="148">
      <c r="A148" t="inlineStr">
        <is>
          <t>redalert2mod</t>
        </is>
      </c>
      <c r="B148" t="inlineStr">
        <is>
          <t>triton.latin</t>
        </is>
      </c>
      <c r="C148" t="inlineStr">
        <is>
          <t>Triton Speedboat</t>
        </is>
      </c>
      <c r="D148" t="inlineStr"/>
      <c r="E148" s="5" t="n">
        <v>37500</v>
      </c>
      <c r="F148" s="5" t="n">
        <v>125</v>
      </c>
      <c r="G148" t="inlineStr">
        <is>
          <t>Light</t>
        </is>
      </c>
      <c r="H148" s="5" t="n">
        <v>1</v>
      </c>
      <c r="I148" s="5" t="n">
        <v>1</v>
      </c>
      <c r="J148" s="5" t="n">
        <v>1</v>
      </c>
      <c r="O148">
        <f>MAX(O149,O150)</f>
        <v/>
      </c>
      <c r="R148">
        <f>R149+R150</f>
        <v/>
      </c>
      <c r="S148">
        <f>(E148/100000+F148/100+(O148/1000)*J148/5+R148/200)*200*I148*H148</f>
        <v/>
      </c>
      <c r="T148">
        <f>((E148*F148/25000)+((O148/1000)*J148*R148/2.5))*I148*H148</f>
        <v/>
      </c>
      <c r="U148">
        <f>(E148*F148*(O148/1000)*J148*R148*I148*H148)/12500000</f>
        <v/>
      </c>
      <c r="V148">
        <f>(S148+T148+U148)/3</f>
        <v/>
      </c>
      <c r="W148" s="5" t="n">
        <v>700</v>
      </c>
      <c r="X148">
        <f>IFERROR(V148-W148,"")</f>
        <v/>
      </c>
      <c r="Y148">
        <f>IFERROR(ABS(X148)/MAX(W148,1),"")</f>
        <v/>
      </c>
      <c r="Z148">
        <f>IFERROR((W148-(((E148/100000+F148/100+R148/200)*200*I148*H148)+((E148*F148/25000)*I148*H148))/3)/(((J148/5)*200*I148*H148)+((J148*R148/2.5)*I148*H148)+((E148*F148*J148*R148*I148*H148)/12500000))/3*1000,"")</f>
        <v/>
      </c>
    </row>
    <row r="149">
      <c r="B149" s="6" t="inlineStr">
        <is>
          <t xml:space="preserve">  ↳ LatinSentryMG</t>
        </is>
      </c>
      <c r="C149" s="6" t="inlineStr">
        <is>
          <t>Armament@PRIMARY</t>
        </is>
      </c>
      <c r="K149" s="5" t="n">
        <v>2000</v>
      </c>
      <c r="L149" s="5" t="n">
        <v>30</v>
      </c>
      <c r="M149" s="5" t="n">
        <v>3</v>
      </c>
      <c r="N149" s="5" t="n">
        <v>3</v>
      </c>
      <c r="O149" s="5" t="n">
        <v>6666</v>
      </c>
      <c r="P149" s="5" t="n">
        <v>1</v>
      </c>
      <c r="Q149">
        <f>L149+IF(M149&gt;1,N(N149)*(M149-1),0)</f>
        <v/>
      </c>
      <c r="R149">
        <f>IFERROR(K149*MAX(M149,1)/Q149*P149,0)</f>
        <v/>
      </c>
      <c r="AA149" s="6" t="inlineStr">
        <is>
          <t>^HeavyCannon, ^RA2SmallArms, ^RA2Chaingun</t>
        </is>
      </c>
    </row>
    <row r="150">
      <c r="B150" s="6" t="inlineStr">
        <is>
          <t xml:space="preserve">  ↳ LatinSentryMGE</t>
        </is>
      </c>
      <c r="C150" s="6" t="inlineStr">
        <is>
          <t>Armament@ELITE</t>
        </is>
      </c>
      <c r="K150" s="5" t="n">
        <v>2000</v>
      </c>
      <c r="L150" s="5" t="n">
        <v>30</v>
      </c>
      <c r="M150" s="5" t="n">
        <v>3</v>
      </c>
      <c r="N150" s="5" t="n">
        <v>3</v>
      </c>
      <c r="O150" s="5" t="n">
        <v>7777</v>
      </c>
      <c r="P150" s="5" t="n">
        <v>1</v>
      </c>
      <c r="Q150">
        <f>L150+IF(M150&gt;1,N(N150)*(M150-1),0)</f>
        <v/>
      </c>
      <c r="R150">
        <f>IFERROR(K150*MAX(M150,1)/Q150*P150,0)</f>
        <v/>
      </c>
      <c r="AA150" s="6" t="inlineStr">
        <is>
          <t>^HeavyCannon, ^RA2SmallArms, ^RA2Chaingun</t>
        </is>
      </c>
    </row>
    <row r="151">
      <c r="A151" s="3" t="inlineStr">
        <is>
          <t>BUILDINGS</t>
        </is>
      </c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>
      <c r="A152" t="inlineStr">
        <is>
          <t>redalert2mod</t>
        </is>
      </c>
      <c r="B152" t="inlineStr">
        <is>
          <t>cgyard.latin</t>
        </is>
      </c>
      <c r="C152" t="inlineStr">
        <is>
          <t>Syndicate Naval Yard</t>
        </is>
      </c>
      <c r="D152" t="inlineStr"/>
      <c r="E152" s="5" t="n">
        <v>600000</v>
      </c>
      <c r="F152" s="5" t="n"/>
      <c r="G152" t="inlineStr">
        <is>
          <t>Concrete</t>
        </is>
      </c>
      <c r="H152" s="5" t="n">
        <v>1</v>
      </c>
      <c r="I152" s="5" t="n">
        <v>1</v>
      </c>
      <c r="J152" s="5" t="n">
        <v>1</v>
      </c>
      <c r="W152" s="5" t="n">
        <v>3000</v>
      </c>
    </row>
    <row r="153">
      <c r="A153" t="inlineStr">
        <is>
          <t>redalert2mod</t>
        </is>
      </c>
      <c r="B153" t="inlineStr">
        <is>
          <t>latinsyndicate_airstation</t>
        </is>
      </c>
      <c r="C153" t="inlineStr">
        <is>
          <t>Air Station</t>
        </is>
      </c>
      <c r="D153" t="inlineStr"/>
      <c r="E153" s="5" t="n">
        <v>300000</v>
      </c>
      <c r="F153" s="5" t="n"/>
      <c r="G153" t="inlineStr">
        <is>
          <t>Wood</t>
        </is>
      </c>
      <c r="H153" s="5" t="n">
        <v>1</v>
      </c>
      <c r="I153" s="5" t="n">
        <v>1</v>
      </c>
      <c r="J153" s="5" t="n">
        <v>1</v>
      </c>
      <c r="W153" s="5" t="n">
        <v>1500</v>
      </c>
    </row>
    <row r="154">
      <c r="A154" t="inlineStr">
        <is>
          <t>redalert2mod</t>
        </is>
      </c>
      <c r="B154" t="inlineStr">
        <is>
          <t>latinsyndicate_bunkertower</t>
        </is>
      </c>
      <c r="C154" t="inlineStr">
        <is>
          <t>Bunker Tower</t>
        </is>
      </c>
      <c r="D154" t="inlineStr"/>
      <c r="E154" s="5" t="n">
        <v>60000</v>
      </c>
      <c r="F154" s="5" t="n"/>
      <c r="G154" t="inlineStr">
        <is>
          <t>Steel</t>
        </is>
      </c>
      <c r="H154" s="5" t="n">
        <v>1</v>
      </c>
      <c r="I154" s="5" t="n">
        <v>1</v>
      </c>
      <c r="J154" s="5" t="n">
        <v>1</v>
      </c>
      <c r="W154" s="5" t="n">
        <v>600</v>
      </c>
    </row>
    <row r="155">
      <c r="A155" t="inlineStr">
        <is>
          <t>redalert2mod</t>
        </is>
      </c>
      <c r="B155" t="inlineStr">
        <is>
          <t>latinsyndicate_combatbarracks</t>
        </is>
      </c>
      <c r="C155" t="inlineStr">
        <is>
          <t>Combat Barracks</t>
        </is>
      </c>
      <c r="D155" t="inlineStr"/>
      <c r="E155" s="5" t="n">
        <v>200000</v>
      </c>
      <c r="F155" s="5" t="n"/>
      <c r="G155" t="inlineStr">
        <is>
          <t>Wood</t>
        </is>
      </c>
      <c r="H155" s="5" t="n">
        <v>1</v>
      </c>
      <c r="I155" s="5" t="n">
        <v>1</v>
      </c>
      <c r="J155" s="5" t="n">
        <v>1</v>
      </c>
      <c r="W155" s="5" t="n">
        <v>1000</v>
      </c>
    </row>
    <row r="156">
      <c r="A156" t="inlineStr">
        <is>
          <t>redalert2mod</t>
        </is>
      </c>
      <c r="B156" t="inlineStr">
        <is>
          <t>latinsyndicate_defensebureau</t>
        </is>
      </c>
      <c r="C156" t="inlineStr">
        <is>
          <t>Defense Bureau</t>
        </is>
      </c>
      <c r="D156" t="inlineStr"/>
      <c r="E156" s="5" t="n">
        <v>500000</v>
      </c>
      <c r="F156" s="5" t="n"/>
      <c r="G156" t="inlineStr">
        <is>
          <t>Concrete</t>
        </is>
      </c>
      <c r="H156" s="5" t="n">
        <v>1</v>
      </c>
      <c r="I156" s="5" t="n">
        <v>1</v>
      </c>
      <c r="J156" s="5" t="n">
        <v>1</v>
      </c>
      <c r="W156" s="5" t="n">
        <v>5000</v>
      </c>
    </row>
    <row r="157">
      <c r="A157" t="inlineStr">
        <is>
          <t>redalert2mod</t>
        </is>
      </c>
      <c r="B157" t="inlineStr">
        <is>
          <t>latinsyndicate_latinaadefender</t>
        </is>
      </c>
      <c r="C157" t="inlineStr">
        <is>
          <t>Latin AA Defender</t>
        </is>
      </c>
      <c r="D157" t="inlineStr"/>
      <c r="E157" s="5" t="n">
        <v>132500</v>
      </c>
      <c r="F157" s="5" t="n"/>
      <c r="G157" t="inlineStr">
        <is>
          <t>Concrete</t>
        </is>
      </c>
      <c r="H157" s="5" t="n">
        <v>1</v>
      </c>
      <c r="I157" s="5" t="n">
        <v>1</v>
      </c>
      <c r="J157" s="5" t="n">
        <v>1</v>
      </c>
      <c r="W157" s="5" t="n">
        <v>1500</v>
      </c>
    </row>
    <row r="158">
      <c r="B158" s="6" t="inlineStr">
        <is>
          <t xml:space="preserve">  ↳ LatinAADefenderCannon</t>
        </is>
      </c>
      <c r="C158" s="6" t="inlineStr">
        <is>
          <t>Armament@1</t>
        </is>
      </c>
      <c r="K158" s="5" t="n">
        <v>2000</v>
      </c>
      <c r="L158" s="5" t="n">
        <v>20</v>
      </c>
      <c r="M158" s="5" t="n">
        <v>2</v>
      </c>
      <c r="N158" s="5" t="n">
        <v>0</v>
      </c>
      <c r="O158" s="5" t="n">
        <v>15000</v>
      </c>
      <c r="P158" s="5" t="n">
        <v>1</v>
      </c>
      <c r="Q158">
        <f>L158+IF(M158&gt;1,N(N158)*(M158-1),0)</f>
        <v/>
      </c>
      <c r="R158">
        <f>IFERROR(K158*MAX(M158,1)/Q158*P158,0)</f>
        <v/>
      </c>
      <c r="AA158" s="6" t="inlineStr">
        <is>
          <t>^MediumMissile, ^RA2FlakWeapon</t>
        </is>
      </c>
    </row>
    <row r="159">
      <c r="B159" s="6" t="inlineStr">
        <is>
          <t xml:space="preserve">  ↳ LatinAADefenderCannon</t>
        </is>
      </c>
      <c r="C159" s="6" t="inlineStr">
        <is>
          <t>Armament@2</t>
        </is>
      </c>
      <c r="K159" s="5" t="n">
        <v>2000</v>
      </c>
      <c r="L159" s="5" t="n">
        <v>20</v>
      </c>
      <c r="M159" s="5" t="n">
        <v>2</v>
      </c>
      <c r="N159" s="5" t="n">
        <v>0</v>
      </c>
      <c r="O159" s="5" t="n">
        <v>15000</v>
      </c>
      <c r="P159" s="5" t="n">
        <v>1</v>
      </c>
      <c r="Q159">
        <f>L159+IF(M159&gt;1,N(N159)*(M159-1),0)</f>
        <v/>
      </c>
      <c r="R159">
        <f>IFERROR(K159*MAX(M159,1)/Q159*P159,0)</f>
        <v/>
      </c>
      <c r="AA159" s="6" t="inlineStr">
        <is>
          <t>^MediumMissile, ^RA2FlakWeapon</t>
        </is>
      </c>
    </row>
    <row r="160">
      <c r="A160" t="inlineStr">
        <is>
          <t>redalert2mod</t>
        </is>
      </c>
      <c r="B160" t="inlineStr">
        <is>
          <t>latinsyndicate_latinempradar</t>
        </is>
      </c>
      <c r="C160" t="inlineStr">
        <is>
          <t>Latin EMP Radar</t>
        </is>
      </c>
      <c r="D160" t="inlineStr"/>
      <c r="E160" s="5" t="n">
        <v>250000</v>
      </c>
      <c r="F160" s="5" t="n"/>
      <c r="G160" t="inlineStr">
        <is>
          <t>Wood</t>
        </is>
      </c>
      <c r="H160" s="5" t="n">
        <v>1</v>
      </c>
      <c r="I160" s="5" t="n">
        <v>1</v>
      </c>
      <c r="J160" s="5" t="n">
        <v>1</v>
      </c>
      <c r="W160" s="5" t="n">
        <v>2500</v>
      </c>
    </row>
    <row r="161">
      <c r="A161" t="inlineStr">
        <is>
          <t>redalert2mod</t>
        </is>
      </c>
      <c r="B161" t="inlineStr">
        <is>
          <t>latinsyndicate_latinsentrygun</t>
        </is>
      </c>
      <c r="C161" t="inlineStr">
        <is>
          <t>Latin Sentry Gun</t>
        </is>
      </c>
      <c r="D161" t="inlineStr"/>
      <c r="E161" s="5" t="n">
        <v>113500</v>
      </c>
      <c r="F161" s="5" t="n"/>
      <c r="G161" t="inlineStr">
        <is>
          <t>Concrete</t>
        </is>
      </c>
      <c r="H161" s="5" t="n">
        <v>1</v>
      </c>
      <c r="I161" s="5" t="n">
        <v>0.35</v>
      </c>
      <c r="J161" s="5" t="n">
        <v>1</v>
      </c>
      <c r="W161" s="5" t="n">
        <v>700</v>
      </c>
    </row>
    <row r="162">
      <c r="B162" s="6" t="inlineStr">
        <is>
          <t xml:space="preserve">  ↳ LatinSentryMG</t>
        </is>
      </c>
      <c r="C162" s="6" t="inlineStr">
        <is>
          <t>Armament@PRIMARY</t>
        </is>
      </c>
      <c r="K162" s="5" t="n">
        <v>2000</v>
      </c>
      <c r="L162" s="5" t="n">
        <v>30</v>
      </c>
      <c r="M162" s="5" t="n">
        <v>3</v>
      </c>
      <c r="N162" s="5" t="n">
        <v>3</v>
      </c>
      <c r="O162" s="5" t="n">
        <v>6666</v>
      </c>
      <c r="P162" s="5" t="n">
        <v>1</v>
      </c>
      <c r="Q162">
        <f>L162+IF(M162&gt;1,N(N162)*(M162-1),0)</f>
        <v/>
      </c>
      <c r="R162">
        <f>IFERROR(K162*MAX(M162,1)/Q162*P162,0)</f>
        <v/>
      </c>
      <c r="AA162" s="6" t="inlineStr">
        <is>
          <t>^HeavyCannon, ^RA2SmallArms, ^RA2Chaingun</t>
        </is>
      </c>
    </row>
    <row r="163">
      <c r="B163" s="6" t="inlineStr">
        <is>
          <t xml:space="preserve">  ↳ LatinSentryMGE</t>
        </is>
      </c>
      <c r="C163" s="6" t="inlineStr">
        <is>
          <t>Armament@ELITE</t>
        </is>
      </c>
      <c r="K163" s="5" t="n">
        <v>2000</v>
      </c>
      <c r="L163" s="5" t="n">
        <v>30</v>
      </c>
      <c r="M163" s="5" t="n">
        <v>3</v>
      </c>
      <c r="N163" s="5" t="n">
        <v>3</v>
      </c>
      <c r="O163" s="5" t="n">
        <v>7777</v>
      </c>
      <c r="P163" s="5" t="n">
        <v>1</v>
      </c>
      <c r="Q163">
        <f>L163+IF(M163&gt;1,N(N163)*(M163-1),0)</f>
        <v/>
      </c>
      <c r="R163">
        <f>IFERROR(K163*MAX(M163,1)/Q163*P163,0)</f>
        <v/>
      </c>
      <c r="AA163" s="6" t="inlineStr">
        <is>
          <t>^HeavyCannon, ^RA2SmallArms, ^RA2Chaingun</t>
        </is>
      </c>
    </row>
    <row r="164">
      <c r="A164" t="inlineStr">
        <is>
          <t>redalert2mod</t>
        </is>
      </c>
      <c r="B164" t="inlineStr">
        <is>
          <t>latinsyndicate_powerstation</t>
        </is>
      </c>
      <c r="C164" t="inlineStr">
        <is>
          <t>Power Station</t>
        </is>
      </c>
      <c r="D164" t="inlineStr"/>
      <c r="E164" s="5" t="n">
        <v>200000</v>
      </c>
      <c r="F164" s="5" t="n"/>
      <c r="G164" t="inlineStr">
        <is>
          <t>Concrete</t>
        </is>
      </c>
      <c r="H164" s="5" t="n">
        <v>1</v>
      </c>
      <c r="I164" s="5" t="n">
        <v>1</v>
      </c>
      <c r="J164" s="5" t="n">
        <v>1</v>
      </c>
      <c r="W164" s="5" t="n">
        <v>1000</v>
      </c>
    </row>
    <row r="165">
      <c r="A165" t="inlineStr">
        <is>
          <t>redalert2mod</t>
        </is>
      </c>
      <c r="B165" t="inlineStr">
        <is>
          <t>latinsyndicate_recyclingcenter</t>
        </is>
      </c>
      <c r="C165" t="inlineStr">
        <is>
          <t>Recycling Center</t>
        </is>
      </c>
      <c r="D165" t="inlineStr"/>
      <c r="E165" s="5" t="n">
        <v>500000</v>
      </c>
      <c r="F165" s="5" t="n"/>
      <c r="G165" t="inlineStr">
        <is>
          <t>Concrete</t>
        </is>
      </c>
      <c r="H165" s="5" t="n">
        <v>1</v>
      </c>
      <c r="I165" s="5" t="n">
        <v>1</v>
      </c>
      <c r="J165" s="5" t="n">
        <v>1</v>
      </c>
      <c r="W165" s="5" t="n">
        <v>5000</v>
      </c>
    </row>
    <row r="166">
      <c r="A166" t="inlineStr">
        <is>
          <t>redalert2mod</t>
        </is>
      </c>
      <c r="B166" t="inlineStr">
        <is>
          <t>latinsyndicate_recyclingrefinery</t>
        </is>
      </c>
      <c r="C166" t="inlineStr">
        <is>
          <t>Recycling Refinery</t>
        </is>
      </c>
      <c r="D166" t="inlineStr"/>
      <c r="E166" s="5" t="n">
        <v>300000</v>
      </c>
      <c r="F166" s="5" t="n"/>
      <c r="G166" t="inlineStr">
        <is>
          <t>Concrete</t>
        </is>
      </c>
      <c r="H166" s="5" t="n">
        <v>1</v>
      </c>
      <c r="I166" s="5" t="n">
        <v>1</v>
      </c>
      <c r="J166" s="5" t="n">
        <v>1</v>
      </c>
      <c r="W166" s="5" t="n">
        <v>3000</v>
      </c>
    </row>
    <row r="167">
      <c r="A167" t="inlineStr">
        <is>
          <t>redalert2mod</t>
        </is>
      </c>
      <c r="B167" t="inlineStr">
        <is>
          <t>latinsyndicate_smlturret</t>
        </is>
      </c>
      <c r="C167" t="inlineStr">
        <is>
          <t>SML Turret</t>
        </is>
      </c>
      <c r="D167" t="inlineStr"/>
      <c r="E167" s="5" t="n">
        <v>300000</v>
      </c>
      <c r="F167" s="5" t="n"/>
      <c r="G167" t="inlineStr">
        <is>
          <t>Steel</t>
        </is>
      </c>
      <c r="H167" s="5" t="n">
        <v>1</v>
      </c>
      <c r="I167" s="5" t="n">
        <v>1</v>
      </c>
      <c r="J167" s="5" t="n">
        <v>1</v>
      </c>
      <c r="W167" s="5" t="n">
        <v>5000</v>
      </c>
    </row>
    <row r="168">
      <c r="B168" s="6" t="inlineStr">
        <is>
          <t xml:space="preserve">  ↳ SMLLauncher</t>
        </is>
      </c>
      <c r="C168" s="6" t="inlineStr">
        <is>
          <t>Armament</t>
        </is>
      </c>
      <c r="K168" s="5" t="n"/>
      <c r="L168" s="5" t="n">
        <v>125</v>
      </c>
      <c r="M168" s="5" t="n">
        <v>4</v>
      </c>
      <c r="N168" s="5" t="n"/>
      <c r="O168" s="5" t="n">
        <v>15000</v>
      </c>
      <c r="P168" s="5" t="n">
        <v>1</v>
      </c>
      <c r="Q168">
        <f>L168+IF(M168&gt;1,N(N168)*(M168-1),0)</f>
        <v/>
      </c>
      <c r="R168">
        <f>IFERROR(K168*MAX(M168,1)/Q168*P168,0)</f>
        <v/>
      </c>
      <c r="AA168" s="6" t="inlineStr"/>
    </row>
    <row r="169">
      <c r="A169" t="inlineStr">
        <is>
          <t>redalert2mod</t>
        </is>
      </c>
      <c r="B169" t="inlineStr">
        <is>
          <t>latinsyndicate_spycenter</t>
        </is>
      </c>
      <c r="C169" t="inlineStr">
        <is>
          <t>Spy Center</t>
        </is>
      </c>
      <c r="D169" t="inlineStr"/>
      <c r="E169" s="5" t="n">
        <v>500000</v>
      </c>
      <c r="F169" s="5" t="n"/>
      <c r="G169" t="inlineStr">
        <is>
          <t>Concrete</t>
        </is>
      </c>
      <c r="H169" s="5" t="n">
        <v>1</v>
      </c>
      <c r="I169" s="5" t="n">
        <v>1</v>
      </c>
      <c r="J169" s="5" t="n">
        <v>1</v>
      </c>
      <c r="W169" s="5" t="n">
        <v>5000</v>
      </c>
    </row>
    <row r="170">
      <c r="A170" t="inlineStr">
        <is>
          <t>redalert2mod</t>
        </is>
      </c>
      <c r="B170" t="inlineStr">
        <is>
          <t>latinsyndicate_syndicateconstructionyard</t>
        </is>
      </c>
      <c r="C170" t="inlineStr">
        <is>
          <t>Syndicate Construction Yard</t>
        </is>
      </c>
      <c r="D170" t="inlineStr"/>
      <c r="E170" s="5" t="n">
        <v>1000000</v>
      </c>
      <c r="F170" s="5" t="n"/>
      <c r="G170" t="inlineStr">
        <is>
          <t>Concrete</t>
        </is>
      </c>
      <c r="H170" s="5" t="n">
        <v>1</v>
      </c>
      <c r="I170" s="5" t="n">
        <v>1</v>
      </c>
      <c r="J170" s="5" t="n">
        <v>1</v>
      </c>
      <c r="W170" s="5" t="n">
        <v>5000</v>
      </c>
    </row>
    <row r="171">
      <c r="A171" t="inlineStr">
        <is>
          <t>redalert2mod</t>
        </is>
      </c>
      <c r="B171" t="inlineStr">
        <is>
          <t>latinsyndicate_syndicatefactory</t>
        </is>
      </c>
      <c r="C171" t="inlineStr">
        <is>
          <t>Syndicate Factory</t>
        </is>
      </c>
      <c r="D171" t="inlineStr"/>
      <c r="E171" s="5" t="n">
        <v>400000</v>
      </c>
      <c r="F171" s="5" t="n"/>
      <c r="G171" t="inlineStr">
        <is>
          <t>Concrete</t>
        </is>
      </c>
      <c r="H171" s="5" t="n">
        <v>1</v>
      </c>
      <c r="I171" s="5" t="n">
        <v>1</v>
      </c>
      <c r="J171" s="5" t="n">
        <v>1</v>
      </c>
      <c r="W171" s="5" t="n">
        <v>2000</v>
      </c>
    </row>
    <row r="172">
      <c r="A172" t="inlineStr">
        <is>
          <t>redalert2mod</t>
        </is>
      </c>
      <c r="B172" t="inlineStr">
        <is>
          <t>latinsyndicate_syndicateservicedepot</t>
        </is>
      </c>
      <c r="C172" t="inlineStr">
        <is>
          <t>Syndicate Service Depot</t>
        </is>
      </c>
      <c r="D172" t="inlineStr"/>
      <c r="E172" s="5" t="n">
        <v>250000</v>
      </c>
      <c r="F172" s="5" t="n"/>
      <c r="G172" t="inlineStr">
        <is>
          <t>Concrete</t>
        </is>
      </c>
      <c r="H172" s="5" t="n">
        <v>1</v>
      </c>
      <c r="I172" s="5" t="n">
        <v>1</v>
      </c>
      <c r="J172" s="5" t="n">
        <v>1</v>
      </c>
      <c r="W172" s="5" t="n">
        <v>1000</v>
      </c>
    </row>
    <row r="173">
      <c r="A173" t="inlineStr">
        <is>
          <t>redalert2mod</t>
        </is>
      </c>
      <c r="B173" t="inlineStr">
        <is>
          <t>latinsyndicate_topolsilo</t>
        </is>
      </c>
      <c r="C173" t="inlineStr">
        <is>
          <t>Topol Silo</t>
        </is>
      </c>
      <c r="D173" t="inlineStr"/>
      <c r="E173" s="5" t="n">
        <v>1000000</v>
      </c>
      <c r="F173" s="5" t="n"/>
      <c r="G173" t="inlineStr">
        <is>
          <t>Concrete</t>
        </is>
      </c>
      <c r="H173" s="5" t="n">
        <v>1</v>
      </c>
      <c r="I173" s="5" t="n">
        <v>1</v>
      </c>
      <c r="J173" s="5" t="n">
        <v>1</v>
      </c>
      <c r="W173" s="5" t="n">
        <v>10000</v>
      </c>
    </row>
    <row r="174">
      <c r="A174" s="3" t="inlineStr">
        <is>
          <t>UPGRADES</t>
        </is>
      </c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>
      <c r="A175" t="inlineStr">
        <is>
          <t>redalert2mod</t>
        </is>
      </c>
      <c r="B175" t="inlineStr">
        <is>
          <t>cgcnst_infiltrated.latin</t>
        </is>
      </c>
      <c r="C175" t="inlineStr">
        <is>
          <t>Stolen Syndicate Buildings Plans</t>
        </is>
      </c>
      <c r="D175" t="inlineStr"/>
      <c r="E175" s="5" t="n"/>
      <c r="F175" s="5" t="n"/>
      <c r="H175" s="5" t="n">
        <v>1</v>
      </c>
      <c r="I175" s="5" t="n">
        <v>1</v>
      </c>
      <c r="J175" s="5" t="n">
        <v>1</v>
      </c>
      <c r="W175" s="5" t="n"/>
    </row>
    <row r="176">
      <c r="A176" t="inlineStr">
        <is>
          <t>redalert2mod</t>
        </is>
      </c>
      <c r="B176" t="inlineStr">
        <is>
          <t>latinsyndicate_doctrine_cartelrockets</t>
        </is>
      </c>
      <c r="C176" t="inlineStr">
        <is>
          <t>Cartel Rockets</t>
        </is>
      </c>
      <c r="D176" t="inlineStr"/>
      <c r="E176" s="5" t="n"/>
      <c r="F176" s="5" t="n"/>
      <c r="H176" s="5" t="n">
        <v>1</v>
      </c>
      <c r="I176" s="5" t="n">
        <v>1</v>
      </c>
      <c r="J176" s="5" t="n">
        <v>1</v>
      </c>
      <c r="W176" s="5" t="n">
        <v>5000</v>
      </c>
    </row>
    <row r="177">
      <c r="A177" t="inlineStr">
        <is>
          <t>redalert2mod</t>
        </is>
      </c>
      <c r="B177" t="inlineStr">
        <is>
          <t>latinsyndicate_doctrine_eliteguerillas</t>
        </is>
      </c>
      <c r="C177" t="inlineStr">
        <is>
          <t>Elite Guerillas</t>
        </is>
      </c>
      <c r="D177" t="inlineStr"/>
      <c r="E177" s="5" t="n"/>
      <c r="F177" s="5" t="n"/>
      <c r="H177" s="5" t="n">
        <v>1</v>
      </c>
      <c r="I177" s="5" t="n">
        <v>1</v>
      </c>
      <c r="J177" s="5" t="n">
        <v>1</v>
      </c>
      <c r="W177" s="5" t="n">
        <v>5000</v>
      </c>
    </row>
    <row r="178">
      <c r="A178" t="inlineStr">
        <is>
          <t>redalert2mod</t>
        </is>
      </c>
      <c r="B178" t="inlineStr">
        <is>
          <t>latinsyndicate_doctrine_lightposts</t>
        </is>
      </c>
      <c r="C178" t="inlineStr">
        <is>
          <t>Lightposts</t>
        </is>
      </c>
      <c r="D178" t="inlineStr"/>
      <c r="E178" s="5" t="n"/>
      <c r="F178" s="5" t="n"/>
      <c r="H178" s="5" t="n">
        <v>1</v>
      </c>
      <c r="I178" s="5" t="n">
        <v>1</v>
      </c>
      <c r="J178" s="5" t="n">
        <v>1</v>
      </c>
      <c r="W178" s="5" t="n">
        <v>5000</v>
      </c>
    </row>
    <row r="179">
      <c r="A179" t="inlineStr">
        <is>
          <t>redalert2mod</t>
        </is>
      </c>
      <c r="B179" t="inlineStr">
        <is>
          <t>latinsyndicate_upgrade_alliedstolentechextramissilesandmiraging</t>
        </is>
      </c>
      <c r="C179" t="inlineStr">
        <is>
          <t>Allied Stolen Tech: Extra Missiles and Miraging</t>
        </is>
      </c>
      <c r="D179" t="inlineStr"/>
      <c r="E179" s="5" t="n"/>
      <c r="F179" s="5" t="n"/>
      <c r="H179" s="5" t="n">
        <v>1</v>
      </c>
      <c r="I179" s="5" t="n">
        <v>1</v>
      </c>
      <c r="J179" s="5" t="n">
        <v>1</v>
      </c>
      <c r="W179" s="5" t="n">
        <v>7500</v>
      </c>
    </row>
    <row r="180">
      <c r="A180" t="inlineStr">
        <is>
          <t>redalert2mod</t>
        </is>
      </c>
      <c r="B180" t="inlineStr">
        <is>
          <t>latinsyndicate_upgrade_asianalliancestolentechhotfire</t>
        </is>
      </c>
      <c r="C180" t="inlineStr">
        <is>
          <t>Asian Alliance Stolen Tech: Hot Fire</t>
        </is>
      </c>
      <c r="D180" t="inlineStr"/>
      <c r="E180" s="5" t="n"/>
      <c r="F180" s="5" t="n"/>
      <c r="H180" s="5" t="n">
        <v>1</v>
      </c>
      <c r="I180" s="5" t="n">
        <v>1</v>
      </c>
      <c r="J180" s="5" t="n">
        <v>1</v>
      </c>
      <c r="W180" s="5" t="n">
        <v>10000</v>
      </c>
    </row>
    <row r="181">
      <c r="A181" t="inlineStr">
        <is>
          <t>redalert2mod</t>
        </is>
      </c>
      <c r="B181" t="inlineStr">
        <is>
          <t>latinsyndicate_upgrade_cashrecovery</t>
        </is>
      </c>
      <c r="C181" t="inlineStr">
        <is>
          <t>Cash Recovery</t>
        </is>
      </c>
      <c r="D181" t="inlineStr"/>
      <c r="E181" s="5" t="n"/>
      <c r="F181" s="5" t="n"/>
      <c r="H181" s="5" t="n">
        <v>1</v>
      </c>
      <c r="I181" s="5" t="n">
        <v>1</v>
      </c>
      <c r="J181" s="5" t="n">
        <v>1</v>
      </c>
      <c r="W181" s="5" t="n">
        <v>12500</v>
      </c>
    </row>
    <row r="182">
      <c r="A182" t="inlineStr">
        <is>
          <t>redalert2mod</t>
        </is>
      </c>
      <c r="B182" t="inlineStr">
        <is>
          <t>latinsyndicate_upgrade_sovietstolentechindustrialmethods</t>
        </is>
      </c>
      <c r="C182" t="inlineStr">
        <is>
          <t>Soviet Stolen Tech: Industrial Methods</t>
        </is>
      </c>
      <c r="D182" t="inlineStr"/>
      <c r="E182" s="5" t="n"/>
      <c r="F182" s="5" t="n"/>
      <c r="H182" s="5" t="n">
        <v>1</v>
      </c>
      <c r="I182" s="5" t="n">
        <v>1</v>
      </c>
      <c r="J182" s="5" t="n">
        <v>1</v>
      </c>
      <c r="W182" s="5" t="n">
        <v>7500</v>
      </c>
    </row>
    <row r="183">
      <c r="A183" t="inlineStr">
        <is>
          <t>redalert2mod</t>
        </is>
      </c>
      <c r="B183" t="inlineStr">
        <is>
          <t>latinsyndicate_upgrade_unlockempcannon</t>
        </is>
      </c>
      <c r="C183" t="inlineStr">
        <is>
          <t>Unlock Emp Cannon</t>
        </is>
      </c>
      <c r="D183" t="inlineStr"/>
      <c r="E183" s="5" t="n"/>
      <c r="F183" s="5" t="n"/>
      <c r="H183" s="5" t="n">
        <v>1</v>
      </c>
      <c r="I183" s="5" t="n">
        <v>1</v>
      </c>
      <c r="J183" s="5" t="n">
        <v>1</v>
      </c>
      <c r="W183" s="5" t="n">
        <v>2500</v>
      </c>
    </row>
    <row r="184">
      <c r="A184" t="inlineStr">
        <is>
          <t>redalert2mod</t>
        </is>
      </c>
      <c r="B184" t="inlineStr">
        <is>
          <t>latinsyndicate_upgrade_yuristolentechchainguns</t>
        </is>
      </c>
      <c r="C184" t="inlineStr">
        <is>
          <t>Yuri Stolen Tech: Chainguns</t>
        </is>
      </c>
      <c r="D184" t="inlineStr"/>
      <c r="E184" s="5" t="n"/>
      <c r="F184" s="5" t="n"/>
      <c r="H184" s="5" t="n">
        <v>1</v>
      </c>
      <c r="I184" s="5" t="n">
        <v>1</v>
      </c>
      <c r="J184" s="5" t="n">
        <v>1</v>
      </c>
      <c r="W184" s="5" t="n">
        <v>7500</v>
      </c>
    </row>
    <row r="185">
      <c r="A185" t="inlineStr">
        <is>
          <t>redalert2mod</t>
        </is>
      </c>
      <c r="B185" t="inlineStr">
        <is>
          <t>up_team_cashrecover.latin</t>
        </is>
      </c>
      <c r="C185" t="inlineStr">
        <is>
          <t>Cash Recovery</t>
        </is>
      </c>
      <c r="D185" t="inlineStr"/>
      <c r="E185" s="5" t="n"/>
      <c r="F185" s="5" t="n"/>
      <c r="H185" s="5" t="n">
        <v>1</v>
      </c>
      <c r="I185" s="5" t="n">
        <v>1</v>
      </c>
      <c r="J185" s="5" t="n">
        <v>1</v>
      </c>
      <c r="W185" s="5" t="n"/>
    </row>
    <row r="186">
      <c r="A186" t="inlineStr">
        <is>
          <t>redalert2mod</t>
        </is>
      </c>
      <c r="B186" t="inlineStr">
        <is>
          <t>up_team_ngbunk2.latin</t>
        </is>
      </c>
      <c r="C186" t="inlineStr">
        <is>
          <t>Lightposts</t>
        </is>
      </c>
      <c r="D186" t="inlineStr"/>
      <c r="E186" s="5" t="n"/>
      <c r="F186" s="5" t="n"/>
      <c r="H186" s="5" t="n">
        <v>1</v>
      </c>
      <c r="I186" s="5" t="n">
        <v>1</v>
      </c>
      <c r="J186" s="5" t="n">
        <v>1</v>
      </c>
      <c r="W186" s="5" t="n"/>
    </row>
    <row r="187">
      <c r="A187" s="3" t="inlineStr">
        <is>
          <t>PROMOTIONS</t>
        </is>
      </c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>
      <c r="A188" t="inlineStr">
        <is>
          <t>redalert2mod</t>
        </is>
      </c>
      <c r="B188" t="inlineStr">
        <is>
          <t>latinsyndicate_promotion_unlockburritos</t>
        </is>
      </c>
      <c r="C188" t="inlineStr">
        <is>
          <t>Unlock Burritos</t>
        </is>
      </c>
      <c r="D188" t="inlineStr"/>
      <c r="E188" s="5" t="n"/>
      <c r="F188" s="5" t="n"/>
      <c r="H188" s="5" t="n">
        <v>1</v>
      </c>
      <c r="I188" s="5" t="n">
        <v>1</v>
      </c>
      <c r="J188" s="5" t="n">
        <v>1</v>
      </c>
      <c r="W188" s="5" t="n"/>
    </row>
    <row r="189">
      <c r="A189" t="inlineStr">
        <is>
          <t>redalert2mod</t>
        </is>
      </c>
      <c r="B189" t="inlineStr">
        <is>
          <t>latinsyndicate_promotion_unlockcarteltrucks</t>
        </is>
      </c>
      <c r="C189" t="inlineStr">
        <is>
          <t>Unlock Cartel Trucks</t>
        </is>
      </c>
      <c r="D189" t="inlineStr"/>
      <c r="E189" s="5" t="n"/>
      <c r="F189" s="5" t="n"/>
      <c r="H189" s="5" t="n">
        <v>1</v>
      </c>
      <c r="I189" s="5" t="n">
        <v>1</v>
      </c>
      <c r="J189" s="5" t="n">
        <v>1</v>
      </c>
      <c r="W189" s="5" t="n"/>
    </row>
    <row r="190">
      <c r="A190" t="inlineStr">
        <is>
          <t>redalert2mod</t>
        </is>
      </c>
      <c r="B190" t="inlineStr">
        <is>
          <t>latinsyndicate_promotion_unlockdemolitiontrucks</t>
        </is>
      </c>
      <c r="C190" t="inlineStr">
        <is>
          <t>Unlock Demolition Trucks</t>
        </is>
      </c>
      <c r="D190" t="inlineStr"/>
      <c r="E190" s="5" t="n"/>
      <c r="F190" s="5" t="n"/>
      <c r="H190" s="5" t="n">
        <v>1</v>
      </c>
      <c r="I190" s="5" t="n">
        <v>1</v>
      </c>
      <c r="J190" s="5" t="n">
        <v>1</v>
      </c>
      <c r="W190" s="5" t="n"/>
    </row>
    <row r="191">
      <c r="A191" t="inlineStr">
        <is>
          <t>redalert2mod</t>
        </is>
      </c>
      <c r="B191" t="inlineStr">
        <is>
          <t>latinsyndicate_promotion_unlocklars</t>
        </is>
      </c>
      <c r="C191" t="inlineStr">
        <is>
          <t>Unlock LARS</t>
        </is>
      </c>
      <c r="D191" t="inlineStr"/>
      <c r="E191" s="5" t="n"/>
      <c r="F191" s="5" t="n"/>
      <c r="H191" s="5" t="n">
        <v>1</v>
      </c>
      <c r="I191" s="5" t="n">
        <v>1</v>
      </c>
      <c r="J191" s="5" t="n">
        <v>1</v>
      </c>
      <c r="W191" s="5" t="n"/>
    </row>
    <row r="192">
      <c r="A192" t="inlineStr">
        <is>
          <t>redalert2mod</t>
        </is>
      </c>
      <c r="B192" t="inlineStr">
        <is>
          <t>latinsyndicate_promotion_unlocklatinapc</t>
        </is>
      </c>
      <c r="C192" t="inlineStr">
        <is>
          <t>Unlock Latin APC.</t>
        </is>
      </c>
      <c r="D192" t="inlineStr"/>
      <c r="E192" s="5" t="n"/>
      <c r="F192" s="5" t="n"/>
      <c r="H192" s="5" t="n">
        <v>1</v>
      </c>
      <c r="I192" s="5" t="n">
        <v>1</v>
      </c>
      <c r="J192" s="5" t="n">
        <v>1</v>
      </c>
      <c r="W192" s="5" t="n"/>
    </row>
    <row r="193">
      <c r="A193" t="inlineStr">
        <is>
          <t>redalert2mod</t>
        </is>
      </c>
      <c r="B193" t="inlineStr">
        <is>
          <t>latinsyndicate_promotion_unlockmortarbikes</t>
        </is>
      </c>
      <c r="C193" t="inlineStr">
        <is>
          <t>Unlock Mortar Bikes</t>
        </is>
      </c>
      <c r="D193" t="inlineStr"/>
      <c r="E193" s="5" t="n"/>
      <c r="F193" s="5" t="n"/>
      <c r="H193" s="5" t="n">
        <v>1</v>
      </c>
      <c r="I193" s="5" t="n">
        <v>1</v>
      </c>
      <c r="J193" s="5" t="n">
        <v>1</v>
      </c>
      <c r="W193" s="5" t="n"/>
    </row>
    <row r="194">
      <c r="A194" t="inlineStr">
        <is>
          <t>redalert2mod</t>
        </is>
      </c>
      <c r="B194" t="inlineStr">
        <is>
          <t>latinsyndicate_promotion_unlocknarcos</t>
        </is>
      </c>
      <c r="C194" t="inlineStr">
        <is>
          <t>Unlock Narcos</t>
        </is>
      </c>
      <c r="D194" t="inlineStr"/>
      <c r="E194" s="5" t="n"/>
      <c r="F194" s="5" t="n"/>
      <c r="H194" s="5" t="n">
        <v>1</v>
      </c>
      <c r="I194" s="5" t="n">
        <v>1</v>
      </c>
      <c r="J194" s="5" t="n">
        <v>1</v>
      </c>
      <c r="W194" s="5" t="n"/>
    </row>
    <row r="195">
      <c r="A195" t="inlineStr">
        <is>
          <t>redalert2mod</t>
        </is>
      </c>
      <c r="B195" t="inlineStr">
        <is>
          <t>latinsyndicate_promotion_unlocknuketrucks</t>
        </is>
      </c>
      <c r="C195" t="inlineStr">
        <is>
          <t>Unlock Nuke Trucks</t>
        </is>
      </c>
      <c r="D195" t="inlineStr"/>
      <c r="E195" s="5" t="n"/>
      <c r="F195" s="5" t="n"/>
      <c r="H195" s="5" t="n">
        <v>1</v>
      </c>
      <c r="I195" s="5" t="n">
        <v>1</v>
      </c>
      <c r="J195" s="5" t="n">
        <v>1</v>
      </c>
      <c r="W195" s="5" t="n"/>
    </row>
    <row r="196">
      <c r="A196" t="inlineStr">
        <is>
          <t>redalert2mod</t>
        </is>
      </c>
      <c r="B196" t="inlineStr">
        <is>
          <t>latinsyndicate_promotion_unlockraiderbuggy</t>
        </is>
      </c>
      <c r="C196" t="inlineStr">
        <is>
          <t>Unlock Raider Buggy</t>
        </is>
      </c>
      <c r="D196" t="inlineStr"/>
      <c r="E196" s="5" t="n"/>
      <c r="F196" s="5" t="n"/>
      <c r="H196" s="5" t="n">
        <v>1</v>
      </c>
      <c r="I196" s="5" t="n">
        <v>1</v>
      </c>
      <c r="J196" s="5" t="n">
        <v>1</v>
      </c>
      <c r="W196" s="5" t="n"/>
    </row>
    <row r="197">
      <c r="A197" t="inlineStr">
        <is>
          <t>redalert2mod</t>
        </is>
      </c>
      <c r="B197" t="inlineStr">
        <is>
          <t>latinsyndicate_promotion_unlocksmokertanks</t>
        </is>
      </c>
      <c r="C197" t="inlineStr">
        <is>
          <t>Unlock Smoker Tanks</t>
        </is>
      </c>
      <c r="D197" t="inlineStr"/>
      <c r="E197" s="5" t="n"/>
      <c r="F197" s="5" t="n"/>
      <c r="H197" s="5" t="n">
        <v>1</v>
      </c>
      <c r="I197" s="5" t="n">
        <v>1</v>
      </c>
      <c r="J197" s="5" t="n">
        <v>1</v>
      </c>
      <c r="W197" s="5" t="n"/>
    </row>
    <row r="198">
      <c r="A198" t="inlineStr">
        <is>
          <t>redalert2mod</t>
        </is>
      </c>
      <c r="B198" t="inlineStr">
        <is>
          <t>latinsyndicate_promotion_unlockterrorists</t>
        </is>
      </c>
      <c r="C198" t="inlineStr">
        <is>
          <t>Unlock Terrorists</t>
        </is>
      </c>
      <c r="D198" t="inlineStr"/>
      <c r="E198" s="5" t="n"/>
      <c r="F198" s="5" t="n"/>
      <c r="H198" s="5" t="n">
        <v>1</v>
      </c>
      <c r="I198" s="5" t="n">
        <v>1</v>
      </c>
      <c r="J198" s="5" t="n">
        <v>1</v>
      </c>
      <c r="W198" s="5" t="n"/>
    </row>
    <row r="199">
      <c r="A199" t="inlineStr">
        <is>
          <t>redalert2mod</t>
        </is>
      </c>
      <c r="B199" t="inlineStr">
        <is>
          <t>latinsyndicate_promotion_unlocktopolm</t>
        </is>
      </c>
      <c r="C199" t="inlineStr">
        <is>
          <t>Unlock TOPOL M</t>
        </is>
      </c>
      <c r="D199" t="inlineStr"/>
      <c r="E199" s="5" t="n"/>
      <c r="F199" s="5" t="n"/>
      <c r="H199" s="5" t="n">
        <v>1</v>
      </c>
      <c r="I199" s="5" t="n">
        <v>1</v>
      </c>
      <c r="J199" s="5" t="n">
        <v>1</v>
      </c>
      <c r="W199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200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9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redalert2mod</t>
        </is>
      </c>
      <c r="B3" t="inlineStr">
        <is>
          <t>tkm_engineer</t>
        </is>
      </c>
      <c r="C3" t="inlineStr">
        <is>
          <t>Engineer</t>
        </is>
      </c>
      <c r="D3" t="inlineStr"/>
      <c r="E3" s="5" t="n">
        <v>5000</v>
      </c>
      <c r="F3" s="5" t="n">
        <v>50</v>
      </c>
      <c r="G3" t="inlineStr">
        <is>
          <t>None</t>
        </is>
      </c>
      <c r="H3" s="5" t="n">
        <v>1</v>
      </c>
      <c r="I3" s="5" t="n">
        <v>1</v>
      </c>
      <c r="J3" s="5" t="n">
        <v>1</v>
      </c>
      <c r="O3">
        <f>MAX(O4,O5,O6,O8)</f>
        <v/>
      </c>
      <c r="R3">
        <f>R4+R5+R6+R8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500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DefuseKit</t>
        </is>
      </c>
      <c r="C4" s="6" t="inlineStr">
        <is>
          <t>Armament@defuse</t>
        </is>
      </c>
      <c r="K4" s="5" t="n"/>
      <c r="L4" s="5" t="n">
        <v>20</v>
      </c>
      <c r="M4" s="5" t="n">
        <v>1</v>
      </c>
      <c r="N4" s="5" t="n"/>
      <c r="O4" s="5" t="n">
        <v>1536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^RemovesIvanBombs, ^RemovesTerrorDrone</t>
        </is>
      </c>
    </row>
    <row r="5">
      <c r="B5" s="6" t="inlineStr">
        <is>
          <t xml:space="preserve">  ↳ LeechDisinfect</t>
        </is>
      </c>
      <c r="C5" s="6" t="inlineStr">
        <is>
          <t>Armament@leechdisinfect</t>
        </is>
      </c>
      <c r="K5" s="5" t="n"/>
      <c r="L5" s="5" t="n">
        <v>100</v>
      </c>
      <c r="M5" s="5" t="n">
        <v>1</v>
      </c>
      <c r="N5" s="5" t="n"/>
      <c r="O5" s="5" t="n">
        <v>1536</v>
      </c>
      <c r="P5" s="5" t="n">
        <v>1</v>
      </c>
      <c r="Q5">
        <f>L5+IF(M5&gt;1,N(N5)*(M5-1),0)</f>
        <v/>
      </c>
      <c r="R5">
        <f>IFERROR(K5*MAX(M5,1)/Q5*P5,0)</f>
        <v/>
      </c>
      <c r="AA5" s="6" t="inlineStr"/>
    </row>
    <row r="6">
      <c r="B6" s="6" t="inlineStr">
        <is>
          <t xml:space="preserve">  ↳ Heal</t>
        </is>
      </c>
      <c r="C6" s="6" t="inlineStr">
        <is>
          <t>Armament@HEAL</t>
        </is>
      </c>
      <c r="K6" s="5" t="n">
        <v>-1</v>
      </c>
      <c r="L6" s="5" t="n">
        <v>75</v>
      </c>
      <c r="M6" s="5" t="n">
        <v>1</v>
      </c>
      <c r="N6" s="5" t="n"/>
      <c r="O6" s="5" t="n">
        <v>5000</v>
      </c>
      <c r="P6" s="5" t="n">
        <v>1</v>
      </c>
      <c r="Q6">
        <f>L6+IF(M6&gt;1,N(N6)*(M6-1),0)</f>
        <v/>
      </c>
      <c r="R6">
        <f>IFERROR(K6*MAX(M6,1)/Q6*P6,0)</f>
        <v/>
      </c>
      <c r="AA6" s="6" t="inlineStr">
        <is>
          <t>^HealingWeapon</t>
        </is>
      </c>
    </row>
    <row r="7">
      <c r="B7" s="6" t="inlineStr">
        <is>
          <t xml:space="preserve">  ↳ Heal</t>
        </is>
      </c>
      <c r="C7" s="6" t="inlineStr">
        <is>
          <t>Armament@GARRISONEDHEAL</t>
        </is>
      </c>
      <c r="K7" s="5" t="n">
        <v>-1</v>
      </c>
      <c r="L7" s="5" t="n">
        <v>75</v>
      </c>
      <c r="M7" s="5" t="n">
        <v>1</v>
      </c>
      <c r="N7" s="5" t="n"/>
      <c r="O7" s="5" t="n">
        <v>5000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^HealingWeapon</t>
        </is>
      </c>
    </row>
    <row r="8">
      <c r="B8" s="6" t="inlineStr">
        <is>
          <t xml:space="preserve">  ↳ Repair</t>
        </is>
      </c>
      <c r="C8" s="6" t="inlineStr">
        <is>
          <t>Armament@REPAIR</t>
        </is>
      </c>
      <c r="K8" s="5" t="n">
        <v>-1</v>
      </c>
      <c r="L8" s="5" t="n">
        <v>75</v>
      </c>
      <c r="M8" s="5" t="n">
        <v>10</v>
      </c>
      <c r="N8" s="5" t="n">
        <v>1</v>
      </c>
      <c r="O8" s="5" t="n">
        <v>5000</v>
      </c>
      <c r="P8" s="5" t="n">
        <v>1</v>
      </c>
      <c r="Q8">
        <f>L8+IF(M8&gt;1,N(N8)*(M8-1),0)</f>
        <v/>
      </c>
      <c r="R8">
        <f>IFERROR(K8*MAX(M8,1)/Q8*P8,0)</f>
        <v/>
      </c>
      <c r="AA8" s="6" t="inlineStr">
        <is>
          <t>^RepairWeapon</t>
        </is>
      </c>
    </row>
    <row r="9">
      <c r="B9" s="6" t="inlineStr">
        <is>
          <t xml:space="preserve">  ↳ Repair</t>
        </is>
      </c>
      <c r="C9" s="6" t="inlineStr">
        <is>
          <t>Armament@GARRISONEDREPAIR</t>
        </is>
      </c>
      <c r="K9" s="5" t="n">
        <v>-1</v>
      </c>
      <c r="L9" s="5" t="n">
        <v>75</v>
      </c>
      <c r="M9" s="5" t="n">
        <v>10</v>
      </c>
      <c r="N9" s="5" t="n">
        <v>1</v>
      </c>
      <c r="O9" s="5" t="n">
        <v>5000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>
        <is>
          <t>^RepairWeapon</t>
        </is>
      </c>
    </row>
    <row r="10">
      <c r="A10" t="inlineStr">
        <is>
          <t>redalert2mod</t>
        </is>
      </c>
      <c r="B10" t="inlineStr">
        <is>
          <t>tkm_juggernaut</t>
        </is>
      </c>
      <c r="C10" t="inlineStr">
        <is>
          <t>Juggernaut</t>
        </is>
      </c>
      <c r="D10" t="inlineStr"/>
      <c r="E10" s="5" t="n">
        <v>36000</v>
      </c>
      <c r="F10" s="5" t="n">
        <v>45</v>
      </c>
      <c r="G10" t="inlineStr">
        <is>
          <t>Plate</t>
        </is>
      </c>
      <c r="H10" s="5" t="n">
        <v>1</v>
      </c>
      <c r="I10" s="5" t="n">
        <v>1</v>
      </c>
      <c r="J10" s="5" t="n">
        <v>1</v>
      </c>
      <c r="O10">
        <f>MAX(O11,O12)</f>
        <v/>
      </c>
      <c r="R10">
        <f>R11+R12</f>
        <v/>
      </c>
      <c r="S10">
        <f>(E10/100000+F10/100+(O10/1000)*J10/5+R10/200)*200*I10*H10</f>
        <v/>
      </c>
      <c r="T10">
        <f>((E10*F10/25000)+((O10/1000)*J10*R10/2.5))*I10*H10</f>
        <v/>
      </c>
      <c r="U10">
        <f>(E10*F10*(O10/1000)*J10*R10*I10*H10)/12500000</f>
        <v/>
      </c>
      <c r="V10">
        <f>(S10+T10+U10)/3</f>
        <v/>
      </c>
      <c r="W10" s="5" t="n">
        <v>650</v>
      </c>
      <c r="X10">
        <f>IFERROR(V10-W10,"")</f>
        <v/>
      </c>
      <c r="Y10">
        <f>IFERROR(ABS(X10)/MAX(W10,1),"")</f>
        <v/>
      </c>
      <c r="Z10">
        <f>IFERROR((W10-(((E10/100000+F10/100+R10/200)*200*I10*H10)+((E10*F10/25000)*I10*H10))/3)/(((J10/5)*200*I10*H10)+((J10*R10/2.5)*I10*H10)+((E10*F10*J10*R10*I10*H10)/12500000))/3*1000,"")</f>
        <v/>
      </c>
    </row>
    <row r="11">
      <c r="B11" s="6" t="inlineStr">
        <is>
          <t xml:space="preserve">  ↳ tkm_juggernaut</t>
        </is>
      </c>
      <c r="C11" s="6" t="inlineStr">
        <is>
          <t>Armament@PRIMARY</t>
        </is>
      </c>
      <c r="K11" s="5" t="n">
        <v>4000</v>
      </c>
      <c r="L11" s="5" t="n">
        <v>8</v>
      </c>
      <c r="M11" s="5" t="n">
        <v>1</v>
      </c>
      <c r="N11" s="5" t="n"/>
      <c r="O11" s="5" t="n">
        <v>4490</v>
      </c>
      <c r="P11" s="5" t="n">
        <v>1</v>
      </c>
      <c r="Q11">
        <f>L11+IF(M11&gt;1,N(N11)*(M11-1),0)</f>
        <v/>
      </c>
      <c r="R11">
        <f>IFERROR(K11*MAX(M11,1)/Q11*P11,0)</f>
        <v/>
      </c>
      <c r="AA11" s="6" t="inlineStr">
        <is>
          <t>^RA2Chaingun</t>
        </is>
      </c>
    </row>
    <row r="12">
      <c r="B12" s="6" t="inlineStr">
        <is>
          <t xml:space="preserve">  ↳ tkmjuggap</t>
        </is>
      </c>
      <c r="C12" s="6" t="inlineStr">
        <is>
          <t>Armament@PRIMARYUPGRADE</t>
        </is>
      </c>
      <c r="K12" s="5" t="n">
        <v>6000</v>
      </c>
      <c r="L12" s="5" t="n">
        <v>9</v>
      </c>
      <c r="M12" s="5" t="n">
        <v>3</v>
      </c>
      <c r="N12" s="5" t="n">
        <v>6</v>
      </c>
      <c r="O12" s="5" t="n">
        <v>4792</v>
      </c>
      <c r="P12" s="5" t="n">
        <v>1</v>
      </c>
      <c r="Q12">
        <f>L12+IF(M12&gt;1,N(N12)*(M12-1),0)</f>
        <v/>
      </c>
      <c r="R12">
        <f>IFERROR(K12*MAX(M12,1)/Q12*P12,0)</f>
        <v/>
      </c>
      <c r="AA12" s="6" t="inlineStr">
        <is>
          <t>^RA2Grenade, ^SmallArms</t>
        </is>
      </c>
    </row>
    <row r="13">
      <c r="B13" s="6" t="inlineStr">
        <is>
          <t xml:space="preserve">  ↳ tkm_juggernaut</t>
        </is>
      </c>
      <c r="C13" s="6" t="inlineStr">
        <is>
          <t>Armament@GARRISONED</t>
        </is>
      </c>
      <c r="K13" s="5" t="n">
        <v>4000</v>
      </c>
      <c r="L13" s="5" t="n">
        <v>8</v>
      </c>
      <c r="M13" s="5" t="n">
        <v>1</v>
      </c>
      <c r="N13" s="5" t="n"/>
      <c r="O13" s="5" t="n">
        <v>4490</v>
      </c>
      <c r="P13" s="5" t="n">
        <v>1</v>
      </c>
      <c r="Q13">
        <f>L13+IF(M13&gt;1,N(N13)*(M13-1),0)</f>
        <v/>
      </c>
      <c r="R13">
        <f>IFERROR(K13*MAX(M13,1)/Q13*P13,0)</f>
        <v/>
      </c>
      <c r="AA13" s="6" t="inlineStr">
        <is>
          <t>^RA2Chaingun</t>
        </is>
      </c>
    </row>
    <row r="14">
      <c r="B14" s="6" t="inlineStr">
        <is>
          <t xml:space="preserve">  ↳ tkmjuggap</t>
        </is>
      </c>
      <c r="C14" s="6" t="inlineStr">
        <is>
          <t>Armament@GARRISONEDUPGRADE</t>
        </is>
      </c>
      <c r="K14" s="5" t="n">
        <v>6000</v>
      </c>
      <c r="L14" s="5" t="n">
        <v>9</v>
      </c>
      <c r="M14" s="5" t="n">
        <v>3</v>
      </c>
      <c r="N14" s="5" t="n">
        <v>6</v>
      </c>
      <c r="O14" s="5" t="n">
        <v>4792</v>
      </c>
      <c r="P14" s="5" t="n">
        <v>1</v>
      </c>
      <c r="Q14">
        <f>L14+IF(M14&gt;1,N(N14)*(M14-1),0)</f>
        <v/>
      </c>
      <c r="R14">
        <f>IFERROR(K14*MAX(M14,1)/Q14*P14,0)</f>
        <v/>
      </c>
      <c r="AA14" s="6" t="inlineStr">
        <is>
          <t>^RA2Grenade, ^SmallArms</t>
        </is>
      </c>
    </row>
    <row r="15">
      <c r="A15" t="inlineStr">
        <is>
          <t>redalert2mod</t>
        </is>
      </c>
      <c r="B15" t="inlineStr">
        <is>
          <t>tkm_marine</t>
        </is>
      </c>
      <c r="C15" t="inlineStr">
        <is>
          <t>Marine</t>
        </is>
      </c>
      <c r="D15" t="inlineStr"/>
      <c r="E15" s="5" t="n">
        <v>20000</v>
      </c>
      <c r="F15" s="5" t="n">
        <v>60</v>
      </c>
      <c r="G15" t="inlineStr">
        <is>
          <t>None</t>
        </is>
      </c>
      <c r="H15" s="5" t="n">
        <v>1</v>
      </c>
      <c r="I15" s="5" t="n">
        <v>1</v>
      </c>
      <c r="J15" s="5" t="n">
        <v>1</v>
      </c>
      <c r="O15">
        <f>MAX(O16,O17)</f>
        <v/>
      </c>
      <c r="R15">
        <f>R16+R17</f>
        <v/>
      </c>
      <c r="S15">
        <f>(E15/100000+F15/100+(O15/1000)*J15/5+R15/200)*200*I15*H15</f>
        <v/>
      </c>
      <c r="T15">
        <f>((E15*F15/25000)+((O15/1000)*J15*R15/2.5))*I15*H15</f>
        <v/>
      </c>
      <c r="U15">
        <f>(E15*F15*(O15/1000)*J15*R15*I15*H15)/12500000</f>
        <v/>
      </c>
      <c r="V15">
        <f>(S15+T15+U15)/3</f>
        <v/>
      </c>
      <c r="W15" s="5" t="n">
        <v>300</v>
      </c>
      <c r="X15">
        <f>IFERROR(V15-W15,"")</f>
        <v/>
      </c>
      <c r="Y15">
        <f>IFERROR(ABS(X15)/MAX(W15,1),"")</f>
        <v/>
      </c>
      <c r="Z15">
        <f>IFERROR((W15-(((E15/100000+F15/100+R15/200)*200*I15*H15)+((E15*F15/25000)*I15*H15))/3)/(((J15/5)*200*I15*H15)+((J15*R15/2.5)*I15*H15)+((E15*F15*J15*R15*I15*H15)/12500000))/3*1000,"")</f>
        <v/>
      </c>
    </row>
    <row r="16">
      <c r="B16" s="6" t="inlineStr">
        <is>
          <t xml:space="preserve">  ↳ tkmm16</t>
        </is>
      </c>
      <c r="C16" s="6" t="inlineStr">
        <is>
          <t>Armament@PRIMARY</t>
        </is>
      </c>
      <c r="K16" s="5" t="n">
        <v>2000</v>
      </c>
      <c r="L16" s="5" t="n">
        <v>16</v>
      </c>
      <c r="M16" s="5" t="n">
        <v>5</v>
      </c>
      <c r="N16" s="5" t="n">
        <v>1</v>
      </c>
      <c r="O16" s="5" t="n">
        <v>5385</v>
      </c>
      <c r="P16" s="5" t="n">
        <v>1</v>
      </c>
      <c r="Q16">
        <f>L16+IF(M16&gt;1,N(N16)*(M16-1),0)</f>
        <v/>
      </c>
      <c r="R16">
        <f>IFERROR(K16*MAX(M16,1)/Q16*P16,0)</f>
        <v/>
      </c>
      <c r="AA16" s="6" t="inlineStr">
        <is>
          <t>^SmallArms</t>
        </is>
      </c>
    </row>
    <row r="17">
      <c r="B17" s="6" t="inlineStr">
        <is>
          <t xml:space="preserve">  ↳ tkmm16ap</t>
        </is>
      </c>
      <c r="C17" s="6" t="inlineStr">
        <is>
          <t>Armament@PRIMARYUPGRADE</t>
        </is>
      </c>
      <c r="K17" s="5" t="n">
        <v>2000</v>
      </c>
      <c r="L17" s="5" t="n">
        <v>16</v>
      </c>
      <c r="M17" s="5" t="n">
        <v>5</v>
      </c>
      <c r="N17" s="5" t="n">
        <v>1</v>
      </c>
      <c r="O17" s="5" t="n">
        <v>5385</v>
      </c>
      <c r="P17" s="5" t="n">
        <v>1</v>
      </c>
      <c r="Q17">
        <f>L17+IF(M17&gt;1,N(N17)*(M17-1),0)</f>
        <v/>
      </c>
      <c r="R17">
        <f>IFERROR(K17*MAX(M17,1)/Q17*P17,0)</f>
        <v/>
      </c>
      <c r="AA17" s="6" t="inlineStr">
        <is>
          <t>^RA2Chaingun</t>
        </is>
      </c>
    </row>
    <row r="18">
      <c r="B18" s="6" t="inlineStr">
        <is>
          <t xml:space="preserve">  ↳ tkmm16</t>
        </is>
      </c>
      <c r="C18" s="6" t="inlineStr">
        <is>
          <t>Armament@GARRISONED</t>
        </is>
      </c>
      <c r="K18" s="5" t="n">
        <v>2000</v>
      </c>
      <c r="L18" s="5" t="n">
        <v>16</v>
      </c>
      <c r="M18" s="5" t="n">
        <v>5</v>
      </c>
      <c r="N18" s="5" t="n">
        <v>1</v>
      </c>
      <c r="O18" s="5" t="n">
        <v>5385</v>
      </c>
      <c r="P18" s="5" t="n">
        <v>1</v>
      </c>
      <c r="Q18">
        <f>L18+IF(M18&gt;1,N(N18)*(M18-1),0)</f>
        <v/>
      </c>
      <c r="R18">
        <f>IFERROR(K18*MAX(M18,1)/Q18*P18,0)</f>
        <v/>
      </c>
      <c r="AA18" s="6" t="inlineStr">
        <is>
          <t>^SmallArms</t>
        </is>
      </c>
    </row>
    <row r="19">
      <c r="B19" s="6" t="inlineStr">
        <is>
          <t xml:space="preserve">  ↳ tkmm16ap</t>
        </is>
      </c>
      <c r="C19" s="6" t="inlineStr">
        <is>
          <t>Armament@GARRISONEDUPGRADE</t>
        </is>
      </c>
      <c r="K19" s="5" t="n">
        <v>2000</v>
      </c>
      <c r="L19" s="5" t="n">
        <v>16</v>
      </c>
      <c r="M19" s="5" t="n">
        <v>5</v>
      </c>
      <c r="N19" s="5" t="n">
        <v>1</v>
      </c>
      <c r="O19" s="5" t="n">
        <v>5385</v>
      </c>
      <c r="P19" s="5" t="n">
        <v>1</v>
      </c>
      <c r="Q19">
        <f>L19+IF(M19&gt;1,N(N19)*(M19-1),0)</f>
        <v/>
      </c>
      <c r="R19">
        <f>IFERROR(K19*MAX(M19,1)/Q19*P19,0)</f>
        <v/>
      </c>
      <c r="AA19" s="6" t="inlineStr">
        <is>
          <t>^RA2Chaingun</t>
        </is>
      </c>
    </row>
    <row r="20">
      <c r="A20" t="inlineStr">
        <is>
          <t>redalert2mod</t>
        </is>
      </c>
      <c r="B20" t="inlineStr">
        <is>
          <t>tkm_rifleman</t>
        </is>
      </c>
      <c r="C20" t="inlineStr">
        <is>
          <t>Rifleman</t>
        </is>
      </c>
      <c r="D20" t="inlineStr"/>
      <c r="E20" s="5" t="n">
        <v>32000</v>
      </c>
      <c r="F20" s="5" t="n">
        <v>60</v>
      </c>
      <c r="G20" t="inlineStr">
        <is>
          <t>None</t>
        </is>
      </c>
      <c r="H20" s="5" t="n">
        <v>1</v>
      </c>
      <c r="I20" s="5" t="n">
        <v>1</v>
      </c>
      <c r="J20" s="5" t="n">
        <v>1</v>
      </c>
      <c r="O20">
        <f>MAX(O21,O22)</f>
        <v/>
      </c>
      <c r="R20">
        <f>R21+R22</f>
        <v/>
      </c>
      <c r="S20">
        <f>(E20/100000+F20/100+(O20/1000)*J20/5+R20/200)*200*I20*H20</f>
        <v/>
      </c>
      <c r="T20">
        <f>((E20*F20/25000)+((O20/1000)*J20*R20/2.5))*I20*H20</f>
        <v/>
      </c>
      <c r="U20">
        <f>(E20*F20*(O20/1000)*J20*R20*I20*H20)/12500000</f>
        <v/>
      </c>
      <c r="V20">
        <f>(S20+T20+U20)/3</f>
        <v/>
      </c>
      <c r="W20" s="5" t="n">
        <v>120</v>
      </c>
      <c r="X20">
        <f>IFERROR(V20-W20,"")</f>
        <v/>
      </c>
      <c r="Y20">
        <f>IFERROR(ABS(X20)/MAX(W20,1),"")</f>
        <v/>
      </c>
      <c r="Z20">
        <f>IFERROR((W20-(((E20/100000+F20/100+R20/200)*200*I20*H20)+((E20*F20/25000)*I20*H20))/3)/(((J20/5)*200*I20*H20)+((J20*R20/2.5)*I20*H20)+((E20*F20*J20*R20*I20*H20)/12500000))/3*1000,"")</f>
        <v/>
      </c>
    </row>
    <row r="21">
      <c r="B21" s="6" t="inlineStr">
        <is>
          <t xml:space="preserve">  ↳ tkm_rifleman_rifle</t>
        </is>
      </c>
      <c r="C21" s="6" t="inlineStr">
        <is>
          <t>Armament@PRIMARY</t>
        </is>
      </c>
      <c r="K21" s="5" t="n">
        <v>6000</v>
      </c>
      <c r="L21" s="5" t="n">
        <v>75</v>
      </c>
      <c r="M21" s="5" t="n">
        <v>1</v>
      </c>
      <c r="N21" s="5" t="n"/>
      <c r="O21" s="5" t="n">
        <v>5500</v>
      </c>
      <c r="P21" s="5" t="n">
        <v>1</v>
      </c>
      <c r="Q21">
        <f>L21+IF(M21&gt;1,N(N21)*(M21-1),0)</f>
        <v/>
      </c>
      <c r="R21">
        <f>IFERROR(K21*MAX(M21,1)/Q21*P21,0)</f>
        <v/>
      </c>
      <c r="AA21" s="6" t="inlineStr">
        <is>
          <t>^SmallArms</t>
        </is>
      </c>
    </row>
    <row r="22">
      <c r="B22" s="6" t="inlineStr">
        <is>
          <t xml:space="preserve">  ↳ tkm_rifleman_semiautorifle</t>
        </is>
      </c>
      <c r="C22" s="6" t="inlineStr">
        <is>
          <t>Armament@PRIMARYUPGRADE</t>
        </is>
      </c>
      <c r="K22" s="5" t="n">
        <v>10000</v>
      </c>
      <c r="L22" s="5" t="n">
        <v>25</v>
      </c>
      <c r="M22" s="5" t="n">
        <v>1</v>
      </c>
      <c r="N22" s="5" t="n"/>
      <c r="O22" s="5" t="n">
        <v>5500</v>
      </c>
      <c r="P22" s="5" t="n">
        <v>1</v>
      </c>
      <c r="Q22">
        <f>L22+IF(M22&gt;1,N(N22)*(M22-1),0)</f>
        <v/>
      </c>
      <c r="R22">
        <f>IFERROR(K22*MAX(M22,1)/Q22*P22,0)</f>
        <v/>
      </c>
      <c r="AA22" s="6" t="inlineStr">
        <is>
          <t>^SmallArms</t>
        </is>
      </c>
    </row>
    <row r="23">
      <c r="B23" s="6" t="inlineStr">
        <is>
          <t xml:space="preserve">  ↳ tkm_rifleman_rifle</t>
        </is>
      </c>
      <c r="C23" s="6" t="inlineStr">
        <is>
          <t>Armament@GARRISONED</t>
        </is>
      </c>
      <c r="K23" s="5" t="n">
        <v>6000</v>
      </c>
      <c r="L23" s="5" t="n">
        <v>75</v>
      </c>
      <c r="M23" s="5" t="n">
        <v>1</v>
      </c>
      <c r="N23" s="5" t="n"/>
      <c r="O23" s="5" t="n">
        <v>5500</v>
      </c>
      <c r="P23" s="5" t="n">
        <v>1</v>
      </c>
      <c r="Q23">
        <f>L23+IF(M23&gt;1,N(N23)*(M23-1),0)</f>
        <v/>
      </c>
      <c r="R23">
        <f>IFERROR(K23*MAX(M23,1)/Q23*P23,0)</f>
        <v/>
      </c>
      <c r="AA23" s="6" t="inlineStr">
        <is>
          <t>^SmallArms</t>
        </is>
      </c>
    </row>
    <row r="24">
      <c r="A24" t="inlineStr">
        <is>
          <t>redalert2mod</t>
        </is>
      </c>
      <c r="B24" t="inlineStr">
        <is>
          <t>tkm_rocketeer</t>
        </is>
      </c>
      <c r="C24" t="inlineStr">
        <is>
          <t>Rocketeer</t>
        </is>
      </c>
      <c r="D24" t="inlineStr"/>
      <c r="E24" s="5" t="n">
        <v>9000</v>
      </c>
      <c r="F24" s="5" t="n">
        <v>60</v>
      </c>
      <c r="G24" t="inlineStr">
        <is>
          <t>Flak</t>
        </is>
      </c>
      <c r="H24" s="5" t="n">
        <v>1</v>
      </c>
      <c r="I24" s="5" t="n">
        <v>1</v>
      </c>
      <c r="J24" s="5" t="n">
        <v>1</v>
      </c>
      <c r="O24">
        <f>MAX(O25,O26,O27,O28)</f>
        <v/>
      </c>
      <c r="R24">
        <f>R25+R26+R27+R28</f>
        <v/>
      </c>
      <c r="S24">
        <f>(E24/100000+F24/100+(O24/1000)*J24/5+R24/200)*200*I24*H24</f>
        <v/>
      </c>
      <c r="T24">
        <f>((E24*F24/25000)+((O24/1000)*J24*R24/2.5))*I24*H24</f>
        <v/>
      </c>
      <c r="U24">
        <f>(E24*F24*(O24/1000)*J24*R24*I24*H24)/12500000</f>
        <v/>
      </c>
      <c r="V24">
        <f>(S24+T24+U24)/3</f>
        <v/>
      </c>
      <c r="W24" s="5" t="n">
        <v>200</v>
      </c>
      <c r="X24">
        <f>IFERROR(V24-W24,"")</f>
        <v/>
      </c>
      <c r="Y24">
        <f>IFERROR(ABS(X24)/MAX(W24,1),"")</f>
        <v/>
      </c>
      <c r="Z24">
        <f>IFERROR((W24-(((E24/100000+F24/100+R24/200)*200*I24*H24)+((E24*F24/25000)*I24*H24))/3)/(((J24/5)*200*I24*H24)+((J24*R24/2.5)*I24*H24)+((E24*F24*J24*R24*I24*H24)/12500000))/3*1000,"")</f>
        <v/>
      </c>
    </row>
    <row r="25">
      <c r="B25" s="6" t="inlineStr">
        <is>
          <t xml:space="preserve">  ↳ tkmrockets</t>
        </is>
      </c>
      <c r="C25" s="6" t="inlineStr">
        <is>
          <t>Armament@PRIMARY</t>
        </is>
      </c>
      <c r="K25" s="5" t="n">
        <v>18000</v>
      </c>
      <c r="L25" s="5" t="n">
        <v>64</v>
      </c>
      <c r="M25" s="5" t="n">
        <v>1</v>
      </c>
      <c r="N25" s="5" t="n"/>
      <c r="O25" s="5" t="n">
        <v>6214</v>
      </c>
      <c r="P25" s="5" t="n">
        <v>1</v>
      </c>
      <c r="Q25">
        <f>L25+IF(M25&gt;1,N(N25)*(M25-1),0)</f>
        <v/>
      </c>
      <c r="R25">
        <f>IFERROR(K25*MAX(M25,1)/Q25*P25,0)</f>
        <v/>
      </c>
      <c r="AA25" s="6" t="inlineStr">
        <is>
          <t>^LightMissile</t>
        </is>
      </c>
    </row>
    <row r="26">
      <c r="B26" s="6" t="inlineStr">
        <is>
          <t xml:space="preserve">  ↳ tkmcryorockets</t>
        </is>
      </c>
      <c r="C26" s="6" t="inlineStr">
        <is>
          <t>Armament@PRIMARYNATO</t>
        </is>
      </c>
      <c r="K26" s="5" t="n">
        <v>18000</v>
      </c>
      <c r="L26" s="5" t="n">
        <v>64</v>
      </c>
      <c r="M26" s="5" t="n">
        <v>1</v>
      </c>
      <c r="N26" s="5" t="n"/>
      <c r="O26" s="5" t="n">
        <v>6214</v>
      </c>
      <c r="P26" s="5" t="n">
        <v>1</v>
      </c>
      <c r="Q26">
        <f>L26+IF(M26&gt;1,N(N26)*(M26-1),0)</f>
        <v/>
      </c>
      <c r="R26">
        <f>IFERROR(K26*MAX(M26,1)/Q26*P26,0)</f>
        <v/>
      </c>
      <c r="AA26" s="6" t="inlineStr">
        <is>
          <t>^LightMissile</t>
        </is>
      </c>
    </row>
    <row r="27">
      <c r="B27" s="6" t="inlineStr">
        <is>
          <t xml:space="preserve">  ↳ tkmtwinrockets</t>
        </is>
      </c>
      <c r="C27" s="6" t="inlineStr">
        <is>
          <t>Armament@PRIMARYBEREZKA</t>
        </is>
      </c>
      <c r="K27" s="5" t="n">
        <v>18000</v>
      </c>
      <c r="L27" s="5" t="n">
        <v>64</v>
      </c>
      <c r="M27" s="5" t="n">
        <v>2</v>
      </c>
      <c r="N27" s="5" t="n"/>
      <c r="O27" s="5" t="n">
        <v>7214</v>
      </c>
      <c r="P27" s="5" t="n">
        <v>1</v>
      </c>
      <c r="Q27">
        <f>L27+IF(M27&gt;1,N(N27)*(M27-1),0)</f>
        <v/>
      </c>
      <c r="R27">
        <f>IFERROR(K27*MAX(M27,1)/Q27*P27,0)</f>
        <v/>
      </c>
      <c r="AA27" s="6" t="inlineStr">
        <is>
          <t>^LightMissile</t>
        </is>
      </c>
    </row>
    <row r="28">
      <c r="B28" s="6" t="inlineStr">
        <is>
          <t xml:space="preserve">  ↳ tkmfirerockets</t>
        </is>
      </c>
      <c r="C28" s="6" t="inlineStr">
        <is>
          <t>Armament@PRIMARYTITAN</t>
        </is>
      </c>
      <c r="K28" s="5" t="n">
        <v>18000</v>
      </c>
      <c r="L28" s="5" t="n">
        <v>64</v>
      </c>
      <c r="M28" s="5" t="n">
        <v>1</v>
      </c>
      <c r="N28" s="5" t="n"/>
      <c r="O28" s="5" t="n">
        <v>6214</v>
      </c>
      <c r="P28" s="5" t="n">
        <v>1</v>
      </c>
      <c r="Q28">
        <f>L28+IF(M28&gt;1,N(N28)*(M28-1),0)</f>
        <v/>
      </c>
      <c r="R28">
        <f>IFERROR(K28*MAX(M28,1)/Q28*P28,0)</f>
        <v/>
      </c>
      <c r="AA28" s="6" t="inlineStr">
        <is>
          <t>^LightFlameWeapon, ^LightMissile</t>
        </is>
      </c>
    </row>
    <row r="29">
      <c r="B29" s="6" t="inlineStr">
        <is>
          <t xml:space="preserve">  ↳ Rockets</t>
        </is>
      </c>
      <c r="C29" s="6" t="inlineStr">
        <is>
          <t>Armament@GARRISONED</t>
        </is>
      </c>
      <c r="K29" s="5" t="n">
        <v>18000</v>
      </c>
      <c r="L29" s="5" t="n">
        <v>63</v>
      </c>
      <c r="M29" s="5" t="n">
        <v>1</v>
      </c>
      <c r="N29" s="5" t="n"/>
      <c r="O29" s="5" t="n">
        <v>6368</v>
      </c>
      <c r="P29" s="5" t="n">
        <v>1</v>
      </c>
      <c r="Q29">
        <f>L29+IF(M29&gt;1,N(N29)*(M29-1),0)</f>
        <v/>
      </c>
      <c r="R29">
        <f>IFERROR(K29*MAX(M29,1)/Q29*P29,0)</f>
        <v/>
      </c>
      <c r="AA29" s="6" t="inlineStr">
        <is>
          <t>^LightMissile</t>
        </is>
      </c>
    </row>
    <row r="30">
      <c r="B30" s="6" t="inlineStr">
        <is>
          <t xml:space="preserve">  ↳ tkmcryorockets</t>
        </is>
      </c>
      <c r="C30" s="6" t="inlineStr">
        <is>
          <t>Armament@GARRISONEDTITAN</t>
        </is>
      </c>
      <c r="K30" s="5" t="n">
        <v>18000</v>
      </c>
      <c r="L30" s="5" t="n">
        <v>64</v>
      </c>
      <c r="M30" s="5" t="n">
        <v>1</v>
      </c>
      <c r="N30" s="5" t="n"/>
      <c r="O30" s="5" t="n">
        <v>6214</v>
      </c>
      <c r="P30" s="5" t="n">
        <v>1</v>
      </c>
      <c r="Q30">
        <f>L30+IF(M30&gt;1,N(N30)*(M30-1),0)</f>
        <v/>
      </c>
      <c r="R30">
        <f>IFERROR(K30*MAX(M30,1)/Q30*P30,0)</f>
        <v/>
      </c>
      <c r="AA30" s="6" t="inlineStr">
        <is>
          <t>^LightMissile</t>
        </is>
      </c>
    </row>
    <row r="31">
      <c r="B31" s="6" t="inlineStr">
        <is>
          <t xml:space="preserve">  ↳ tkmtwinrockets</t>
        </is>
      </c>
      <c r="C31" s="6" t="inlineStr">
        <is>
          <t>Armament@GARRISONEDBEREZKA</t>
        </is>
      </c>
      <c r="K31" s="5" t="n">
        <v>18000</v>
      </c>
      <c r="L31" s="5" t="n">
        <v>64</v>
      </c>
      <c r="M31" s="5" t="n">
        <v>2</v>
      </c>
      <c r="N31" s="5" t="n"/>
      <c r="O31" s="5" t="n">
        <v>7214</v>
      </c>
      <c r="P31" s="5" t="n">
        <v>1</v>
      </c>
      <c r="Q31">
        <f>L31+IF(M31&gt;1,N(N31)*(M31-1),0)</f>
        <v/>
      </c>
      <c r="R31">
        <f>IFERROR(K31*MAX(M31,1)/Q31*P31,0)</f>
        <v/>
      </c>
      <c r="AA31" s="6" t="inlineStr">
        <is>
          <t>^LightMissile</t>
        </is>
      </c>
    </row>
    <row r="32">
      <c r="B32" s="6" t="inlineStr">
        <is>
          <t xml:space="preserve">  ↳ tkmfirerockets</t>
        </is>
      </c>
      <c r="C32" s="6" t="inlineStr">
        <is>
          <t>Armament@GARRISONEDNATO</t>
        </is>
      </c>
      <c r="K32" s="5" t="n">
        <v>18000</v>
      </c>
      <c r="L32" s="5" t="n">
        <v>64</v>
      </c>
      <c r="M32" s="5" t="n">
        <v>1</v>
      </c>
      <c r="N32" s="5" t="n"/>
      <c r="O32" s="5" t="n">
        <v>6214</v>
      </c>
      <c r="P32" s="5" t="n">
        <v>1</v>
      </c>
      <c r="Q32">
        <f>L32+IF(M32&gt;1,N(N32)*(M32-1),0)</f>
        <v/>
      </c>
      <c r="R32">
        <f>IFERROR(K32*MAX(M32,1)/Q32*P32,0)</f>
        <v/>
      </c>
      <c r="AA32" s="6" t="inlineStr">
        <is>
          <t>^LightFlameWeapon, ^LightMissile</t>
        </is>
      </c>
    </row>
    <row r="33">
      <c r="A33" t="inlineStr">
        <is>
          <t>redalert2mod</t>
        </is>
      </c>
      <c r="B33" t="inlineStr">
        <is>
          <t>tkm_sniper</t>
        </is>
      </c>
      <c r="C33" t="inlineStr">
        <is>
          <t>Sniper</t>
        </is>
      </c>
      <c r="D33" t="inlineStr"/>
      <c r="E33" s="5" t="n">
        <v>20000</v>
      </c>
      <c r="F33" s="5" t="n">
        <v>60</v>
      </c>
      <c r="G33" t="inlineStr">
        <is>
          <t>Flak</t>
        </is>
      </c>
      <c r="H33" s="5" t="n">
        <v>1</v>
      </c>
      <c r="I33" s="5" t="n">
        <v>1</v>
      </c>
      <c r="J33" s="5" t="n">
        <v>1</v>
      </c>
      <c r="O33">
        <f>MAX(O34)</f>
        <v/>
      </c>
      <c r="R33">
        <f>R34</f>
        <v/>
      </c>
      <c r="S33">
        <f>(E33/100000+F33/100+(O33/1000)*J33/5+R33/200)*200*I33*H33</f>
        <v/>
      </c>
      <c r="T33">
        <f>((E33*F33/25000)+((O33/1000)*J33*R33/2.5))*I33*H33</f>
        <v/>
      </c>
      <c r="U33">
        <f>(E33*F33*(O33/1000)*J33*R33*I33*H33)/12500000</f>
        <v/>
      </c>
      <c r="V33">
        <f>(S33+T33+U33)/3</f>
        <v/>
      </c>
      <c r="W33" s="5" t="n">
        <v>600</v>
      </c>
      <c r="X33">
        <f>IFERROR(V33-W33,"")</f>
        <v/>
      </c>
      <c r="Y33">
        <f>IFERROR(ABS(X33)/MAX(W33,1),"")</f>
        <v/>
      </c>
      <c r="Z33">
        <f>IFERROR((W33-(((E33/100000+F33/100+R33/200)*200*I33*H33)+((E33*F33/25000)*I33*H33))/3)/(((J33/5)*200*I33*H33)+((J33*R33/2.5)*I33*H33)+((E33*F33*J33*R33*I33*H33)/12500000))/3*1000,"")</f>
        <v/>
      </c>
    </row>
    <row r="34">
      <c r="B34" s="6" t="inlineStr">
        <is>
          <t xml:space="preserve">  ↳ tkmawp</t>
        </is>
      </c>
      <c r="C34" s="6" t="inlineStr">
        <is>
          <t>Armament@PRIMARY</t>
        </is>
      </c>
      <c r="K34" s="5" t="n">
        <v>44000</v>
      </c>
      <c r="L34" s="5" t="n">
        <v>55</v>
      </c>
      <c r="M34" s="5" t="n">
        <v>1</v>
      </c>
      <c r="N34" s="5" t="n"/>
      <c r="O34" s="5" t="n">
        <v>10021</v>
      </c>
      <c r="P34" s="5" t="n">
        <v>1</v>
      </c>
      <c r="Q34">
        <f>L34+IF(M34&gt;1,N(N34)*(M34-1),0)</f>
        <v/>
      </c>
      <c r="R34">
        <f>IFERROR(K34*MAX(M34,1)/Q34*P34,0)</f>
        <v/>
      </c>
      <c r="AA34" s="6" t="inlineStr">
        <is>
          <t>^SniperWeapon</t>
        </is>
      </c>
    </row>
    <row r="35">
      <c r="B35" s="6" t="inlineStr">
        <is>
          <t xml:space="preserve">  ↳ tkmawp</t>
        </is>
      </c>
      <c r="C35" s="6" t="inlineStr">
        <is>
          <t>Armament@GARRISONED</t>
        </is>
      </c>
      <c r="K35" s="5" t="n">
        <v>44000</v>
      </c>
      <c r="L35" s="5" t="n">
        <v>55</v>
      </c>
      <c r="M35" s="5" t="n">
        <v>1</v>
      </c>
      <c r="N35" s="5" t="n"/>
      <c r="O35" s="5" t="n">
        <v>10021</v>
      </c>
      <c r="P35" s="5" t="n">
        <v>1</v>
      </c>
      <c r="Q35">
        <f>L35+IF(M35&gt;1,N(N35)*(M35-1),0)</f>
        <v/>
      </c>
      <c r="R35">
        <f>IFERROR(K35*MAX(M35,1)/Q35*P35,0)</f>
        <v/>
      </c>
      <c r="AA35" s="6" t="inlineStr">
        <is>
          <t>^SniperWeapon</t>
        </is>
      </c>
    </row>
    <row r="36">
      <c r="A36" t="inlineStr">
        <is>
          <t>redalert2mod</t>
        </is>
      </c>
      <c r="B36" t="inlineStr">
        <is>
          <t>tkm_spetsnaz</t>
        </is>
      </c>
      <c r="C36" t="inlineStr">
        <is>
          <t>Spetsnaz</t>
        </is>
      </c>
      <c r="D36" t="inlineStr"/>
      <c r="E36" s="5" t="n">
        <v>50000</v>
      </c>
      <c r="F36" s="5" t="n">
        <v>100</v>
      </c>
      <c r="G36" t="inlineStr">
        <is>
          <t>Plate</t>
        </is>
      </c>
      <c r="H36" s="5" t="n">
        <v>1</v>
      </c>
      <c r="I36" s="5" t="n">
        <v>1</v>
      </c>
      <c r="J36" s="5" t="n">
        <v>1</v>
      </c>
      <c r="O36">
        <f>MAX(O37,O39)</f>
        <v/>
      </c>
      <c r="R36">
        <f>R37+R39</f>
        <v/>
      </c>
      <c r="S36">
        <f>(E36/100000+F36/100+(O36/1000)*J36/5+R36/200)*200*I36*H36</f>
        <v/>
      </c>
      <c r="T36">
        <f>((E36*F36/25000)+((O36/1000)*J36*R36/2.5))*I36*H36</f>
        <v/>
      </c>
      <c r="U36">
        <f>(E36*F36*(O36/1000)*J36*R36*I36*H36)/12500000</f>
        <v/>
      </c>
      <c r="V36">
        <f>(S36+T36+U36)/3</f>
        <v/>
      </c>
      <c r="W36" s="5" t="n">
        <v>900</v>
      </c>
      <c r="X36">
        <f>IFERROR(V36-W36,"")</f>
        <v/>
      </c>
      <c r="Y36">
        <f>IFERROR(ABS(X36)/MAX(W36,1),"")</f>
        <v/>
      </c>
      <c r="Z36">
        <f>IFERROR((W36-(((E36/100000+F36/100+R36/200)*200*I36*H36)+((E36*F36/25000)*I36*H36))/3)/(((J36/5)*200*I36*H36)+((J36*R36/2.5)*I36*H36)+((E36*F36*J36*R36*I36*H36)/12500000))/3*1000,"")</f>
        <v/>
      </c>
    </row>
    <row r="37">
      <c r="B37" s="6" t="inlineStr">
        <is>
          <t xml:space="preserve">  ↳ tkmsmg</t>
        </is>
      </c>
      <c r="C37" s="6" t="inlineStr">
        <is>
          <t>Armament@PRIMARY</t>
        </is>
      </c>
      <c r="K37" s="5" t="n">
        <v>2000</v>
      </c>
      <c r="L37" s="5" t="n">
        <v>10</v>
      </c>
      <c r="M37" s="5" t="n">
        <v>5</v>
      </c>
      <c r="N37" s="5" t="n">
        <v>2</v>
      </c>
      <c r="O37" s="5" t="n">
        <v>5750</v>
      </c>
      <c r="P37" s="5" t="n">
        <v>1</v>
      </c>
      <c r="Q37">
        <f>L37+IF(M37&gt;1,N(N37)*(M37-1),0)</f>
        <v/>
      </c>
      <c r="R37">
        <f>IFERROR(K37*MAX(M37,1)/Q37*P37,0)</f>
        <v/>
      </c>
      <c r="AA37" s="6" t="inlineStr">
        <is>
          <t>^SniperWeapon</t>
        </is>
      </c>
    </row>
    <row r="38">
      <c r="B38" s="6" t="inlineStr">
        <is>
          <t xml:space="preserve">  ↳ tkmsmg</t>
        </is>
      </c>
      <c r="C38" s="6" t="inlineStr">
        <is>
          <t>Armament@GARRISONED</t>
        </is>
      </c>
      <c r="K38" s="5" t="n">
        <v>2000</v>
      </c>
      <c r="L38" s="5" t="n">
        <v>10</v>
      </c>
      <c r="M38" s="5" t="n">
        <v>5</v>
      </c>
      <c r="N38" s="5" t="n">
        <v>2</v>
      </c>
      <c r="O38" s="5" t="n">
        <v>5750</v>
      </c>
      <c r="P38" s="5" t="n">
        <v>1</v>
      </c>
      <c r="Q38">
        <f>L38+IF(M38&gt;1,N(N38)*(M38-1),0)</f>
        <v/>
      </c>
      <c r="R38">
        <f>IFERROR(K38*MAX(M38,1)/Q38*P38,0)</f>
        <v/>
      </c>
      <c r="AA38" s="6" t="inlineStr">
        <is>
          <t>^SniperWeapon</t>
        </is>
      </c>
    </row>
    <row r="39">
      <c r="B39" s="6" t="inlineStr">
        <is>
          <t xml:space="preserve">  ↳ SEALAttach</t>
        </is>
      </c>
      <c r="C39" s="6" t="inlineStr">
        <is>
          <t>Armament@shipc4</t>
        </is>
      </c>
      <c r="K39" s="5" t="n"/>
      <c r="L39" s="5" t="n">
        <v>20</v>
      </c>
      <c r="M39" s="5" t="n">
        <v>1</v>
      </c>
      <c r="N39" s="5" t="n"/>
      <c r="O39" s="5" t="n">
        <v>2000</v>
      </c>
      <c r="P39" s="5" t="n">
        <v>1</v>
      </c>
      <c r="Q39">
        <f>L39+IF(M39&gt;1,N(N39)*(M39-1),0)</f>
        <v/>
      </c>
      <c r="R39">
        <f>IFERROR(K39*MAX(M39,1)/Q39*P39,0)</f>
        <v/>
      </c>
      <c r="AA39" s="6" t="inlineStr">
        <is>
          <t>TanyaAttach</t>
        </is>
      </c>
    </row>
    <row r="40">
      <c r="A40" t="inlineStr">
        <is>
          <t>redalert2mod</t>
        </is>
      </c>
      <c r="B40" t="inlineStr">
        <is>
          <t>tkm_thermonaut</t>
        </is>
      </c>
      <c r="C40" t="inlineStr">
        <is>
          <t>Thermonaut</t>
        </is>
      </c>
      <c r="D40" t="inlineStr"/>
      <c r="E40" s="5" t="n">
        <v>60000</v>
      </c>
      <c r="F40" s="5" t="n">
        <v>60</v>
      </c>
      <c r="G40" t="inlineStr">
        <is>
          <t>Plate</t>
        </is>
      </c>
      <c r="H40" s="5" t="n">
        <v>1</v>
      </c>
      <c r="I40" s="5" t="n">
        <v>1</v>
      </c>
      <c r="J40" s="5" t="n">
        <v>1</v>
      </c>
      <c r="O40">
        <f>MAX(O41)</f>
        <v/>
      </c>
      <c r="R40">
        <f>R41</f>
        <v/>
      </c>
      <c r="S40">
        <f>(E40/100000+F40/100+(O40/1000)*J40/5+R40/200)*200*I40*H40</f>
        <v/>
      </c>
      <c r="T40">
        <f>((E40*F40/25000)+((O40/1000)*J40*R40/2.5))*I40*H40</f>
        <v/>
      </c>
      <c r="U40">
        <f>(E40*F40*(O40/1000)*J40*R40*I40*H40)/12500000</f>
        <v/>
      </c>
      <c r="V40">
        <f>(S40+T40+U40)/3</f>
        <v/>
      </c>
      <c r="W40" s="5" t="n">
        <v>500</v>
      </c>
      <c r="X40">
        <f>IFERROR(V40-W40,"")</f>
        <v/>
      </c>
      <c r="Y40">
        <f>IFERROR(ABS(X40)/MAX(W40,1),"")</f>
        <v/>
      </c>
      <c r="Z40">
        <f>IFERROR((W40-(((E40/100000+F40/100+R40/200)*200*I40*H40)+((E40*F40/25000)*I40*H40))/3)/(((J40/5)*200*I40*H40)+((J40*R40/2.5)*I40*H40)+((E40*F40*J40*R40*I40*H40)/12500000))/3*1000,"")</f>
        <v/>
      </c>
    </row>
    <row r="41">
      <c r="B41" s="6" t="inlineStr">
        <is>
          <t xml:space="preserve">  ↳ ThermoF</t>
        </is>
      </c>
      <c r="C41" s="6" t="inlineStr">
        <is>
          <t>Armament@PRIMARY</t>
        </is>
      </c>
      <c r="K41" s="5" t="n">
        <v>2000</v>
      </c>
      <c r="L41" s="5" t="n">
        <v>32</v>
      </c>
      <c r="M41" s="5" t="n">
        <v>13</v>
      </c>
      <c r="N41" s="5" t="n">
        <v>2</v>
      </c>
      <c r="O41" s="5" t="n">
        <v>3204</v>
      </c>
      <c r="P41" s="5" t="n">
        <v>1</v>
      </c>
      <c r="Q41">
        <f>L41+IF(M41&gt;1,N(N41)*(M41-1),0)</f>
        <v/>
      </c>
      <c r="R41">
        <f>IFERROR(K41*MAX(M41,1)/Q41*P41,0)</f>
        <v/>
      </c>
      <c r="AA41" s="6" t="inlineStr">
        <is>
          <t>^MediumFlameWeapon</t>
        </is>
      </c>
    </row>
    <row r="42">
      <c r="B42" s="6" t="inlineStr">
        <is>
          <t xml:space="preserve">  ↳ ThermoF</t>
        </is>
      </c>
      <c r="C42" s="6" t="inlineStr">
        <is>
          <t>Armament@GARRISONED</t>
        </is>
      </c>
      <c r="K42" s="5" t="n">
        <v>2000</v>
      </c>
      <c r="L42" s="5" t="n">
        <v>32</v>
      </c>
      <c r="M42" s="5" t="n">
        <v>13</v>
      </c>
      <c r="N42" s="5" t="n">
        <v>2</v>
      </c>
      <c r="O42" s="5" t="n">
        <v>3204</v>
      </c>
      <c r="P42" s="5" t="n">
        <v>1</v>
      </c>
      <c r="Q42">
        <f>L42+IF(M42&gt;1,N(N42)*(M42-1),0)</f>
        <v/>
      </c>
      <c r="R42">
        <f>IFERROR(K42*MAX(M42,1)/Q42*P42,0)</f>
        <v/>
      </c>
      <c r="AA42" s="6" t="inlineStr">
        <is>
          <t>^MediumFlameWeapon</t>
        </is>
      </c>
    </row>
    <row r="43">
      <c r="A43" t="inlineStr">
        <is>
          <t>redalert2mod</t>
        </is>
      </c>
      <c r="B43" t="inlineStr">
        <is>
          <t>tkm_trooper</t>
        </is>
      </c>
      <c r="C43" t="inlineStr">
        <is>
          <t>Trooper</t>
        </is>
      </c>
      <c r="D43" t="inlineStr"/>
      <c r="E43" s="5" t="n">
        <v>32000</v>
      </c>
      <c r="F43" s="5" t="n">
        <v>60</v>
      </c>
      <c r="G43" t="inlineStr">
        <is>
          <t>None</t>
        </is>
      </c>
      <c r="H43" s="5" t="n">
        <v>1</v>
      </c>
      <c r="I43" s="5" t="n">
        <v>1</v>
      </c>
      <c r="J43" s="5" t="n">
        <v>1</v>
      </c>
      <c r="O43">
        <f>MAX(O44,O46)</f>
        <v/>
      </c>
      <c r="R43">
        <f>R44+R46</f>
        <v/>
      </c>
      <c r="S43">
        <f>(E43/100000+F43/100+(O43/1000)*J43/5+R43/200)*200*I43*H43</f>
        <v/>
      </c>
      <c r="T43">
        <f>((E43*F43/25000)+((O43/1000)*J43*R43/2.5))*I43*H43</f>
        <v/>
      </c>
      <c r="U43">
        <f>(E43*F43*(O43/1000)*J43*R43*I43*H43)/12500000</f>
        <v/>
      </c>
      <c r="V43">
        <f>(S43+T43+U43)/3</f>
        <v/>
      </c>
      <c r="W43" s="5" t="n">
        <v>200</v>
      </c>
      <c r="X43">
        <f>IFERROR(V43-W43,"")</f>
        <v/>
      </c>
      <c r="Y43">
        <f>IFERROR(ABS(X43)/MAX(W43,1),"")</f>
        <v/>
      </c>
      <c r="Z43">
        <f>IFERROR((W43-(((E43/100000+F43/100+R43/200)*200*I43*H43)+((E43*F43/25000)*I43*H43))/3)/(((J43/5)*200*I43*H43)+((J43*R43/2.5)*I43*H43)+((E43*F43*J43*R43*I43*H43)/12500000))/3*1000,"")</f>
        <v/>
      </c>
    </row>
    <row r="44">
      <c r="B44" s="6" t="inlineStr">
        <is>
          <t xml:space="preserve">  ↳ tkm_trooper_ak</t>
        </is>
      </c>
      <c r="C44" s="6" t="inlineStr">
        <is>
          <t>Armament@PRIMARY</t>
        </is>
      </c>
      <c r="K44" s="5" t="n">
        <v>2000</v>
      </c>
      <c r="L44" s="5" t="n">
        <v>31</v>
      </c>
      <c r="M44" s="5" t="n">
        <v>5</v>
      </c>
      <c r="N44" s="5" t="n">
        <v>1</v>
      </c>
      <c r="O44" s="5" t="n">
        <v>5500</v>
      </c>
      <c r="P44" s="5" t="n">
        <v>1</v>
      </c>
      <c r="Q44">
        <f>L44+IF(M44&gt;1,N(N44)*(M44-1),0)</f>
        <v/>
      </c>
      <c r="R44">
        <f>IFERROR(K44*MAX(M44,1)/Q44*P44,0)</f>
        <v/>
      </c>
      <c r="AA44" s="6" t="inlineStr">
        <is>
          <t>^SmallArms</t>
        </is>
      </c>
    </row>
    <row r="45">
      <c r="B45" s="6" t="inlineStr">
        <is>
          <t xml:space="preserve">  ↳ tkm_trooper_ak</t>
        </is>
      </c>
      <c r="C45" s="6" t="inlineStr">
        <is>
          <t>Armament@GARRISONED</t>
        </is>
      </c>
      <c r="K45" s="5" t="n">
        <v>2000</v>
      </c>
      <c r="L45" s="5" t="n">
        <v>31</v>
      </c>
      <c r="M45" s="5" t="n">
        <v>5</v>
      </c>
      <c r="N45" s="5" t="n">
        <v>1</v>
      </c>
      <c r="O45" s="5" t="n">
        <v>5500</v>
      </c>
      <c r="P45" s="5" t="n">
        <v>1</v>
      </c>
      <c r="Q45">
        <f>L45+IF(M45&gt;1,N(N45)*(M45-1),0)</f>
        <v/>
      </c>
      <c r="R45">
        <f>IFERROR(K45*MAX(M45,1)/Q45*P45,0)</f>
        <v/>
      </c>
      <c r="AA45" s="6" t="inlineStr">
        <is>
          <t>^SmallArms</t>
        </is>
      </c>
    </row>
    <row r="46">
      <c r="B46" s="6" t="inlineStr">
        <is>
          <t xml:space="preserve">  ↳ tkm_trooper_gp25</t>
        </is>
      </c>
      <c r="C46" s="6" t="inlineStr">
        <is>
          <t>Armament@gp25</t>
        </is>
      </c>
      <c r="K46" s="5" t="n">
        <v>6000</v>
      </c>
      <c r="L46" s="5" t="n">
        <v>80</v>
      </c>
      <c r="M46" s="5" t="n">
        <v>1</v>
      </c>
      <c r="N46" s="5" t="n"/>
      <c r="O46" s="5" t="n">
        <v>5500</v>
      </c>
      <c r="P46" s="5" t="n">
        <v>1</v>
      </c>
      <c r="Q46">
        <f>L46+IF(M46&gt;1,N(N46)*(M46-1),0)</f>
        <v/>
      </c>
      <c r="R46">
        <f>IFERROR(K46*MAX(M46,1)/Q46*P46,0)</f>
        <v/>
      </c>
      <c r="AA46" s="6" t="inlineStr">
        <is>
          <t>^Grenade, ^LightFlameWeapon</t>
        </is>
      </c>
    </row>
    <row r="47">
      <c r="B47" s="6" t="inlineStr">
        <is>
          <t xml:space="preserve">  ↳ tkm_trooper_gp25</t>
        </is>
      </c>
      <c r="C47" s="6" t="inlineStr">
        <is>
          <t>Armament@GARRISONEDM203</t>
        </is>
      </c>
      <c r="K47" s="5" t="n">
        <v>6000</v>
      </c>
      <c r="L47" s="5" t="n">
        <v>80</v>
      </c>
      <c r="M47" s="5" t="n">
        <v>1</v>
      </c>
      <c r="N47" s="5" t="n"/>
      <c r="O47" s="5" t="n">
        <v>5500</v>
      </c>
      <c r="P47" s="5" t="n">
        <v>1</v>
      </c>
      <c r="Q47">
        <f>L47+IF(M47&gt;1,N(N47)*(M47-1),0)</f>
        <v/>
      </c>
      <c r="R47">
        <f>IFERROR(K47*MAX(M47,1)/Q47*P47,0)</f>
        <v/>
      </c>
      <c r="AA47" s="6" t="inlineStr">
        <is>
          <t>^Grenade, ^LightFlameWeapon</t>
        </is>
      </c>
    </row>
    <row r="48">
      <c r="A48" t="inlineStr">
        <is>
          <t>redalert2mod</t>
        </is>
      </c>
      <c r="B48" t="inlineStr">
        <is>
          <t>tkm_von</t>
        </is>
      </c>
      <c r="C48" t="inlineStr">
        <is>
          <t>Von</t>
        </is>
      </c>
      <c r="D48" t="inlineStr"/>
      <c r="E48" s="5" t="n">
        <v>50000</v>
      </c>
      <c r="F48" s="5" t="n">
        <v>75</v>
      </c>
      <c r="G48" t="inlineStr">
        <is>
          <t>Heroic</t>
        </is>
      </c>
      <c r="H48" s="5" t="n">
        <v>0.75</v>
      </c>
      <c r="I48" s="5" t="n">
        <v>1</v>
      </c>
      <c r="J48" s="5" t="n">
        <v>1.25</v>
      </c>
      <c r="O48">
        <f>MAX(O49,O50,O51)</f>
        <v/>
      </c>
      <c r="R48">
        <f>R49+R50+R51</f>
        <v/>
      </c>
      <c r="S48">
        <f>(E48/100000+F48/100+(O48/1000)*J48/5+R48/200)*200*I48*H48</f>
        <v/>
      </c>
      <c r="T48">
        <f>((E48*F48/25000)+((O48/1000)*J48*R48/2.5))*I48*H48</f>
        <v/>
      </c>
      <c r="U48">
        <f>(E48*F48*(O48/1000)*J48*R48*I48*H48)/12500000</f>
        <v/>
      </c>
      <c r="V48">
        <f>(S48+T48+U48)/3</f>
        <v/>
      </c>
      <c r="W48" s="5" t="n">
        <v>3000</v>
      </c>
      <c r="X48">
        <f>IFERROR(V48-W48,"")</f>
        <v/>
      </c>
      <c r="Y48">
        <f>IFERROR(ABS(X48)/MAX(W48,1),"")</f>
        <v/>
      </c>
      <c r="Z48">
        <f>IFERROR((W48-(((E48/100000+F48/100+R48/200)*200*I48*H48)+((E48*F48/25000)*I48*H48))/3)/(((J48/5)*200*I48*H48)+((J48*R48/2.5)*I48*H48)+((E48*F48*J48*R48*I48*H48)/12500000))/3*1000,"")</f>
        <v/>
      </c>
    </row>
    <row r="49">
      <c r="B49" s="6" t="inlineStr">
        <is>
          <t xml:space="preserve">  ↳ VonSniperLockdown</t>
        </is>
      </c>
      <c r="C49" s="6" t="inlineStr">
        <is>
          <t>Armament@lockdown</t>
        </is>
      </c>
      <c r="K49" s="5" t="n">
        <v>32000</v>
      </c>
      <c r="L49" s="5" t="n">
        <v>100</v>
      </c>
      <c r="M49" s="5" t="n">
        <v>1</v>
      </c>
      <c r="N49" s="5" t="n"/>
      <c r="O49" s="5" t="n">
        <v>7879</v>
      </c>
      <c r="P49" s="5" t="n">
        <v>1</v>
      </c>
      <c r="Q49">
        <f>L49+IF(M49&gt;1,N(N49)*(M49-1),0)</f>
        <v/>
      </c>
      <c r="R49">
        <f>IFERROR(K49*MAX(M49,1)/Q49*P49,0)</f>
        <v/>
      </c>
      <c r="AA49" s="6" t="inlineStr">
        <is>
          <t>^TeslaChargedWeapon, ^MediumMissile, ^HeavyCannon, ^SmallArms, ^FlakWeapon, ^Chaingun</t>
        </is>
      </c>
    </row>
    <row r="50">
      <c r="B50" s="6" t="inlineStr">
        <is>
          <t xml:space="preserve">  ↳ VonSniper</t>
        </is>
      </c>
      <c r="C50" s="6" t="inlineStr">
        <is>
          <t>Armament@PRIMARY</t>
        </is>
      </c>
      <c r="K50" s="5" t="n">
        <v>6000</v>
      </c>
      <c r="L50" s="5" t="n">
        <v>25</v>
      </c>
      <c r="M50" s="5" t="n">
        <v>1</v>
      </c>
      <c r="N50" s="5" t="n"/>
      <c r="O50" s="5" t="n">
        <v>7879</v>
      </c>
      <c r="P50" s="5" t="n">
        <v>1</v>
      </c>
      <c r="Q50">
        <f>L50+IF(M50&gt;1,N(N50)*(M50-1),0)</f>
        <v/>
      </c>
      <c r="R50">
        <f>IFERROR(K50*MAX(M50,1)/Q50*P50,0)</f>
        <v/>
      </c>
      <c r="AA50" s="6" t="inlineStr">
        <is>
          <t>^MediumMissile, ^HeavyCannon, ^SmallArms, ^FlakWeapon, ^Chaingun</t>
        </is>
      </c>
    </row>
    <row r="51">
      <c r="B51" s="6" t="inlineStr">
        <is>
          <t xml:space="preserve">  ↳ VonSniperAP</t>
        </is>
      </c>
      <c r="C51" s="6" t="inlineStr">
        <is>
          <t>Armament@PRIMARYUPGRADE</t>
        </is>
      </c>
      <c r="K51" s="5" t="n">
        <v>16000</v>
      </c>
      <c r="L51" s="5" t="n">
        <v>50</v>
      </c>
      <c r="M51" s="5" t="n">
        <v>1</v>
      </c>
      <c r="N51" s="5" t="n"/>
      <c r="O51" s="5" t="n">
        <v>7879</v>
      </c>
      <c r="P51" s="5" t="n">
        <v>1</v>
      </c>
      <c r="Q51">
        <f>L51+IF(M51&gt;1,N(N51)*(M51-1),0)</f>
        <v/>
      </c>
      <c r="R51">
        <f>IFERROR(K51*MAX(M51,1)/Q51*P51,0)</f>
        <v/>
      </c>
      <c r="AA51" s="6" t="inlineStr">
        <is>
          <t>^MediumMissile, ^HeavyCannon, ^SmallArms, ^FlakWeapon, ^Chaingun</t>
        </is>
      </c>
    </row>
    <row r="52">
      <c r="B52" s="6" t="inlineStr">
        <is>
          <t xml:space="preserve">  ↳ VonSniper</t>
        </is>
      </c>
      <c r="C52" s="6" t="inlineStr">
        <is>
          <t>Armament@GARRISONED</t>
        </is>
      </c>
      <c r="K52" s="5" t="n">
        <v>6000</v>
      </c>
      <c r="L52" s="5" t="n">
        <v>25</v>
      </c>
      <c r="M52" s="5" t="n">
        <v>1</v>
      </c>
      <c r="N52" s="5" t="n"/>
      <c r="O52" s="5" t="n">
        <v>7879</v>
      </c>
      <c r="P52" s="5" t="n">
        <v>1</v>
      </c>
      <c r="Q52">
        <f>L52+IF(M52&gt;1,N(N52)*(M52-1),0)</f>
        <v/>
      </c>
      <c r="R52">
        <f>IFERROR(K52*MAX(M52,1)/Q52*P52,0)</f>
        <v/>
      </c>
      <c r="AA52" s="6" t="inlineStr">
        <is>
          <t>^MediumMissile, ^HeavyCannon, ^SmallArms, ^FlakWeapon, ^Chaingun</t>
        </is>
      </c>
    </row>
    <row r="53">
      <c r="B53" s="6" t="inlineStr">
        <is>
          <t xml:space="preserve">  ↳ VonSniperAP</t>
        </is>
      </c>
      <c r="C53" s="6" t="inlineStr">
        <is>
          <t>Armament@GARRISONEDUPGRADE</t>
        </is>
      </c>
      <c r="K53" s="5" t="n">
        <v>16000</v>
      </c>
      <c r="L53" s="5" t="n">
        <v>50</v>
      </c>
      <c r="M53" s="5" t="n">
        <v>1</v>
      </c>
      <c r="N53" s="5" t="n"/>
      <c r="O53" s="5" t="n">
        <v>7879</v>
      </c>
      <c r="P53" s="5" t="n">
        <v>1</v>
      </c>
      <c r="Q53">
        <f>L53+IF(M53&gt;1,N(N53)*(M53-1),0)</f>
        <v/>
      </c>
      <c r="R53">
        <f>IFERROR(K53*MAX(M53,1)/Q53*P53,0)</f>
        <v/>
      </c>
      <c r="AA53" s="6" t="inlineStr">
        <is>
          <t>^MediumMissile, ^HeavyCannon, ^SmallArms, ^FlakWeapon, ^Chaingun</t>
        </is>
      </c>
    </row>
    <row r="54">
      <c r="A54" t="inlineStr">
        <is>
          <t>redalert2mod</t>
        </is>
      </c>
      <c r="B54" t="inlineStr">
        <is>
          <t>tkmvan</t>
        </is>
      </c>
      <c r="C54" t="inlineStr">
        <is>
          <t>Van</t>
        </is>
      </c>
      <c r="D54" t="inlineStr"/>
      <c r="E54" s="5" t="n">
        <v>40000</v>
      </c>
      <c r="F54" s="5" t="n">
        <v>75</v>
      </c>
      <c r="G54" t="inlineStr">
        <is>
          <t>Heroic</t>
        </is>
      </c>
      <c r="H54" s="5" t="n">
        <v>1</v>
      </c>
      <c r="I54" s="5" t="n">
        <v>1</v>
      </c>
      <c r="J54" s="5" t="n">
        <v>1</v>
      </c>
      <c r="O54">
        <f>MAX(O55)</f>
        <v/>
      </c>
      <c r="R54">
        <f>R55</f>
        <v/>
      </c>
      <c r="S54">
        <f>(E54/100000+F54/100+(O54/1000)*J54/5+R54/200)*200*I54*H54</f>
        <v/>
      </c>
      <c r="T54">
        <f>((E54*F54/25000)+((O54/1000)*J54*R54/2.5))*I54*H54</f>
        <v/>
      </c>
      <c r="U54">
        <f>(E54*F54*(O54/1000)*J54*R54*I54*H54)/12500000</f>
        <v/>
      </c>
      <c r="V54">
        <f>(S54+T54+U54)/3</f>
        <v/>
      </c>
      <c r="W54" s="5" t="n">
        <v>3500</v>
      </c>
      <c r="X54">
        <f>IFERROR(V54-W54,"")</f>
        <v/>
      </c>
      <c r="Y54">
        <f>IFERROR(ABS(X54)/MAX(W54,1),"")</f>
        <v/>
      </c>
      <c r="Z54">
        <f>IFERROR((W54-(((E54/100000+F54/100+R54/200)*200*I54*H54)+((E54*F54/25000)*I54*H54))/3)/(((J54/5)*200*I54*H54)+((J54*R54/2.5)*I54*H54)+((E54*F54*J54*R54*I54*H54)/12500000))/3*1000,"")</f>
        <v/>
      </c>
    </row>
    <row r="55">
      <c r="B55" s="6" t="inlineStr">
        <is>
          <t xml:space="preserve">  ↳ VanSniper</t>
        </is>
      </c>
      <c r="C55" s="6" t="inlineStr">
        <is>
          <t>Armament@PRIMARY</t>
        </is>
      </c>
      <c r="K55" s="5" t="n">
        <v>80000</v>
      </c>
      <c r="L55" s="5" t="n">
        <v>30</v>
      </c>
      <c r="M55" s="5" t="n">
        <v>1</v>
      </c>
      <c r="N55" s="5" t="n"/>
      <c r="O55" s="5" t="n">
        <v>12402</v>
      </c>
      <c r="P55" s="5" t="n">
        <v>1</v>
      </c>
      <c r="Q55">
        <f>L55+IF(M55&gt;1,N(N55)*(M55-1),0)</f>
        <v/>
      </c>
      <c r="R55">
        <f>IFERROR(K55*MAX(M55,1)/Q55*P55,0)</f>
        <v/>
      </c>
      <c r="AA55" s="6" t="inlineStr">
        <is>
          <t>^SniperWeapon</t>
        </is>
      </c>
    </row>
    <row r="56">
      <c r="B56" s="6" t="inlineStr">
        <is>
          <t xml:space="preserve">  ↳ VanSniper</t>
        </is>
      </c>
      <c r="C56" s="6" t="inlineStr">
        <is>
          <t>Armament@GARRISONED</t>
        </is>
      </c>
      <c r="K56" s="5" t="n">
        <v>80000</v>
      </c>
      <c r="L56" s="5" t="n">
        <v>30</v>
      </c>
      <c r="M56" s="5" t="n">
        <v>1</v>
      </c>
      <c r="N56" s="5" t="n"/>
      <c r="O56" s="5" t="n">
        <v>12402</v>
      </c>
      <c r="P56" s="5" t="n">
        <v>1</v>
      </c>
      <c r="Q56">
        <f>L56+IF(M56&gt;1,N(N56)*(M56-1),0)</f>
        <v/>
      </c>
      <c r="R56">
        <f>IFERROR(K56*MAX(M56,1)/Q56*P56,0)</f>
        <v/>
      </c>
      <c r="AA56" s="6" t="inlineStr">
        <is>
          <t>^SniperWeapon</t>
        </is>
      </c>
    </row>
    <row r="57">
      <c r="A57" t="inlineStr">
        <is>
          <t>redalert2mod</t>
        </is>
      </c>
      <c r="B57" t="inlineStr">
        <is>
          <t>tkmworker</t>
        </is>
      </c>
      <c r="C57" t="inlineStr">
        <is>
          <t>Worker</t>
        </is>
      </c>
      <c r="D57" t="inlineStr"/>
      <c r="E57" s="5" t="n">
        <v>10000</v>
      </c>
      <c r="F57" s="5" t="n">
        <v>60</v>
      </c>
      <c r="G57" t="inlineStr">
        <is>
          <t>Plate</t>
        </is>
      </c>
      <c r="H57" s="5" t="n">
        <v>1</v>
      </c>
      <c r="I57" s="5" t="n">
        <v>1</v>
      </c>
      <c r="J57" s="5" t="n">
        <v>1</v>
      </c>
      <c r="O57">
        <f>MAX(O58)</f>
        <v/>
      </c>
      <c r="R57">
        <f>R58</f>
        <v/>
      </c>
      <c r="S57">
        <f>(E57/100000+F57/100+(O57/1000)*J57/5+R57/200)*200*I57*H57</f>
        <v/>
      </c>
      <c r="T57">
        <f>((E57*F57/25000)+((O57/1000)*J57*R57/2.5))*I57*H57</f>
        <v/>
      </c>
      <c r="U57">
        <f>(E57*F57*(O57/1000)*J57*R57*I57*H57)/12500000</f>
        <v/>
      </c>
      <c r="V57">
        <f>(S57+T57+U57)/3</f>
        <v/>
      </c>
      <c r="W57" s="5" t="n">
        <v>250</v>
      </c>
      <c r="X57">
        <f>IFERROR(V57-W57,"")</f>
        <v/>
      </c>
      <c r="Y57">
        <f>IFERROR(ABS(X57)/MAX(W57,1),"")</f>
        <v/>
      </c>
      <c r="Z57">
        <f>IFERROR((W57-(((E57/100000+F57/100+R57/200)*200*I57*H57)+((E57*F57/25000)*I57*H57))/3)/(((J57/5)*200*I57*H57)+((J57*R57/2.5)*I57*H57)+((E57*F57*J57*R57*I57*H57)/12500000))/3*1000,"")</f>
        <v/>
      </c>
    </row>
    <row r="58">
      <c r="B58" s="6" t="inlineStr">
        <is>
          <t xml:space="preserve">  ↳ RA2Shovel</t>
        </is>
      </c>
      <c r="C58" s="6" t="inlineStr">
        <is>
          <t>Armament@PRIMARY</t>
        </is>
      </c>
      <c r="K58" s="5" t="n">
        <v>2000</v>
      </c>
      <c r="L58" s="5" t="n">
        <v>30</v>
      </c>
      <c r="M58" s="5" t="n">
        <v>1</v>
      </c>
      <c r="N58" s="5" t="n"/>
      <c r="O58" s="5" t="n">
        <v>1500</v>
      </c>
      <c r="P58" s="5" t="n">
        <v>1</v>
      </c>
      <c r="Q58">
        <f>L58+IF(M58&gt;1,N(N58)*(M58-1),0)</f>
        <v/>
      </c>
      <c r="R58">
        <f>IFERROR(K58*MAX(M58,1)/Q58*P58,0)</f>
        <v/>
      </c>
      <c r="AA58" s="6" t="inlineStr">
        <is>
          <t>^SwordWeapon</t>
        </is>
      </c>
    </row>
    <row r="59">
      <c r="B59" s="6" t="inlineStr">
        <is>
          <t xml:space="preserve">  ↳ RA2Shovel</t>
        </is>
      </c>
      <c r="C59" s="6" t="inlineStr">
        <is>
          <t>Armament@GARRISONED</t>
        </is>
      </c>
      <c r="K59" s="5" t="n">
        <v>2000</v>
      </c>
      <c r="L59" s="5" t="n">
        <v>30</v>
      </c>
      <c r="M59" s="5" t="n">
        <v>1</v>
      </c>
      <c r="N59" s="5" t="n"/>
      <c r="O59" s="5" t="n">
        <v>1500</v>
      </c>
      <c r="P59" s="5" t="n">
        <v>1</v>
      </c>
      <c r="Q59">
        <f>L59+IF(M59&gt;1,N(N59)*(M59-1),0)</f>
        <v/>
      </c>
      <c r="R59">
        <f>IFERROR(K59*MAX(M59,1)/Q59*P59,0)</f>
        <v/>
      </c>
      <c r="AA59" s="6" t="inlineStr">
        <is>
          <t>^SwordWeapon</t>
        </is>
      </c>
    </row>
    <row r="60">
      <c r="A60" s="3" t="inlineStr">
        <is>
          <t>VEHICLES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>
      <c r="A61" t="inlineStr">
        <is>
          <t>redalert2mod</t>
        </is>
      </c>
      <c r="B61" t="inlineStr">
        <is>
          <t>tkm_abrams</t>
        </is>
      </c>
      <c r="C61" t="inlineStr">
        <is>
          <t>Abrams</t>
        </is>
      </c>
      <c r="D61" t="inlineStr"/>
      <c r="E61" s="5" t="n">
        <v>120000</v>
      </c>
      <c r="F61" s="5" t="n">
        <v>80</v>
      </c>
      <c r="G61" t="inlineStr">
        <is>
          <t>Medium</t>
        </is>
      </c>
      <c r="H61" s="5" t="n">
        <v>1</v>
      </c>
      <c r="I61" s="5" t="n">
        <v>1</v>
      </c>
      <c r="J61" s="5" t="n">
        <v>1</v>
      </c>
      <c r="O61">
        <f>MAX(O62)</f>
        <v/>
      </c>
      <c r="R61">
        <f>R62</f>
        <v/>
      </c>
      <c r="S61">
        <f>(E61/100000+F61/100+(O61/1000)*J61/5+R61/200)*200*I61*H61</f>
        <v/>
      </c>
      <c r="T61">
        <f>((E61*F61/25000)+((O61/1000)*J61*R61/2.5))*I61*H61</f>
        <v/>
      </c>
      <c r="U61">
        <f>(E61*F61*(O61/1000)*J61*R61*I61*H61)/12500000</f>
        <v/>
      </c>
      <c r="V61">
        <f>(S61+T61+U61)/3</f>
        <v/>
      </c>
      <c r="W61" s="5" t="n">
        <v>1000</v>
      </c>
      <c r="X61">
        <f>IFERROR(V61-W61,"")</f>
        <v/>
      </c>
      <c r="Y61">
        <f>IFERROR(ABS(X61)/MAX(W61,1),"")</f>
        <v/>
      </c>
      <c r="Z61">
        <f>IFERROR((W61-(((E61/100000+F61/100+R61/200)*200*I61*H61)+((E61*F61/25000)*I61*H61))/3)/(((J61/5)*200*I61*H61)+((J61*R61/2.5)*I61*H61)+((E61*F61*J61*R61*I61*H61)/12500000))/3*1000,"")</f>
        <v/>
      </c>
    </row>
    <row r="62">
      <c r="B62" s="6" t="inlineStr">
        <is>
          <t xml:space="preserve">  ↳ tkmrh120gun</t>
        </is>
      </c>
      <c r="C62" s="6" t="inlineStr">
        <is>
          <t>Armament@cannon</t>
        </is>
      </c>
      <c r="K62" s="5" t="n">
        <v>12000</v>
      </c>
      <c r="L62" s="5" t="n">
        <v>46</v>
      </c>
      <c r="M62" s="5" t="n">
        <v>1</v>
      </c>
      <c r="N62" s="5" t="n"/>
      <c r="O62" s="5" t="n">
        <v>5672</v>
      </c>
      <c r="P62" s="5" t="n">
        <v>1</v>
      </c>
      <c r="Q62">
        <f>L62+IF(M62&gt;1,N(N62)*(M62-1),0)</f>
        <v/>
      </c>
      <c r="R62">
        <f>IFERROR(K62*MAX(M62,1)/Q62*P62,0)</f>
        <v/>
      </c>
      <c r="AA62" s="6" t="inlineStr">
        <is>
          <t>^MediumCannon</t>
        </is>
      </c>
    </row>
    <row r="63">
      <c r="A63" t="inlineStr">
        <is>
          <t>redalert2mod</t>
        </is>
      </c>
      <c r="B63" t="inlineStr">
        <is>
          <t>tkm_as42</t>
        </is>
      </c>
      <c r="C63" t="inlineStr">
        <is>
          <t>TKM AS42</t>
        </is>
      </c>
      <c r="D63" t="inlineStr"/>
      <c r="E63" s="5" t="n">
        <v>27500</v>
      </c>
      <c r="F63" s="5" t="n">
        <v>150</v>
      </c>
      <c r="G63" t="inlineStr">
        <is>
          <t>Scout</t>
        </is>
      </c>
      <c r="H63" s="5" t="n">
        <v>1</v>
      </c>
      <c r="I63" s="5" t="n">
        <v>1</v>
      </c>
      <c r="J63" s="5" t="n">
        <v>1</v>
      </c>
      <c r="O63">
        <f>MAX(O64,O65,O66,O67)</f>
        <v/>
      </c>
      <c r="R63">
        <f>R64+R65+R66+R67</f>
        <v/>
      </c>
      <c r="S63">
        <f>(E63/100000+F63/100+(O63/1000)*J63/5+R63/200)*200*I63*H63</f>
        <v/>
      </c>
      <c r="T63">
        <f>((E63*F63/25000)+((O63/1000)*J63*R63/2.5))*I63*H63</f>
        <v/>
      </c>
      <c r="U63">
        <f>(E63*F63*(O63/1000)*J63*R63*I63*H63)/12500000</f>
        <v/>
      </c>
      <c r="V63">
        <f>(S63+T63+U63)/3</f>
        <v/>
      </c>
      <c r="W63" s="5" t="n">
        <v>400</v>
      </c>
      <c r="X63">
        <f>IFERROR(V63-W63,"")</f>
        <v/>
      </c>
      <c r="Y63">
        <f>IFERROR(ABS(X63)/MAX(W63,1),"")</f>
        <v/>
      </c>
      <c r="Z63">
        <f>IFERROR((W63-(((E63/100000+F63/100+R63/200)*200*I63*H63)+((E63*F63/25000)*I63*H63))/3)/(((J63/5)*200*I63*H63)+((J63*R63/2.5)*I63*H63)+((E63*F63*J63*R63*I63*H63)/12500000))/3*1000,"")</f>
        <v/>
      </c>
    </row>
    <row r="64">
      <c r="B64" s="6" t="inlineStr">
        <is>
          <t xml:space="preserve">  ↳ as42rockets</t>
        </is>
      </c>
      <c r="C64" s="6" t="inlineStr">
        <is>
          <t>Armament@Missiles</t>
        </is>
      </c>
      <c r="K64" s="5" t="n">
        <v>20000</v>
      </c>
      <c r="L64" s="5" t="n">
        <v>30</v>
      </c>
      <c r="M64" s="5" t="n">
        <v>1</v>
      </c>
      <c r="N64" s="5" t="n"/>
      <c r="O64" s="5" t="n">
        <v>6379</v>
      </c>
      <c r="P64" s="5" t="n">
        <v>1</v>
      </c>
      <c r="Q64">
        <f>L64+IF(M64&gt;1,N(N64)*(M64-1),0)</f>
        <v/>
      </c>
      <c r="R64">
        <f>IFERROR(K64*MAX(M64,1)/Q64*P64,0)</f>
        <v/>
      </c>
      <c r="AA64" s="6" t="inlineStr">
        <is>
          <t>^LightMissile</t>
        </is>
      </c>
    </row>
    <row r="65">
      <c r="B65" s="6" t="inlineStr">
        <is>
          <t xml:space="preserve">  ↳ tkmcryorockets</t>
        </is>
      </c>
      <c r="C65" s="6" t="inlineStr">
        <is>
          <t>Armament@PRIMARYNATO</t>
        </is>
      </c>
      <c r="K65" s="5" t="n">
        <v>18000</v>
      </c>
      <c r="L65" s="5" t="n">
        <v>64</v>
      </c>
      <c r="M65" s="5" t="n">
        <v>1</v>
      </c>
      <c r="N65" s="5" t="n"/>
      <c r="O65" s="5" t="n">
        <v>6214</v>
      </c>
      <c r="P65" s="5" t="n">
        <v>1</v>
      </c>
      <c r="Q65">
        <f>L65+IF(M65&gt;1,N(N65)*(M65-1),0)</f>
        <v/>
      </c>
      <c r="R65">
        <f>IFERROR(K65*MAX(M65,1)/Q65*P65,0)</f>
        <v/>
      </c>
      <c r="AA65" s="6" t="inlineStr">
        <is>
          <t>^LightMissile</t>
        </is>
      </c>
    </row>
    <row r="66">
      <c r="B66" s="6" t="inlineStr">
        <is>
          <t xml:space="preserve">  ↳ tkmtwinrockets</t>
        </is>
      </c>
      <c r="C66" s="6" t="inlineStr">
        <is>
          <t>Armament@PRIMARYBEREZKA</t>
        </is>
      </c>
      <c r="K66" s="5" t="n">
        <v>18000</v>
      </c>
      <c r="L66" s="5" t="n">
        <v>64</v>
      </c>
      <c r="M66" s="5" t="n">
        <v>2</v>
      </c>
      <c r="N66" s="5" t="n"/>
      <c r="O66" s="5" t="n">
        <v>7214</v>
      </c>
      <c r="P66" s="5" t="n">
        <v>1</v>
      </c>
      <c r="Q66">
        <f>L66+IF(M66&gt;1,N(N66)*(M66-1),0)</f>
        <v/>
      </c>
      <c r="R66">
        <f>IFERROR(K66*MAX(M66,1)/Q66*P66,0)</f>
        <v/>
      </c>
      <c r="AA66" s="6" t="inlineStr">
        <is>
          <t>^LightMissile</t>
        </is>
      </c>
    </row>
    <row r="67">
      <c r="B67" s="6" t="inlineStr">
        <is>
          <t xml:space="preserve">  ↳ tkmfirerockets</t>
        </is>
      </c>
      <c r="C67" s="6" t="inlineStr">
        <is>
          <t>Armament@PRIMARYTITAN</t>
        </is>
      </c>
      <c r="K67" s="5" t="n">
        <v>18000</v>
      </c>
      <c r="L67" s="5" t="n">
        <v>64</v>
      </c>
      <c r="M67" s="5" t="n">
        <v>1</v>
      </c>
      <c r="N67" s="5" t="n"/>
      <c r="O67" s="5" t="n">
        <v>6214</v>
      </c>
      <c r="P67" s="5" t="n">
        <v>1</v>
      </c>
      <c r="Q67">
        <f>L67+IF(M67&gt;1,N(N67)*(M67-1),0)</f>
        <v/>
      </c>
      <c r="R67">
        <f>IFERROR(K67*MAX(M67,1)/Q67*P67,0)</f>
        <v/>
      </c>
      <c r="AA67" s="6" t="inlineStr">
        <is>
          <t>^LightFlameWeapon, ^LightMissile</t>
        </is>
      </c>
    </row>
    <row r="68">
      <c r="A68" t="inlineStr">
        <is>
          <t>redalert2mod</t>
        </is>
      </c>
      <c r="B68" t="inlineStr">
        <is>
          <t>tkm_battlebus</t>
        </is>
      </c>
      <c r="C68" t="inlineStr">
        <is>
          <t>Battle Bus</t>
        </is>
      </c>
      <c r="D68" t="inlineStr"/>
      <c r="E68" s="5" t="n">
        <v>50000</v>
      </c>
      <c r="F68" s="5" t="n">
        <v>100</v>
      </c>
      <c r="G68" t="inlineStr">
        <is>
          <t>Medium</t>
        </is>
      </c>
      <c r="H68" s="5" t="n">
        <v>1</v>
      </c>
      <c r="I68" s="5" t="n">
        <v>1</v>
      </c>
      <c r="J68" s="5" t="n">
        <v>1</v>
      </c>
      <c r="O68">
        <f>MAX(O69)</f>
        <v/>
      </c>
      <c r="R68">
        <f>R69</f>
        <v/>
      </c>
      <c r="S68">
        <f>(E68/100000+F68/100+(O68/1000)*J68/5+R68/200)*200*I68*H68</f>
        <v/>
      </c>
      <c r="T68">
        <f>((E68*F68/25000)+((O68/1000)*J68*R68/2.5))*I68*H68</f>
        <v/>
      </c>
      <c r="U68">
        <f>(E68*F68*(O68/1000)*J68*R68*I68*H68)/12500000</f>
        <v/>
      </c>
      <c r="V68">
        <f>(S68+T68+U68)/3</f>
        <v/>
      </c>
      <c r="W68" s="5" t="n">
        <v>1250</v>
      </c>
      <c r="X68">
        <f>IFERROR(V68-W68,"")</f>
        <v/>
      </c>
      <c r="Y68">
        <f>IFERROR(ABS(X68)/MAX(W68,1),"")</f>
        <v/>
      </c>
      <c r="Z68">
        <f>IFERROR((W68-(((E68/100000+F68/100+R68/200)*200*I68*H68)+((E68*F68/25000)*I68*H68))/3)/(((J68/5)*200*I68*H68)+((J68*R68/2.5)*I68*H68)+((E68*F68*J68*R68*I68*H68)/12500000))/3*1000,"")</f>
        <v/>
      </c>
    </row>
    <row r="69">
      <c r="B69" s="6" t="inlineStr">
        <is>
          <t xml:space="preserve">  ↳ TKMMedicHeal</t>
        </is>
      </c>
      <c r="C69" s="6" t="inlineStr">
        <is>
          <t>Armament</t>
        </is>
      </c>
      <c r="K69" s="5" t="n">
        <v>-1</v>
      </c>
      <c r="L69" s="5" t="n">
        <v>5</v>
      </c>
      <c r="M69" s="5" t="n">
        <v>1</v>
      </c>
      <c r="N69" s="5" t="n"/>
      <c r="O69" s="5" t="n">
        <v>4831</v>
      </c>
      <c r="P69" s="5" t="n">
        <v>1</v>
      </c>
      <c r="Q69">
        <f>L69+IF(M69&gt;1,N(N69)*(M69-1),0)</f>
        <v/>
      </c>
      <c r="R69">
        <f>IFERROR(K69*MAX(M69,1)/Q69*P69,0)</f>
        <v/>
      </c>
      <c r="AA69" s="6" t="inlineStr">
        <is>
          <t>^HealingWeapon</t>
        </is>
      </c>
    </row>
    <row r="70">
      <c r="A70" t="inlineStr">
        <is>
          <t>redalert2mod</t>
        </is>
      </c>
      <c r="B70" t="inlineStr">
        <is>
          <t>tkm_bigshiee</t>
        </is>
      </c>
      <c r="C70" t="inlineStr">
        <is>
          <t>Big Shiee</t>
        </is>
      </c>
      <c r="D70" t="inlineStr"/>
      <c r="E70" s="5" t="n">
        <v>500000</v>
      </c>
      <c r="F70" s="5" t="n">
        <v>50</v>
      </c>
      <c r="G70" t="inlineStr">
        <is>
          <t>Superheavy</t>
        </is>
      </c>
      <c r="H70" s="5" t="n">
        <v>1</v>
      </c>
      <c r="I70" s="5" t="n">
        <v>1</v>
      </c>
      <c r="J70" s="5" t="n">
        <v>1</v>
      </c>
      <c r="O70">
        <f>MAX(O71,O72,O73,O74,O75,O76,O77,O78)</f>
        <v/>
      </c>
      <c r="R70">
        <f>R71+R72+R73+R74+R75+R76+R77+R78</f>
        <v/>
      </c>
      <c r="S70">
        <f>(E70/100000+F70/100+(O70/1000)*J70/5+R70/200)*200*I70*H70</f>
        <v/>
      </c>
      <c r="T70">
        <f>((E70*F70/25000)+((O70/1000)*J70*R70/2.5))*I70*H70</f>
        <v/>
      </c>
      <c r="U70">
        <f>(E70*F70*(O70/1000)*J70*R70*I70*H70)/12500000</f>
        <v/>
      </c>
      <c r="V70">
        <f>(S70+T70+U70)/3</f>
        <v/>
      </c>
      <c r="W70" s="5" t="n">
        <v>5000</v>
      </c>
      <c r="X70">
        <f>IFERROR(V70-W70,"")</f>
        <v/>
      </c>
      <c r="Y70">
        <f>IFERROR(ABS(X70)/MAX(W70,1),"")</f>
        <v/>
      </c>
      <c r="Z70">
        <f>IFERROR((W70-(((E70/100000+F70/100+R70/200)*200*I70*H70)+((E70*F70/25000)*I70*H70))/3)/(((J70/5)*200*I70*H70)+((J70*R70/2.5)*I70*H70)+((E70*F70*J70*R70*I70*H70)/12500000))/3*1000,"")</f>
        <v/>
      </c>
    </row>
    <row r="71">
      <c r="B71" s="6" t="inlineStr">
        <is>
          <t xml:space="preserve">  ↳ BigShieeTusk</t>
        </is>
      </c>
      <c r="C71" s="6" t="inlineStr">
        <is>
          <t>Armament@PRIMARY</t>
        </is>
      </c>
      <c r="K71" s="5" t="n">
        <v>40000</v>
      </c>
      <c r="L71" s="5" t="n">
        <v>83</v>
      </c>
      <c r="M71" s="5" t="n">
        <v>2</v>
      </c>
      <c r="N71" s="5" t="n"/>
      <c r="O71" s="5" t="n">
        <v>7238</v>
      </c>
      <c r="P71" s="5" t="n">
        <v>1</v>
      </c>
      <c r="Q71">
        <f>L71+IF(M71&gt;1,N(N71)*(M71-1),0)</f>
        <v/>
      </c>
      <c r="R71">
        <f>IFERROR(K71*MAX(M71,1)/Q71*P71,0)</f>
        <v/>
      </c>
      <c r="AA71" s="6" t="inlineStr">
        <is>
          <t>^HeavyMissile, ^ShrapnelWeapon</t>
        </is>
      </c>
    </row>
    <row r="72">
      <c r="B72" s="6" t="inlineStr">
        <is>
          <t xml:space="preserve">  ↳ SandmarineTuskCryo</t>
        </is>
      </c>
      <c r="C72" s="6" t="inlineStr">
        <is>
          <t>Armament@PRIMARYNATO</t>
        </is>
      </c>
      <c r="K72" s="5" t="n">
        <v>40000</v>
      </c>
      <c r="L72" s="5" t="n">
        <v>129</v>
      </c>
      <c r="M72" s="5" t="n">
        <v>3</v>
      </c>
      <c r="N72" s="5" t="n"/>
      <c r="O72" s="5" t="n">
        <v>6464</v>
      </c>
      <c r="P72" s="5" t="n">
        <v>1</v>
      </c>
      <c r="Q72">
        <f>L72+IF(M72&gt;1,N(N72)*(M72-1),0)</f>
        <v/>
      </c>
      <c r="R72">
        <f>IFERROR(K72*MAX(M72,1)/Q72*P72,0)</f>
        <v/>
      </c>
      <c r="AA72" s="6" t="inlineStr">
        <is>
          <t>^HeavyMissile, ^ShrapnelWeapon, ^CryoMissileProjectile</t>
        </is>
      </c>
    </row>
    <row r="73">
      <c r="B73" s="6" t="inlineStr">
        <is>
          <t xml:space="preserve">  ↳ SandmarineTuskCryo</t>
        </is>
      </c>
      <c r="C73" s="6" t="inlineStr">
        <is>
          <t>Armament@SECONDARYNATO</t>
        </is>
      </c>
      <c r="K73" s="5" t="n">
        <v>40000</v>
      </c>
      <c r="L73" s="5" t="n">
        <v>129</v>
      </c>
      <c r="M73" s="5" t="n">
        <v>3</v>
      </c>
      <c r="N73" s="5" t="n"/>
      <c r="O73" s="5" t="n">
        <v>6464</v>
      </c>
      <c r="P73" s="5" t="n">
        <v>1</v>
      </c>
      <c r="Q73">
        <f>L73+IF(M73&gt;1,N(N73)*(M73-1),0)</f>
        <v/>
      </c>
      <c r="R73">
        <f>IFERROR(K73*MAX(M73,1)/Q73*P73,0)</f>
        <v/>
      </c>
      <c r="AA73" s="6" t="inlineStr">
        <is>
          <t>^HeavyMissile, ^ShrapnelWeapon, ^CryoMissileProjectile</t>
        </is>
      </c>
    </row>
    <row r="74">
      <c r="B74" s="6" t="inlineStr">
        <is>
          <t xml:space="preserve">  ↳ SandmarineTuskTwin</t>
        </is>
      </c>
      <c r="C74" s="6" t="inlineStr">
        <is>
          <t>Armament@PRIMARYBEREZKA</t>
        </is>
      </c>
      <c r="K74" s="5" t="n">
        <v>40000</v>
      </c>
      <c r="L74" s="5" t="n">
        <v>54</v>
      </c>
      <c r="M74" s="5" t="n">
        <v>8</v>
      </c>
      <c r="N74" s="5" t="n"/>
      <c r="O74" s="5" t="n">
        <v>6102</v>
      </c>
      <c r="P74" s="5" t="n">
        <v>1</v>
      </c>
      <c r="Q74">
        <f>L74+IF(M74&gt;1,N(N74)*(M74-1),0)</f>
        <v/>
      </c>
      <c r="R74">
        <f>IFERROR(K74*MAX(M74,1)/Q74*P74,0)</f>
        <v/>
      </c>
      <c r="AA74" s="6" t="inlineStr">
        <is>
          <t>^HeavyMissile, ^ShrapnelWeapon, ^MediumMissile</t>
        </is>
      </c>
    </row>
    <row r="75">
      <c r="B75" s="6" t="inlineStr">
        <is>
          <t xml:space="preserve">  ↳ SandmarineTuskTwin</t>
        </is>
      </c>
      <c r="C75" s="6" t="inlineStr">
        <is>
          <t>Armament@SECONDARYBEREZKA</t>
        </is>
      </c>
      <c r="K75" s="5" t="n">
        <v>40000</v>
      </c>
      <c r="L75" s="5" t="n">
        <v>54</v>
      </c>
      <c r="M75" s="5" t="n">
        <v>8</v>
      </c>
      <c r="N75" s="5" t="n"/>
      <c r="O75" s="5" t="n">
        <v>6102</v>
      </c>
      <c r="P75" s="5" t="n">
        <v>1</v>
      </c>
      <c r="Q75">
        <f>L75+IF(M75&gt;1,N(N75)*(M75-1),0)</f>
        <v/>
      </c>
      <c r="R75">
        <f>IFERROR(K75*MAX(M75,1)/Q75*P75,0)</f>
        <v/>
      </c>
      <c r="AA75" s="6" t="inlineStr">
        <is>
          <t>^HeavyMissile, ^ShrapnelWeapon, ^MediumMissile</t>
        </is>
      </c>
    </row>
    <row r="76">
      <c r="B76" s="6" t="inlineStr">
        <is>
          <t xml:space="preserve">  ↳ SandmarineTuskFire</t>
        </is>
      </c>
      <c r="C76" s="6" t="inlineStr">
        <is>
          <t>Armament@PRIMARYTITAN</t>
        </is>
      </c>
      <c r="K76" s="5" t="n">
        <v>40000</v>
      </c>
      <c r="L76" s="5" t="n">
        <v>25</v>
      </c>
      <c r="M76" s="5" t="n">
        <v>3</v>
      </c>
      <c r="N76" s="5" t="n"/>
      <c r="O76" s="5" t="n">
        <v>5120</v>
      </c>
      <c r="P76" s="5" t="n">
        <v>1</v>
      </c>
      <c r="Q76">
        <f>L76+IF(M76&gt;1,N(N76)*(M76-1),0)</f>
        <v/>
      </c>
      <c r="R76">
        <f>IFERROR(K76*MAX(M76,1)/Q76*P76,0)</f>
        <v/>
      </c>
      <c r="AA76" s="6" t="inlineStr">
        <is>
          <t>^HeavyMissile, ^ShrapnelWeapon, ^LightFlameWeapon, ^LightMissile</t>
        </is>
      </c>
    </row>
    <row r="77">
      <c r="B77" s="6" t="inlineStr">
        <is>
          <t xml:space="preserve">  ↳ SandmarineTuskFire</t>
        </is>
      </c>
      <c r="C77" s="6" t="inlineStr">
        <is>
          <t>Armament@SECONDARYTITAN</t>
        </is>
      </c>
      <c r="K77" s="5" t="n">
        <v>40000</v>
      </c>
      <c r="L77" s="5" t="n">
        <v>25</v>
      </c>
      <c r="M77" s="5" t="n">
        <v>3</v>
      </c>
      <c r="N77" s="5" t="n"/>
      <c r="O77" s="5" t="n">
        <v>5120</v>
      </c>
      <c r="P77" s="5" t="n">
        <v>1</v>
      </c>
      <c r="Q77">
        <f>L77+IF(M77&gt;1,N(N77)*(M77-1),0)</f>
        <v/>
      </c>
      <c r="R77">
        <f>IFERROR(K77*MAX(M77,1)/Q77*P77,0)</f>
        <v/>
      </c>
      <c r="AA77" s="6" t="inlineStr">
        <is>
          <t>^HeavyMissile, ^ShrapnelWeapon, ^LightFlameWeapon, ^LightMissile</t>
        </is>
      </c>
    </row>
    <row r="78">
      <c r="B78" s="6" t="inlineStr">
        <is>
          <t xml:space="preserve">  ↳ bigshieemortar</t>
        </is>
      </c>
      <c r="C78" s="6" t="inlineStr">
        <is>
          <t>Armament@Mortar</t>
        </is>
      </c>
      <c r="K78" s="5" t="n">
        <v>80000</v>
      </c>
      <c r="L78" s="5" t="n">
        <v>86</v>
      </c>
      <c r="M78" s="5" t="n">
        <v>1</v>
      </c>
      <c r="N78" s="5" t="n"/>
      <c r="O78" s="5" t="n">
        <v>7238</v>
      </c>
      <c r="P78" s="5" t="n">
        <v>1</v>
      </c>
      <c r="Q78">
        <f>L78+IF(M78&gt;1,N(N78)*(M78-1),0)</f>
        <v/>
      </c>
      <c r="R78">
        <f>IFERROR(K78*MAX(M78,1)/Q78*P78,0)</f>
        <v/>
      </c>
      <c r="AA78" s="6" t="inlineStr">
        <is>
          <t>^HeavyBomb, ^MediumFlameWeapon</t>
        </is>
      </c>
    </row>
    <row r="79">
      <c r="A79" t="inlineStr">
        <is>
          <t>redalert2mod</t>
        </is>
      </c>
      <c r="B79" t="inlineStr">
        <is>
          <t>tkm_dronepodtruck</t>
        </is>
      </c>
      <c r="C79" t="inlineStr">
        <is>
          <t>Drone Pod Truck</t>
        </is>
      </c>
      <c r="D79" t="inlineStr"/>
      <c r="E79" s="5" t="n">
        <v>60000</v>
      </c>
      <c r="F79" s="5" t="n">
        <v>60</v>
      </c>
      <c r="G79" t="inlineStr">
        <is>
          <t>Light</t>
        </is>
      </c>
      <c r="H79" s="5" t="n">
        <v>1</v>
      </c>
      <c r="I79" s="5" t="n">
        <v>1</v>
      </c>
      <c r="J79" s="5" t="n">
        <v>1</v>
      </c>
      <c r="O79">
        <f>MAX(O80)</f>
        <v/>
      </c>
      <c r="R79">
        <f>R80</f>
        <v/>
      </c>
      <c r="S79">
        <f>(E79/100000+F79/100+(O79/1000)*J79/5+R79/200)*200*I79*H79</f>
        <v/>
      </c>
      <c r="T79">
        <f>((E79*F79/25000)+((O79/1000)*J79*R79/2.5))*I79*H79</f>
        <v/>
      </c>
      <c r="U79">
        <f>(E79*F79*(O79/1000)*J79*R79*I79*H79)/12500000</f>
        <v/>
      </c>
      <c r="V79">
        <f>(S79+T79+U79)/3</f>
        <v/>
      </c>
      <c r="W79" s="5" t="n">
        <v>1600</v>
      </c>
      <c r="X79">
        <f>IFERROR(V79-W79,"")</f>
        <v/>
      </c>
      <c r="Y79">
        <f>IFERROR(ABS(X79)/MAX(W79,1),"")</f>
        <v/>
      </c>
      <c r="Z79">
        <f>IFERROR((W79-(((E79/100000+F79/100+R79/200)*200*I79*H79)+((E79*F79/25000)*I79*H79))/3)/(((J79/5)*200*I79*H79)+((J79*R79/2.5)*I79*H79)+((E79*F79*J79*R79*I79*H79)/12500000))/3*1000,"")</f>
        <v/>
      </c>
    </row>
    <row r="80">
      <c r="B80" s="6" t="inlineStr">
        <is>
          <t xml:space="preserve">  ↳ DronePodTruckLaser</t>
        </is>
      </c>
      <c r="C80" s="6" t="inlineStr">
        <is>
          <t>Armament</t>
        </is>
      </c>
      <c r="K80" s="5" t="n">
        <v>1</v>
      </c>
      <c r="L80" s="5" t="n">
        <v>5</v>
      </c>
      <c r="M80" s="5" t="n">
        <v>1</v>
      </c>
      <c r="N80" s="5" t="n"/>
      <c r="O80" s="5" t="n">
        <v>23589</v>
      </c>
      <c r="P80" s="5" t="n">
        <v>1</v>
      </c>
      <c r="Q80">
        <f>L80+IF(M80&gt;1,N(N80)*(M80-1),0)</f>
        <v/>
      </c>
      <c r="R80">
        <f>IFERROR(K80*MAX(M80,1)/Q80*P80,0)</f>
        <v/>
      </c>
      <c r="AA80" s="6" t="inlineStr"/>
    </row>
    <row r="81">
      <c r="A81" t="inlineStr">
        <is>
          <t>redalert2mod</t>
        </is>
      </c>
      <c r="B81" t="inlineStr">
        <is>
          <t>tkm_flakbus</t>
        </is>
      </c>
      <c r="C81" t="inlineStr">
        <is>
          <t>Flak Bus</t>
        </is>
      </c>
      <c r="D81" t="inlineStr"/>
      <c r="E81" s="5" t="n">
        <v>120000</v>
      </c>
      <c r="F81" s="5" t="n">
        <v>60</v>
      </c>
      <c r="G81" t="inlineStr">
        <is>
          <t>Heavy</t>
        </is>
      </c>
      <c r="H81" s="5" t="n">
        <v>1</v>
      </c>
      <c r="I81" s="5" t="n">
        <v>1</v>
      </c>
      <c r="J81" s="5" t="n">
        <v>1</v>
      </c>
      <c r="W81" s="5" t="n">
        <v>1800</v>
      </c>
    </row>
    <row r="82">
      <c r="A82" t="inlineStr">
        <is>
          <t>redalert2mod</t>
        </is>
      </c>
      <c r="B82" t="inlineStr">
        <is>
          <t>tkm_medictruck</t>
        </is>
      </c>
      <c r="C82" t="inlineStr">
        <is>
          <t>Medic Truck</t>
        </is>
      </c>
      <c r="D82" t="inlineStr"/>
      <c r="E82" s="5" t="n">
        <v>50000</v>
      </c>
      <c r="F82" s="5" t="n">
        <v>75</v>
      </c>
      <c r="G82" t="inlineStr">
        <is>
          <t>Light</t>
        </is>
      </c>
      <c r="H82" s="5" t="n">
        <v>1</v>
      </c>
      <c r="I82" s="5" t="n">
        <v>1</v>
      </c>
      <c r="J82" s="5" t="n">
        <v>1</v>
      </c>
      <c r="O82">
        <f>MAX(O83)</f>
        <v/>
      </c>
      <c r="R82">
        <f>R83</f>
        <v/>
      </c>
      <c r="S82">
        <f>(E82/100000+F82/100+(O82/1000)*J82/5+R82/200)*200*I82*H82</f>
        <v/>
      </c>
      <c r="T82">
        <f>((E82*F82/25000)+((O82/1000)*J82*R82/2.5))*I82*H82</f>
        <v/>
      </c>
      <c r="U82">
        <f>(E82*F82*(O82/1000)*J82*R82*I82*H82)/12500000</f>
        <v/>
      </c>
      <c r="V82">
        <f>(S82+T82+U82)/3</f>
        <v/>
      </c>
      <c r="W82" s="5" t="n">
        <v>1000</v>
      </c>
      <c r="X82">
        <f>IFERROR(V82-W82,"")</f>
        <v/>
      </c>
      <c r="Y82">
        <f>IFERROR(ABS(X82)/MAX(W82,1),"")</f>
        <v/>
      </c>
      <c r="Z82">
        <f>IFERROR((W82-(((E82/100000+F82/100+R82/200)*200*I82*H82)+((E82*F82/25000)*I82*H82))/3)/(((J82/5)*200*I82*H82)+((J82*R82/2.5)*I82*H82)+((E82*F82*J82*R82*I82*H82)/12500000))/3*1000,"")</f>
        <v/>
      </c>
    </row>
    <row r="83">
      <c r="B83" s="6" t="inlineStr">
        <is>
          <t xml:space="preserve">  ↳ TKMMedicHeal</t>
        </is>
      </c>
      <c r="C83" s="6" t="inlineStr">
        <is>
          <t>Armament@Heal</t>
        </is>
      </c>
      <c r="K83" s="5" t="n">
        <v>-1</v>
      </c>
      <c r="L83" s="5" t="n">
        <v>5</v>
      </c>
      <c r="M83" s="5" t="n">
        <v>1</v>
      </c>
      <c r="N83" s="5" t="n"/>
      <c r="O83" s="5" t="n">
        <v>4831</v>
      </c>
      <c r="P83" s="5" t="n">
        <v>1</v>
      </c>
      <c r="Q83">
        <f>L83+IF(M83&gt;1,N(N83)*(M83-1),0)</f>
        <v/>
      </c>
      <c r="R83">
        <f>IFERROR(K83*MAX(M83,1)/Q83*P83,0)</f>
        <v/>
      </c>
      <c r="AA83" s="6" t="inlineStr">
        <is>
          <t>^HealingWeapon</t>
        </is>
      </c>
    </row>
    <row r="84">
      <c r="A84" t="inlineStr">
        <is>
          <t>redalert2mod</t>
        </is>
      </c>
      <c r="B84" t="inlineStr">
        <is>
          <t>tkm_mobileconstructionvehicletkm</t>
        </is>
      </c>
      <c r="C84" t="inlineStr">
        <is>
          <t>Mobile Construction Vehicle (TKM)</t>
        </is>
      </c>
      <c r="D84" t="inlineStr"/>
      <c r="E84" s="5" t="n">
        <v>300000</v>
      </c>
      <c r="F84" s="5" t="n">
        <v>75</v>
      </c>
      <c r="G84" t="inlineStr">
        <is>
          <t>Medium</t>
        </is>
      </c>
      <c r="H84" s="5" t="n">
        <v>1</v>
      </c>
      <c r="I84" s="5" t="n">
        <v>1</v>
      </c>
      <c r="J84" s="5" t="n">
        <v>1</v>
      </c>
      <c r="W84" s="5" t="n">
        <v>5000</v>
      </c>
    </row>
    <row r="85">
      <c r="A85" t="inlineStr">
        <is>
          <t>redalert2mod</t>
        </is>
      </c>
      <c r="B85" t="inlineStr">
        <is>
          <t>tkm_quadtruck</t>
        </is>
      </c>
      <c r="C85" t="inlineStr">
        <is>
          <t>TKM Quad Truck</t>
        </is>
      </c>
      <c r="D85" t="inlineStr"/>
      <c r="E85" s="5" t="n">
        <v>65000</v>
      </c>
      <c r="F85" s="5" t="n">
        <v>90</v>
      </c>
      <c r="G85" t="inlineStr">
        <is>
          <t>Light</t>
        </is>
      </c>
      <c r="H85" s="5" t="n">
        <v>1</v>
      </c>
      <c r="I85" s="5" t="n">
        <v>1</v>
      </c>
      <c r="J85" s="5" t="n">
        <v>1</v>
      </c>
      <c r="O85">
        <f>MAX(O86,O87)</f>
        <v/>
      </c>
      <c r="R85">
        <f>R86+R87</f>
        <v/>
      </c>
      <c r="S85">
        <f>(E85/100000+F85/100+(O85/1000)*J85/5+R85/200)*200*I85*H85</f>
        <v/>
      </c>
      <c r="T85">
        <f>((E85*F85/25000)+((O85/1000)*J85*R85/2.5))*I85*H85</f>
        <v/>
      </c>
      <c r="U85">
        <f>(E85*F85*(O85/1000)*J85*R85*I85*H85)/12500000</f>
        <v/>
      </c>
      <c r="V85">
        <f>(S85+T85+U85)/3</f>
        <v/>
      </c>
      <c r="W85" s="5" t="n">
        <v>900</v>
      </c>
      <c r="X85">
        <f>IFERROR(V85-W85,"")</f>
        <v/>
      </c>
      <c r="Y85">
        <f>IFERROR(ABS(X85)/MAX(W85,1),"")</f>
        <v/>
      </c>
      <c r="Z85">
        <f>IFERROR((W85-(((E85/100000+F85/100+R85/200)*200*I85*H85)+((E85*F85/25000)*I85*H85))/3)/(((J85/5)*200*I85*H85)+((J85*R85/2.5)*I85*H85)+((E85*F85*J85*R85*I85*H85)/12500000))/3*1000,"")</f>
        <v/>
      </c>
    </row>
    <row r="86">
      <c r="B86" s="6" t="inlineStr">
        <is>
          <t xml:space="preserve">  ↳ TKMQuadCannonAG</t>
        </is>
      </c>
      <c r="C86" s="6" t="inlineStr">
        <is>
          <t>Armament@AG</t>
        </is>
      </c>
      <c r="K86" s="5" t="n">
        <v>2000</v>
      </c>
      <c r="L86" s="5" t="n">
        <v>10</v>
      </c>
      <c r="M86" s="5" t="n">
        <v>1</v>
      </c>
      <c r="N86" s="5" t="n"/>
      <c r="O86" s="5" t="n">
        <v>5253</v>
      </c>
      <c r="P86" s="5" t="n">
        <v>1</v>
      </c>
      <c r="Q86">
        <f>L86+IF(M86&gt;1,N(N86)*(M86-1),0)</f>
        <v/>
      </c>
      <c r="R86">
        <f>IFERROR(K86*MAX(M86,1)/Q86*P86,0)</f>
        <v/>
      </c>
      <c r="AA86" s="6" t="inlineStr">
        <is>
          <t>^SmallArms, ^FlakWeapon</t>
        </is>
      </c>
    </row>
    <row r="87">
      <c r="B87" s="6" t="inlineStr">
        <is>
          <t xml:space="preserve">  ↳ TKMQuadCannonAA</t>
        </is>
      </c>
      <c r="C87" s="6" t="inlineStr">
        <is>
          <t>Armament@AA</t>
        </is>
      </c>
      <c r="K87" s="5" t="n">
        <v>2000</v>
      </c>
      <c r="L87" s="5" t="n">
        <v>10</v>
      </c>
      <c r="M87" s="5" t="n">
        <v>1</v>
      </c>
      <c r="N87" s="5" t="n"/>
      <c r="O87" s="5" t="n">
        <v>7880</v>
      </c>
      <c r="P87" s="5" t="n">
        <v>1</v>
      </c>
      <c r="Q87">
        <f>L87+IF(M87&gt;1,N(N87)*(M87-1),0)</f>
        <v/>
      </c>
      <c r="R87">
        <f>IFERROR(K87*MAX(M87,1)/Q87*P87,0)</f>
        <v/>
      </c>
      <c r="AA87" s="6" t="inlineStr">
        <is>
          <t>^SmallArms, ^FlakWeapon</t>
        </is>
      </c>
    </row>
    <row r="88">
      <c r="A88" t="inlineStr">
        <is>
          <t>redalert2mod</t>
        </is>
      </c>
      <c r="B88" t="inlineStr">
        <is>
          <t>tkm_radartruck</t>
        </is>
      </c>
      <c r="C88" t="inlineStr">
        <is>
          <t>Radar Truck</t>
        </is>
      </c>
      <c r="D88" t="inlineStr"/>
      <c r="E88" s="5" t="n">
        <v>75000</v>
      </c>
      <c r="F88" s="5" t="n">
        <v>75</v>
      </c>
      <c r="G88" t="inlineStr">
        <is>
          <t>Light</t>
        </is>
      </c>
      <c r="H88" s="5" t="n">
        <v>1</v>
      </c>
      <c r="I88" s="5" t="n">
        <v>1</v>
      </c>
      <c r="J88" s="5" t="n">
        <v>1</v>
      </c>
      <c r="O88">
        <f>MAX(O89)</f>
        <v/>
      </c>
      <c r="R88">
        <f>R89</f>
        <v/>
      </c>
      <c r="S88">
        <f>(E88/100000+F88/100+(O88/1000)*J88/5+R88/200)*200*I88*H88</f>
        <v/>
      </c>
      <c r="T88">
        <f>((E88*F88/25000)+((O88/1000)*J88*R88/2.5))*I88*H88</f>
        <v/>
      </c>
      <c r="U88">
        <f>(E88*F88*(O88/1000)*J88*R88*I88*H88)/12500000</f>
        <v/>
      </c>
      <c r="V88">
        <f>(S88+T88+U88)/3</f>
        <v/>
      </c>
      <c r="W88" s="5" t="n">
        <v>1000</v>
      </c>
      <c r="X88">
        <f>IFERROR(V88-W88,"")</f>
        <v/>
      </c>
      <c r="Y88">
        <f>IFERROR(ABS(X88)/MAX(W88,1),"")</f>
        <v/>
      </c>
      <c r="Z88">
        <f>IFERROR((W88-(((E88/100000+F88/100+R88/200)*200*I88*H88)+((E88*F88/25000)*I88*H88))/3)/(((J88/5)*200*I88*H88)+((J88*R88/2.5)*I88*H88)+((E88*F88*J88*R88*I88*H88)/12500000))/3*1000,"")</f>
        <v/>
      </c>
    </row>
    <row r="89">
      <c r="B89" s="6" t="inlineStr">
        <is>
          <t xml:space="preserve">  ↳ TKMLockOn</t>
        </is>
      </c>
      <c r="C89" s="6" t="inlineStr">
        <is>
          <t>Armament</t>
        </is>
      </c>
      <c r="K89" s="5" t="n"/>
      <c r="L89" s="5" t="n">
        <v>20</v>
      </c>
      <c r="M89" s="5" t="n">
        <v>1</v>
      </c>
      <c r="N89" s="5" t="n"/>
      <c r="O89" s="5" t="n">
        <v>10000</v>
      </c>
      <c r="P89" s="5" t="n">
        <v>1</v>
      </c>
      <c r="Q89">
        <f>L89+IF(M89&gt;1,N(N89)*(M89-1),0)</f>
        <v/>
      </c>
      <c r="R89">
        <f>IFERROR(K89*MAX(M89,1)/Q89*P89,0)</f>
        <v/>
      </c>
      <c r="AA89" s="6" t="inlineStr"/>
    </row>
    <row r="90">
      <c r="A90" t="inlineStr">
        <is>
          <t>redalert2mod</t>
        </is>
      </c>
      <c r="B90" t="inlineStr">
        <is>
          <t>tkm_repairtruck</t>
        </is>
      </c>
      <c r="C90" t="inlineStr">
        <is>
          <t>Repair Truck</t>
        </is>
      </c>
      <c r="D90" t="inlineStr"/>
      <c r="E90" s="5" t="n">
        <v>50000</v>
      </c>
      <c r="F90" s="5" t="n">
        <v>75</v>
      </c>
      <c r="G90" t="inlineStr">
        <is>
          <t>Light</t>
        </is>
      </c>
      <c r="H90" s="5" t="n">
        <v>1</v>
      </c>
      <c r="I90" s="5" t="n">
        <v>1</v>
      </c>
      <c r="J90" s="5" t="n">
        <v>1</v>
      </c>
      <c r="O90">
        <f>MAX(O91)</f>
        <v/>
      </c>
      <c r="R90">
        <f>R91</f>
        <v/>
      </c>
      <c r="S90">
        <f>(E90/100000+F90/100+(O90/1000)*J90/5+R90/200)*200*I90*H90</f>
        <v/>
      </c>
      <c r="T90">
        <f>((E90*F90/25000)+((O90/1000)*J90*R90/2.5))*I90*H90</f>
        <v/>
      </c>
      <c r="U90">
        <f>(E90*F90*(O90/1000)*J90*R90*I90*H90)/12500000</f>
        <v/>
      </c>
      <c r="V90">
        <f>(S90+T90+U90)/3</f>
        <v/>
      </c>
      <c r="W90" s="5" t="n">
        <v>1000</v>
      </c>
      <c r="X90">
        <f>IFERROR(V90-W90,"")</f>
        <v/>
      </c>
      <c r="Y90">
        <f>IFERROR(ABS(X90)/MAX(W90,1),"")</f>
        <v/>
      </c>
      <c r="Z90">
        <f>IFERROR((W90-(((E90/100000+F90/100+R90/200)*200*I90*H90)+((E90*F90/25000)*I90*H90))/3)/(((J90/5)*200*I90*H90)+((J90*R90/2.5)*I90*H90)+((E90*F90*J90*R90*I90*H90)/12500000))/3*1000,"")</f>
        <v/>
      </c>
    </row>
    <row r="91">
      <c r="B91" s="6" t="inlineStr">
        <is>
          <t xml:space="preserve">  ↳ RA2IFVRepair</t>
        </is>
      </c>
      <c r="C91" s="6" t="inlineStr">
        <is>
          <t>Armament@repair</t>
        </is>
      </c>
      <c r="K91" s="5" t="n">
        <v>-1</v>
      </c>
      <c r="L91" s="5" t="n">
        <v>50</v>
      </c>
      <c r="M91" s="5" t="n">
        <v>10</v>
      </c>
      <c r="N91" s="5" t="n">
        <v>1</v>
      </c>
      <c r="O91" s="5" t="n">
        <v>5000</v>
      </c>
      <c r="P91" s="5" t="n">
        <v>1</v>
      </c>
      <c r="Q91">
        <f>L91+IF(M91&gt;1,N(N91)*(M91-1),0)</f>
        <v/>
      </c>
      <c r="R91">
        <f>IFERROR(K91*MAX(M91,1)/Q91*P91,0)</f>
        <v/>
      </c>
      <c r="AA91" s="6" t="inlineStr">
        <is>
          <t>^RepairWeapon</t>
        </is>
      </c>
    </row>
    <row r="92">
      <c r="A92" t="inlineStr">
        <is>
          <t>redalert2mod</t>
        </is>
      </c>
      <c r="B92" t="inlineStr">
        <is>
          <t>tkm_sandmarine</t>
        </is>
      </c>
      <c r="C92" t="inlineStr">
        <is>
          <t>Sand Marine</t>
        </is>
      </c>
      <c r="D92" t="inlineStr"/>
      <c r="E92" s="5" t="n">
        <v>800000</v>
      </c>
      <c r="F92" s="5" t="n">
        <v>30</v>
      </c>
      <c r="G92" t="inlineStr">
        <is>
          <t>Superheavy</t>
        </is>
      </c>
      <c r="H92" s="5" t="n">
        <v>1</v>
      </c>
      <c r="I92" s="5" t="n">
        <v>1</v>
      </c>
      <c r="J92" s="5" t="n">
        <v>1</v>
      </c>
      <c r="O92">
        <f>MAX(O93,O94,O95,O96,O97,O98,O99,O100)</f>
        <v/>
      </c>
      <c r="R92">
        <f>R93+R94+R95+R96+R97+R98+R99+R100</f>
        <v/>
      </c>
      <c r="S92">
        <f>(E92/100000+F92/100+(O92/1000)*J92/5+R92/200)*200*I92*H92</f>
        <v/>
      </c>
      <c r="T92">
        <f>((E92*F92/25000)+((O92/1000)*J92*R92/2.5))*I92*H92</f>
        <v/>
      </c>
      <c r="U92">
        <f>(E92*F92*(O92/1000)*J92*R92*I92*H92)/12500000</f>
        <v/>
      </c>
      <c r="V92">
        <f>(S92+T92+U92)/3</f>
        <v/>
      </c>
      <c r="W92" s="5" t="n">
        <v>5000</v>
      </c>
      <c r="X92">
        <f>IFERROR(V92-W92,"")</f>
        <v/>
      </c>
      <c r="Y92">
        <f>IFERROR(ABS(X92)/MAX(W92,1),"")</f>
        <v/>
      </c>
      <c r="Z92">
        <f>IFERROR((W92-(((E92/100000+F92/100+R92/200)*200*I92*H92)+((E92*F92/25000)*I92*H92))/3)/(((J92/5)*200*I92*H92)+((J92*R92/2.5)*I92*H92)+((E92*F92*J92*R92*I92*H92)/12500000))/3*1000,"")</f>
        <v/>
      </c>
    </row>
    <row r="93">
      <c r="B93" s="6" t="inlineStr">
        <is>
          <t xml:space="preserve">  ↳ SandmarineTusk</t>
        </is>
      </c>
      <c r="C93" s="6" t="inlineStr">
        <is>
          <t>Armament@PRIMARY</t>
        </is>
      </c>
      <c r="K93" s="5" t="n">
        <v>40000</v>
      </c>
      <c r="L93" s="5" t="n">
        <v>129</v>
      </c>
      <c r="M93" s="5" t="n">
        <v>3</v>
      </c>
      <c r="N93" s="5" t="n"/>
      <c r="O93" s="5" t="n">
        <v>6464</v>
      </c>
      <c r="P93" s="5" t="n">
        <v>1</v>
      </c>
      <c r="Q93">
        <f>L93+IF(M93&gt;1,N(N93)*(M93-1),0)</f>
        <v/>
      </c>
      <c r="R93">
        <f>IFERROR(K93*MAX(M93,1)/Q93*P93,0)</f>
        <v/>
      </c>
      <c r="AA93" s="6" t="inlineStr">
        <is>
          <t>^HeavyMissile, ^ShrapnelWeapon</t>
        </is>
      </c>
    </row>
    <row r="94">
      <c r="B94" s="6" t="inlineStr">
        <is>
          <t xml:space="preserve">  ↳ SandmarineTuskCryo</t>
        </is>
      </c>
      <c r="C94" s="6" t="inlineStr">
        <is>
          <t>Armament@PRIMARYNATO</t>
        </is>
      </c>
      <c r="K94" s="5" t="n">
        <v>40000</v>
      </c>
      <c r="L94" s="5" t="n">
        <v>129</v>
      </c>
      <c r="M94" s="5" t="n">
        <v>3</v>
      </c>
      <c r="N94" s="5" t="n"/>
      <c r="O94" s="5" t="n">
        <v>6464</v>
      </c>
      <c r="P94" s="5" t="n">
        <v>1</v>
      </c>
      <c r="Q94">
        <f>L94+IF(M94&gt;1,N(N94)*(M94-1),0)</f>
        <v/>
      </c>
      <c r="R94">
        <f>IFERROR(K94*MAX(M94,1)/Q94*P94,0)</f>
        <v/>
      </c>
      <c r="AA94" s="6" t="inlineStr">
        <is>
          <t>^HeavyMissile, ^ShrapnelWeapon, ^CryoMissileProjectile</t>
        </is>
      </c>
    </row>
    <row r="95">
      <c r="B95" s="6" t="inlineStr">
        <is>
          <t xml:space="preserve">  ↳ SandmarineTuskCryo</t>
        </is>
      </c>
      <c r="C95" s="6" t="inlineStr">
        <is>
          <t>Armament@SECONDARYNATO</t>
        </is>
      </c>
      <c r="K95" s="5" t="n">
        <v>40000</v>
      </c>
      <c r="L95" s="5" t="n">
        <v>129</v>
      </c>
      <c r="M95" s="5" t="n">
        <v>3</v>
      </c>
      <c r="N95" s="5" t="n"/>
      <c r="O95" s="5" t="n">
        <v>6464</v>
      </c>
      <c r="P95" s="5" t="n">
        <v>1</v>
      </c>
      <c r="Q95">
        <f>L95+IF(M95&gt;1,N(N95)*(M95-1),0)</f>
        <v/>
      </c>
      <c r="R95">
        <f>IFERROR(K95*MAX(M95,1)/Q95*P95,0)</f>
        <v/>
      </c>
      <c r="AA95" s="6" t="inlineStr">
        <is>
          <t>^HeavyMissile, ^ShrapnelWeapon, ^CryoMissileProjectile</t>
        </is>
      </c>
    </row>
    <row r="96">
      <c r="B96" s="6" t="inlineStr">
        <is>
          <t xml:space="preserve">  ↳ SandmarineTuskTwin</t>
        </is>
      </c>
      <c r="C96" s="6" t="inlineStr">
        <is>
          <t>Armament@PRIMARYBEREZKA</t>
        </is>
      </c>
      <c r="K96" s="5" t="n">
        <v>40000</v>
      </c>
      <c r="L96" s="5" t="n">
        <v>54</v>
      </c>
      <c r="M96" s="5" t="n">
        <v>8</v>
      </c>
      <c r="N96" s="5" t="n"/>
      <c r="O96" s="5" t="n">
        <v>6102</v>
      </c>
      <c r="P96" s="5" t="n">
        <v>1</v>
      </c>
      <c r="Q96">
        <f>L96+IF(M96&gt;1,N(N96)*(M96-1),0)</f>
        <v/>
      </c>
      <c r="R96">
        <f>IFERROR(K96*MAX(M96,1)/Q96*P96,0)</f>
        <v/>
      </c>
      <c r="AA96" s="6" t="inlineStr">
        <is>
          <t>^HeavyMissile, ^ShrapnelWeapon, ^MediumMissile</t>
        </is>
      </c>
    </row>
    <row r="97">
      <c r="B97" s="6" t="inlineStr">
        <is>
          <t xml:space="preserve">  ↳ SandmarineTuskTwin</t>
        </is>
      </c>
      <c r="C97" s="6" t="inlineStr">
        <is>
          <t>Armament@SECONDARYBEREZKA</t>
        </is>
      </c>
      <c r="K97" s="5" t="n">
        <v>40000</v>
      </c>
      <c r="L97" s="5" t="n">
        <v>54</v>
      </c>
      <c r="M97" s="5" t="n">
        <v>8</v>
      </c>
      <c r="N97" s="5" t="n"/>
      <c r="O97" s="5" t="n">
        <v>6102</v>
      </c>
      <c r="P97" s="5" t="n">
        <v>1</v>
      </c>
      <c r="Q97">
        <f>L97+IF(M97&gt;1,N(N97)*(M97-1),0)</f>
        <v/>
      </c>
      <c r="R97">
        <f>IFERROR(K97*MAX(M97,1)/Q97*P97,0)</f>
        <v/>
      </c>
      <c r="AA97" s="6" t="inlineStr">
        <is>
          <t>^HeavyMissile, ^ShrapnelWeapon, ^MediumMissile</t>
        </is>
      </c>
    </row>
    <row r="98">
      <c r="B98" s="6" t="inlineStr">
        <is>
          <t xml:space="preserve">  ↳ SandmarineTuskFire</t>
        </is>
      </c>
      <c r="C98" s="6" t="inlineStr">
        <is>
          <t>Armament@PRIMARYTITAN</t>
        </is>
      </c>
      <c r="K98" s="5" t="n">
        <v>40000</v>
      </c>
      <c r="L98" s="5" t="n">
        <v>25</v>
      </c>
      <c r="M98" s="5" t="n">
        <v>3</v>
      </c>
      <c r="N98" s="5" t="n"/>
      <c r="O98" s="5" t="n">
        <v>5120</v>
      </c>
      <c r="P98" s="5" t="n">
        <v>1</v>
      </c>
      <c r="Q98">
        <f>L98+IF(M98&gt;1,N(N98)*(M98-1),0)</f>
        <v/>
      </c>
      <c r="R98">
        <f>IFERROR(K98*MAX(M98,1)/Q98*P98,0)</f>
        <v/>
      </c>
      <c r="AA98" s="6" t="inlineStr">
        <is>
          <t>^HeavyMissile, ^ShrapnelWeapon, ^LightFlameWeapon, ^LightMissile</t>
        </is>
      </c>
    </row>
    <row r="99">
      <c r="B99" s="6" t="inlineStr">
        <is>
          <t xml:space="preserve">  ↳ SandmarineTuskFire</t>
        </is>
      </c>
      <c r="C99" s="6" t="inlineStr">
        <is>
          <t>Armament@SECONDARYTITAN</t>
        </is>
      </c>
      <c r="K99" s="5" t="n">
        <v>40000</v>
      </c>
      <c r="L99" s="5" t="n">
        <v>25</v>
      </c>
      <c r="M99" s="5" t="n">
        <v>3</v>
      </c>
      <c r="N99" s="5" t="n"/>
      <c r="O99" s="5" t="n">
        <v>5120</v>
      </c>
      <c r="P99" s="5" t="n">
        <v>1</v>
      </c>
      <c r="Q99">
        <f>L99+IF(M99&gt;1,N(N99)*(M99-1),0)</f>
        <v/>
      </c>
      <c r="R99">
        <f>IFERROR(K99*MAX(M99,1)/Q99*P99,0)</f>
        <v/>
      </c>
      <c r="AA99" s="6" t="inlineStr">
        <is>
          <t>^HeavyMissile, ^ShrapnelWeapon, ^LightFlameWeapon, ^LightMissile</t>
        </is>
      </c>
    </row>
    <row r="100">
      <c r="B100" s="6" t="inlineStr">
        <is>
          <t xml:space="preserve">  ↳ sandmarinemortar</t>
        </is>
      </c>
      <c r="C100" s="6" t="inlineStr">
        <is>
          <t>Armament@Mortar</t>
        </is>
      </c>
      <c r="K100" s="5" t="n">
        <v>120000</v>
      </c>
      <c r="L100" s="5" t="n">
        <v>135</v>
      </c>
      <c r="M100" s="5" t="n">
        <v>1</v>
      </c>
      <c r="N100" s="5" t="n"/>
      <c r="O100" s="5" t="n">
        <v>6464</v>
      </c>
      <c r="P100" s="5" t="n">
        <v>1</v>
      </c>
      <c r="Q100">
        <f>L100+IF(M100&gt;1,N(N100)*(M100-1),0)</f>
        <v/>
      </c>
      <c r="R100">
        <f>IFERROR(K100*MAX(M100,1)/Q100*P100,0)</f>
        <v/>
      </c>
      <c r="AA100" s="6" t="inlineStr">
        <is>
          <t>^HeavyBomb, ^MediumFlameWeapon</t>
        </is>
      </c>
    </row>
    <row r="101">
      <c r="A101" t="inlineStr">
        <is>
          <t>redalert2mod</t>
        </is>
      </c>
      <c r="B101" t="inlineStr">
        <is>
          <t>tkm_stryker</t>
        </is>
      </c>
      <c r="C101" t="inlineStr">
        <is>
          <t>TKM Stryker</t>
        </is>
      </c>
      <c r="D101" t="inlineStr"/>
      <c r="E101" s="5" t="n">
        <v>80000</v>
      </c>
      <c r="F101" s="5" t="n">
        <v>105</v>
      </c>
      <c r="G101" t="inlineStr">
        <is>
          <t>Light</t>
        </is>
      </c>
      <c r="H101" s="5" t="n">
        <v>1</v>
      </c>
      <c r="I101" s="5" t="n">
        <v>1</v>
      </c>
      <c r="J101" s="5" t="n">
        <v>1</v>
      </c>
      <c r="O101">
        <f>MAX(O102,O103,O104)</f>
        <v/>
      </c>
      <c r="R101">
        <f>R102+R103+R104</f>
        <v/>
      </c>
      <c r="S101">
        <f>(E101/100000+F101/100+(O101/1000)*J101/5+R101/200)*200*I101*H101</f>
        <v/>
      </c>
      <c r="T101">
        <f>((E101*F101/25000)+((O101/1000)*J101*R101/2.5))*I101*H101</f>
        <v/>
      </c>
      <c r="U101">
        <f>(E101*F101*(O101/1000)*J101*R101*I101*H101)/12500000</f>
        <v/>
      </c>
      <c r="V101">
        <f>(S101+T101+U101)/3</f>
        <v/>
      </c>
      <c r="W101" s="5" t="n">
        <v>1600</v>
      </c>
      <c r="X101">
        <f>IFERROR(V101-W101,"")</f>
        <v/>
      </c>
      <c r="Y101">
        <f>IFERROR(ABS(X101)/MAX(W101,1),"")</f>
        <v/>
      </c>
      <c r="Z101">
        <f>IFERROR((W101-(((E101/100000+F101/100+R101/200)*200*I101*H101)+((E101*F101/25000)*I101*H101))/3)/(((J101/5)*200*I101*H101)+((J101*R101/2.5)*I101*H101)+((E101*F101*J101*R101*I101*H101)/12500000))/3*1000,"")</f>
        <v/>
      </c>
    </row>
    <row r="102">
      <c r="B102" s="6" t="inlineStr">
        <is>
          <t xml:space="preserve">  ↳ tkmstrykermg</t>
        </is>
      </c>
      <c r="C102" s="6" t="inlineStr">
        <is>
          <t>Armament</t>
        </is>
      </c>
      <c r="K102" s="5" t="n">
        <v>2000</v>
      </c>
      <c r="L102" s="5" t="n">
        <v>5</v>
      </c>
      <c r="M102" s="5" t="n">
        <v>1</v>
      </c>
      <c r="N102" s="5" t="n"/>
      <c r="O102" s="5" t="n">
        <v>7880</v>
      </c>
      <c r="P102" s="5" t="n">
        <v>1</v>
      </c>
      <c r="Q102">
        <f>L102+IF(M102&gt;1,N(N102)*(M102-1),0)</f>
        <v/>
      </c>
      <c r="R102">
        <f>IFERROR(K102*MAX(M102,1)/Q102*P102,0)</f>
        <v/>
      </c>
      <c r="AA102" s="6" t="inlineStr">
        <is>
          <t>^RA2Chaingun</t>
        </is>
      </c>
    </row>
    <row r="103">
      <c r="B103" s="6" t="inlineStr">
        <is>
          <t xml:space="preserve">  ↳ tkmstrykerrockets</t>
        </is>
      </c>
      <c r="C103" s="6" t="inlineStr">
        <is>
          <t>Armament@missile</t>
        </is>
      </c>
      <c r="K103" s="5" t="n">
        <v>24000</v>
      </c>
      <c r="L103" s="5" t="n">
        <v>60</v>
      </c>
      <c r="M103" s="5" t="n">
        <v>1</v>
      </c>
      <c r="N103" s="5" t="n"/>
      <c r="O103" s="5" t="n">
        <v>7880</v>
      </c>
      <c r="P103" s="5" t="n">
        <v>1</v>
      </c>
      <c r="Q103">
        <f>L103+IF(M103&gt;1,N(N103)*(M103-1),0)</f>
        <v/>
      </c>
      <c r="R103">
        <f>IFERROR(K103*MAX(M103,1)/Q103*P103,0)</f>
        <v/>
      </c>
      <c r="AA103" s="6" t="inlineStr">
        <is>
          <t>^MediumMissile</t>
        </is>
      </c>
    </row>
    <row r="104">
      <c r="B104" s="6" t="inlineStr">
        <is>
          <t xml:space="preserve">  ↳ tkmstrykerfirerockets</t>
        </is>
      </c>
      <c r="C104" s="6" t="inlineStr">
        <is>
          <t>Armament@missilefire</t>
        </is>
      </c>
      <c r="K104" s="5" t="n">
        <v>24000</v>
      </c>
      <c r="L104" s="5" t="n">
        <v>60</v>
      </c>
      <c r="M104" s="5" t="n">
        <v>1</v>
      </c>
      <c r="N104" s="5" t="n"/>
      <c r="O104" s="5" t="n">
        <v>7880</v>
      </c>
      <c r="P104" s="5" t="n">
        <v>1</v>
      </c>
      <c r="Q104">
        <f>L104+IF(M104&gt;1,N(N104)*(M104-1),0)</f>
        <v/>
      </c>
      <c r="R104">
        <f>IFERROR(K104*MAX(M104,1)/Q104*P104,0)</f>
        <v/>
      </c>
      <c r="AA104" s="6" t="inlineStr">
        <is>
          <t>^MediumFlameWeapon, ^MediumMissile</t>
        </is>
      </c>
    </row>
    <row r="105">
      <c r="A105" t="inlineStr">
        <is>
          <t>redalert2mod</t>
        </is>
      </c>
      <c r="B105" t="inlineStr">
        <is>
          <t>tkm_t30</t>
        </is>
      </c>
      <c r="C105" t="inlineStr">
        <is>
          <t>T-30</t>
        </is>
      </c>
      <c r="D105" t="inlineStr"/>
      <c r="E105" s="5" t="n">
        <v>400000</v>
      </c>
      <c r="F105" s="5" t="n">
        <v>50</v>
      </c>
      <c r="G105" t="inlineStr">
        <is>
          <t>Superheavy</t>
        </is>
      </c>
      <c r="H105" s="5" t="n">
        <v>1</v>
      </c>
      <c r="I105" s="5" t="n">
        <v>1</v>
      </c>
      <c r="J105" s="5" t="n">
        <v>1</v>
      </c>
      <c r="O105">
        <f>MAX(O106)</f>
        <v/>
      </c>
      <c r="R105">
        <f>R106</f>
        <v/>
      </c>
      <c r="S105">
        <f>(E105/100000+F105/100+(O105/1000)*J105/5+R105/200)*200*I105*H105</f>
        <v/>
      </c>
      <c r="T105">
        <f>((E105*F105/25000)+((O105/1000)*J105*R105/2.5))*I105*H105</f>
        <v/>
      </c>
      <c r="U105">
        <f>(E105*F105*(O105/1000)*J105*R105*I105*H105)/12500000</f>
        <v/>
      </c>
      <c r="V105">
        <f>(S105+T105+U105)/3</f>
        <v/>
      </c>
      <c r="W105" s="5" t="n">
        <v>5000</v>
      </c>
      <c r="X105">
        <f>IFERROR(V105-W105,"")</f>
        <v/>
      </c>
      <c r="Y105">
        <f>IFERROR(ABS(X105)/MAX(W105,1),"")</f>
        <v/>
      </c>
      <c r="Z105">
        <f>IFERROR((W105-(((E105/100000+F105/100+R105/200)*200*I105*H105)+((E105*F105/25000)*I105*H105))/3)/(((J105/5)*200*I105*H105)+((J105*R105/2.5)*I105*H105)+((E105*F105*J105*R105*I105*H105)/12500000))/3*1000,"")</f>
        <v/>
      </c>
    </row>
    <row r="106">
      <c r="B106" s="6" t="inlineStr">
        <is>
          <t xml:space="preserve">  ↳ t30shell</t>
        </is>
      </c>
      <c r="C106" s="6" t="inlineStr">
        <is>
          <t>Armament</t>
        </is>
      </c>
      <c r="K106" s="5" t="n">
        <v>40000</v>
      </c>
      <c r="L106" s="5" t="n">
        <v>80</v>
      </c>
      <c r="M106" s="5" t="n">
        <v>1</v>
      </c>
      <c r="N106" s="5" t="n"/>
      <c r="O106" s="5" t="n">
        <v>22000</v>
      </c>
      <c r="P106" s="5" t="n">
        <v>1</v>
      </c>
      <c r="Q106">
        <f>L106+IF(M106&gt;1,N(N106)*(M106-1),0)</f>
        <v/>
      </c>
      <c r="R106">
        <f>IFERROR(K106*MAX(M106,1)/Q106*P106,0)</f>
        <v/>
      </c>
      <c r="AA106" s="6" t="inlineStr">
        <is>
          <t>^HeavyBomb, ^RailgunWeapon</t>
        </is>
      </c>
    </row>
    <row r="107">
      <c r="A107" t="inlineStr">
        <is>
          <t>redalert2mod</t>
        </is>
      </c>
      <c r="B107" t="inlineStr">
        <is>
          <t>tkm_t72m</t>
        </is>
      </c>
      <c r="C107" t="inlineStr">
        <is>
          <t>T-72M</t>
        </is>
      </c>
      <c r="D107" t="inlineStr"/>
      <c r="E107" s="5" t="n">
        <v>100000</v>
      </c>
      <c r="F107" s="5" t="n">
        <v>80</v>
      </c>
      <c r="G107" t="inlineStr">
        <is>
          <t>Medium</t>
        </is>
      </c>
      <c r="H107" s="5" t="n">
        <v>1</v>
      </c>
      <c r="I107" s="5" t="n">
        <v>1</v>
      </c>
      <c r="J107" s="5" t="n">
        <v>1</v>
      </c>
      <c r="O107">
        <f>MAX(O108,O109,O110)</f>
        <v/>
      </c>
      <c r="R107">
        <f>R108+R109+R110</f>
        <v/>
      </c>
      <c r="S107">
        <f>(E107/100000+F107/100+(O107/1000)*J107/5+R107/200)*200*I107*H107</f>
        <v/>
      </c>
      <c r="T107">
        <f>((E107*F107/25000)+((O107/1000)*J107*R107/2.5))*I107*H107</f>
        <v/>
      </c>
      <c r="U107">
        <f>(E107*F107*(O107/1000)*J107*R107*I107*H107)/12500000</f>
        <v/>
      </c>
      <c r="V107">
        <f>(S107+T107+U107)/3</f>
        <v/>
      </c>
      <c r="W107" s="5" t="n">
        <v>900</v>
      </c>
      <c r="X107">
        <f>IFERROR(V107-W107,"")</f>
        <v/>
      </c>
      <c r="Y107">
        <f>IFERROR(ABS(X107)/MAX(W107,1),"")</f>
        <v/>
      </c>
      <c r="Z107">
        <f>IFERROR((W107-(((E107/100000+F107/100+R107/200)*200*I107*H107)+((E107*F107/25000)*I107*H107))/3)/(((J107/5)*200*I107*H107)+((J107*R107/2.5)*I107*H107)+((E107*F107*J107*R107*I107*H107)/12500000))/3*1000,"")</f>
        <v/>
      </c>
    </row>
    <row r="108">
      <c r="B108" s="6" t="inlineStr">
        <is>
          <t xml:space="preserve">  ↳ TKMPDLaser</t>
        </is>
      </c>
      <c r="C108" s="6" t="inlineStr">
        <is>
          <t>Armament@pointdefense</t>
        </is>
      </c>
      <c r="K108" s="5" t="n">
        <v>1</v>
      </c>
      <c r="L108" s="5" t="n">
        <v>25</v>
      </c>
      <c r="M108" s="5" t="n">
        <v>1</v>
      </c>
      <c r="N108" s="5" t="n"/>
      <c r="O108" s="5" t="n">
        <v>5000</v>
      </c>
      <c r="P108" s="5" t="n">
        <v>1</v>
      </c>
      <c r="Q108">
        <f>L108+IF(M108&gt;1,N(N108)*(M108-1),0)</f>
        <v/>
      </c>
      <c r="R108">
        <f>IFERROR(K108*MAX(M108,1)/Q108*P108,0)</f>
        <v/>
      </c>
      <c r="AA108" s="6" t="inlineStr">
        <is>
          <t>PDLaser</t>
        </is>
      </c>
    </row>
    <row r="109">
      <c r="B109" s="6" t="inlineStr">
        <is>
          <t xml:space="preserve">  ↳ tkm2a46gun</t>
        </is>
      </c>
      <c r="C109" s="6" t="inlineStr">
        <is>
          <t>Armament</t>
        </is>
      </c>
      <c r="K109" s="5" t="n">
        <v>10000</v>
      </c>
      <c r="L109" s="5" t="n">
        <v>42</v>
      </c>
      <c r="M109" s="5" t="n">
        <v>1</v>
      </c>
      <c r="N109" s="5" t="n"/>
      <c r="O109" s="5" t="n">
        <v>6196</v>
      </c>
      <c r="P109" s="5" t="n">
        <v>1</v>
      </c>
      <c r="Q109">
        <f>L109+IF(M109&gt;1,N(N109)*(M109-1),0)</f>
        <v/>
      </c>
      <c r="R109">
        <f>IFERROR(K109*MAX(M109,1)/Q109*P109,0)</f>
        <v/>
      </c>
      <c r="AA109" s="6" t="inlineStr">
        <is>
          <t>^MediumCannon</t>
        </is>
      </c>
    </row>
    <row r="110">
      <c r="B110" s="6" t="inlineStr">
        <is>
          <t xml:space="preserve">  ↳ tkmkord</t>
        </is>
      </c>
      <c r="C110" s="6" t="inlineStr">
        <is>
          <t>Armament@machinegun</t>
        </is>
      </c>
      <c r="K110" s="5" t="n">
        <v>2000</v>
      </c>
      <c r="L110" s="5" t="n">
        <v>10</v>
      </c>
      <c r="M110" s="5" t="n">
        <v>1</v>
      </c>
      <c r="N110" s="5" t="n"/>
      <c r="O110" s="5" t="n">
        <v>6195</v>
      </c>
      <c r="P110" s="5" t="n">
        <v>1</v>
      </c>
      <c r="Q110">
        <f>L110+IF(M110&gt;1,N(N110)*(M110-1),0)</f>
        <v/>
      </c>
      <c r="R110">
        <f>IFERROR(K110*MAX(M110,1)/Q110*P110,0)</f>
        <v/>
      </c>
      <c r="AA110" s="6" t="inlineStr">
        <is>
          <t>^RA2Chaingun</t>
        </is>
      </c>
    </row>
    <row r="111">
      <c r="A111" t="inlineStr">
        <is>
          <t>redalert2mod</t>
        </is>
      </c>
      <c r="B111" t="inlineStr">
        <is>
          <t>tkm_technical</t>
        </is>
      </c>
      <c r="C111" t="inlineStr">
        <is>
          <t>TKM Technical</t>
        </is>
      </c>
      <c r="D111" t="inlineStr"/>
      <c r="E111" s="5" t="n">
        <v>27500</v>
      </c>
      <c r="F111" s="5" t="n">
        <v>175</v>
      </c>
      <c r="G111" t="inlineStr">
        <is>
          <t>Scout</t>
        </is>
      </c>
      <c r="H111" s="5" t="n">
        <v>1</v>
      </c>
      <c r="I111" s="5" t="n">
        <v>1</v>
      </c>
      <c r="J111" s="5" t="n">
        <v>1</v>
      </c>
      <c r="O111">
        <f>MAX(O112,O113)</f>
        <v/>
      </c>
      <c r="R111">
        <f>R112+R113</f>
        <v/>
      </c>
      <c r="S111">
        <f>(E111/100000+F111/100+(O111/1000)*J111/5+R111/200)*200*I111*H111</f>
        <v/>
      </c>
      <c r="T111">
        <f>((E111*F111/25000)+((O111/1000)*J111*R111/2.5))*I111*H111</f>
        <v/>
      </c>
      <c r="U111">
        <f>(E111*F111*(O111/1000)*J111*R111*I111*H111)/12500000</f>
        <v/>
      </c>
      <c r="V111">
        <f>(S111+T111+U111)/3</f>
        <v/>
      </c>
      <c r="W111" s="5" t="n">
        <v>400</v>
      </c>
      <c r="X111">
        <f>IFERROR(V111-W111,"")</f>
        <v/>
      </c>
      <c r="Y111">
        <f>IFERROR(ABS(X111)/MAX(W111,1),"")</f>
        <v/>
      </c>
      <c r="Z111">
        <f>IFERROR((W111-(((E111/100000+F111/100+R111/200)*200*I111*H111)+((E111*F111/25000)*I111*H111))/3)/(((J111/5)*200*I111*H111)+((J111*R111/2.5)*I111*H111)+((E111*F111*J111*R111*I111*H111)/12500000))/3*1000,"")</f>
        <v/>
      </c>
    </row>
    <row r="112">
      <c r="B112" s="6" t="inlineStr">
        <is>
          <t xml:space="preserve">  ↳ tkmtechmg</t>
        </is>
      </c>
      <c r="C112" s="6" t="inlineStr">
        <is>
          <t>Armament</t>
        </is>
      </c>
      <c r="K112" s="5" t="n">
        <v>4000</v>
      </c>
      <c r="L112" s="5" t="n">
        <v>6</v>
      </c>
      <c r="M112" s="5" t="n">
        <v>1</v>
      </c>
      <c r="N112" s="5" t="n"/>
      <c r="O112" s="5" t="n">
        <v>4153</v>
      </c>
      <c r="P112" s="5" t="n">
        <v>1</v>
      </c>
      <c r="Q112">
        <f>L112+IF(M112&gt;1,N(N112)*(M112-1),0)</f>
        <v/>
      </c>
      <c r="R112">
        <f>IFERROR(K112*MAX(M112,1)/Q112*P112,0)</f>
        <v/>
      </c>
      <c r="AA112" s="6" t="inlineStr">
        <is>
          <t>^RA2Chaingun</t>
        </is>
      </c>
    </row>
    <row r="113">
      <c r="B113" s="6" t="inlineStr">
        <is>
          <t xml:space="preserve">  ↳ tkmtechnicalmgap</t>
        </is>
      </c>
      <c r="C113" s="6" t="inlineStr">
        <is>
          <t>Armament@PRIMARYNATO</t>
        </is>
      </c>
      <c r="K113" s="5" t="n">
        <v>6000</v>
      </c>
      <c r="L113" s="5" t="n">
        <v>9</v>
      </c>
      <c r="M113" s="5" t="n">
        <v>3</v>
      </c>
      <c r="N113" s="5" t="n">
        <v>6</v>
      </c>
      <c r="O113" s="5" t="n">
        <v>4792</v>
      </c>
      <c r="P113" s="5" t="n">
        <v>1</v>
      </c>
      <c r="Q113">
        <f>L113+IF(M113&gt;1,N(N113)*(M113-1),0)</f>
        <v/>
      </c>
      <c r="R113">
        <f>IFERROR(K113*MAX(M113,1)/Q113*P113,0)</f>
        <v/>
      </c>
      <c r="AA113" s="6" t="inlineStr">
        <is>
          <t>^RA2Grenade, ^SmallArms</t>
        </is>
      </c>
    </row>
    <row r="114">
      <c r="A114" t="inlineStr">
        <is>
          <t>redalert2mod</t>
        </is>
      </c>
      <c r="B114" t="inlineStr">
        <is>
          <t>tkm_technicaltank</t>
        </is>
      </c>
      <c r="C114" t="inlineStr">
        <is>
          <t>Technical Tank</t>
        </is>
      </c>
      <c r="D114" t="inlineStr"/>
      <c r="E114" s="5" t="n">
        <v>70000</v>
      </c>
      <c r="F114" s="5" t="n">
        <v>110</v>
      </c>
      <c r="G114" t="inlineStr">
        <is>
          <t>Medium</t>
        </is>
      </c>
      <c r="H114" s="5" t="n">
        <v>1</v>
      </c>
      <c r="I114" s="5" t="n">
        <v>1</v>
      </c>
      <c r="J114" s="5" t="n">
        <v>1</v>
      </c>
      <c r="O114">
        <f>MAX(O115,O116)</f>
        <v/>
      </c>
      <c r="R114">
        <f>R115+R116</f>
        <v/>
      </c>
      <c r="S114">
        <f>(E114/100000+F114/100+(O114/1000)*J114/5+R114/200)*200*I114*H114</f>
        <v/>
      </c>
      <c r="T114">
        <f>((E114*F114/25000)+((O114/1000)*J114*R114/2.5))*I114*H114</f>
        <v/>
      </c>
      <c r="U114">
        <f>(E114*F114*(O114/1000)*J114*R114*I114*H114)/12500000</f>
        <v/>
      </c>
      <c r="V114">
        <f>(S114+T114+U114)/3</f>
        <v/>
      </c>
      <c r="W114" s="5" t="n">
        <v>700</v>
      </c>
      <c r="X114">
        <f>IFERROR(V114-W114,"")</f>
        <v/>
      </c>
      <c r="Y114">
        <f>IFERROR(ABS(X114)/MAX(W114,1),"")</f>
        <v/>
      </c>
      <c r="Z114">
        <f>IFERROR((W114-(((E114/100000+F114/100+R114/200)*200*I114*H114)+((E114*F114/25000)*I114*H114))/3)/(((J114/5)*200*I114*H114)+((J114*R114/2.5)*I114*H114)+((E114*F114*J114*R114*I114*H114)/12500000))/3*1000,"")</f>
        <v/>
      </c>
    </row>
    <row r="115">
      <c r="B115" s="6" t="inlineStr">
        <is>
          <t xml:space="preserve">  ↳ tkmltgun</t>
        </is>
      </c>
      <c r="C115" s="6" t="inlineStr">
        <is>
          <t>Armament@cannon</t>
        </is>
      </c>
      <c r="K115" s="5" t="n">
        <v>8000</v>
      </c>
      <c r="L115" s="5" t="n">
        <v>42</v>
      </c>
      <c r="M115" s="5" t="n">
        <v>1</v>
      </c>
      <c r="N115" s="5" t="n"/>
      <c r="O115" s="5" t="n">
        <v>5316</v>
      </c>
      <c r="P115" s="5" t="n">
        <v>1</v>
      </c>
      <c r="Q115">
        <f>L115+IF(M115&gt;1,N(N115)*(M115-1),0)</f>
        <v/>
      </c>
      <c r="R115">
        <f>IFERROR(K115*MAX(M115,1)/Q115*P115,0)</f>
        <v/>
      </c>
      <c r="AA115" s="6" t="inlineStr">
        <is>
          <t>^MediumCannon</t>
        </is>
      </c>
    </row>
    <row r="116">
      <c r="B116" s="6" t="inlineStr">
        <is>
          <t xml:space="preserve">  ↳ tkmtwinrocketstechnicaltank</t>
        </is>
      </c>
      <c r="C116" s="6" t="inlineStr">
        <is>
          <t>Armament@missiles</t>
        </is>
      </c>
      <c r="K116" s="5" t="n">
        <v>18000</v>
      </c>
      <c r="L116" s="5" t="n">
        <v>64</v>
      </c>
      <c r="M116" s="5" t="n">
        <v>2</v>
      </c>
      <c r="N116" s="5" t="n"/>
      <c r="O116" s="5" t="n">
        <v>5243</v>
      </c>
      <c r="P116" s="5" t="n">
        <v>1</v>
      </c>
      <c r="Q116">
        <f>L116+IF(M116&gt;1,N(N116)*(M116-1),0)</f>
        <v/>
      </c>
      <c r="R116">
        <f>IFERROR(K116*MAX(M116,1)/Q116*P116,0)</f>
        <v/>
      </c>
      <c r="AA116" s="6" t="inlineStr">
        <is>
          <t>^LightMissile</t>
        </is>
      </c>
    </row>
    <row r="117">
      <c r="A117" t="inlineStr">
        <is>
          <t>redalert2mod</t>
        </is>
      </c>
      <c r="B117" t="inlineStr">
        <is>
          <t>tkm_templateharvesterraname</t>
        </is>
      </c>
      <c r="C117" t="inlineStr">
        <is>
          <t>template_harvester.raname</t>
        </is>
      </c>
      <c r="D117" t="inlineStr"/>
      <c r="E117" s="5" t="n">
        <v>100000</v>
      </c>
      <c r="F117" s="5" t="n">
        <v>90</v>
      </c>
      <c r="G117" t="inlineStr">
        <is>
          <t>Medium</t>
        </is>
      </c>
      <c r="H117" s="5" t="n">
        <v>1</v>
      </c>
      <c r="I117" s="5" t="n">
        <v>1</v>
      </c>
      <c r="J117" s="5" t="n">
        <v>1</v>
      </c>
      <c r="W117" s="5" t="n">
        <v>1000</v>
      </c>
    </row>
    <row r="118">
      <c r="A118" t="inlineStr">
        <is>
          <t>redalert2mod</t>
        </is>
      </c>
      <c r="B118" t="inlineStr">
        <is>
          <t>tkm_tornadoglauncher</t>
        </is>
      </c>
      <c r="C118" t="inlineStr">
        <is>
          <t>Tornado-G Launcher</t>
        </is>
      </c>
      <c r="D118" t="inlineStr"/>
      <c r="E118" s="5" t="n">
        <v>35000</v>
      </c>
      <c r="F118" s="5" t="n">
        <v>80</v>
      </c>
      <c r="G118" t="inlineStr">
        <is>
          <t>Medium</t>
        </is>
      </c>
      <c r="H118" s="5" t="n">
        <v>1</v>
      </c>
      <c r="I118" s="5" t="n">
        <v>1</v>
      </c>
      <c r="J118" s="5" t="n">
        <v>1</v>
      </c>
      <c r="O118">
        <f>MAX(O119,O120,O121,O122)</f>
        <v/>
      </c>
      <c r="R118">
        <f>R119+R120+R121+R122</f>
        <v/>
      </c>
      <c r="S118">
        <f>(E118/100000+F118/100+(O118/1000)*J118/5+R118/200)*200*I118*H118</f>
        <v/>
      </c>
      <c r="T118">
        <f>((E118*F118/25000)+((O118/1000)*J118*R118/2.5))*I118*H118</f>
        <v/>
      </c>
      <c r="U118">
        <f>(E118*F118*(O118/1000)*J118*R118*I118*H118)/12500000</f>
        <v/>
      </c>
      <c r="V118">
        <f>(S118+T118+U118)/3</f>
        <v/>
      </c>
      <c r="W118" s="5" t="n">
        <v>1200</v>
      </c>
      <c r="X118">
        <f>IFERROR(V118-W118,"")</f>
        <v/>
      </c>
      <c r="Y118">
        <f>IFERROR(ABS(X118)/MAX(W118,1),"")</f>
        <v/>
      </c>
      <c r="Z118">
        <f>IFERROR((W118-(((E118/100000+F118/100+R118/200)*200*I118*H118)+((E118*F118/25000)*I118*H118))/3)/(((J118/5)*200*I118*H118)+((J118*R118/2.5)*I118*H118)+((E118*F118*J118*R118*I118*H118)/12500000))/3*1000,"")</f>
        <v/>
      </c>
    </row>
    <row r="119">
      <c r="B119" s="6" t="inlineStr">
        <is>
          <t xml:space="preserve">  ↳ tkmkatyushalalauncherrockets</t>
        </is>
      </c>
      <c r="C119" s="6" t="inlineStr">
        <is>
          <t>Armament@PRIMARY</t>
        </is>
      </c>
      <c r="K119" s="5" t="n">
        <v>20000</v>
      </c>
      <c r="L119" s="5" t="n">
        <v>157</v>
      </c>
      <c r="M119" s="5" t="n">
        <v>8</v>
      </c>
      <c r="N119" s="5" t="n">
        <v>4</v>
      </c>
      <c r="O119" s="5" t="n">
        <v>12437</v>
      </c>
      <c r="P119" s="5" t="n">
        <v>1</v>
      </c>
      <c r="Q119">
        <f>L119+IF(M119&gt;1,N(N119)*(M119-1),0)</f>
        <v/>
      </c>
      <c r="R119">
        <f>IFERROR(K119*MAX(M119,1)/Q119*P119,0)</f>
        <v/>
      </c>
      <c r="AA119" s="6" t="inlineStr">
        <is>
          <t>^ShrapnelWeapon</t>
        </is>
      </c>
    </row>
    <row r="120">
      <c r="B120" s="6" t="inlineStr">
        <is>
          <t xml:space="preserve">  ↳ tkmkatyushalalauncherrocketscryo</t>
        </is>
      </c>
      <c r="C120" s="6" t="inlineStr">
        <is>
          <t>Armament@PRIMARYNATO</t>
        </is>
      </c>
      <c r="K120" s="5" t="n">
        <v>20000</v>
      </c>
      <c r="L120" s="5" t="n">
        <v>157</v>
      </c>
      <c r="M120" s="5" t="n">
        <v>8</v>
      </c>
      <c r="N120" s="5" t="n">
        <v>4</v>
      </c>
      <c r="O120" s="5" t="n">
        <v>14000</v>
      </c>
      <c r="P120" s="5" t="n">
        <v>1</v>
      </c>
      <c r="Q120">
        <f>L120+IF(M120&gt;1,N(N120)*(M120-1),0)</f>
        <v/>
      </c>
      <c r="R120">
        <f>IFERROR(K120*MAX(M120,1)/Q120*P120,0)</f>
        <v/>
      </c>
      <c r="AA120" s="6" t="inlineStr">
        <is>
          <t>^CryoMissileProjectile, ^ShrapnelWeapon</t>
        </is>
      </c>
    </row>
    <row r="121">
      <c r="B121" s="6" t="inlineStr">
        <is>
          <t xml:space="preserve">  ↳ tkmkatyushalalauncherrocketstwin</t>
        </is>
      </c>
      <c r="C121" s="6" t="inlineStr">
        <is>
          <t>Armament@PRIMARYBEREZKA</t>
        </is>
      </c>
      <c r="K121" s="5" t="n">
        <v>20000</v>
      </c>
      <c r="L121" s="5" t="n">
        <v>157</v>
      </c>
      <c r="M121" s="5" t="n">
        <v>16</v>
      </c>
      <c r="N121" s="5" t="n">
        <v>4</v>
      </c>
      <c r="O121" s="5" t="n">
        <v>12437</v>
      </c>
      <c r="P121" s="5" t="n">
        <v>1</v>
      </c>
      <c r="Q121">
        <f>L121+IF(M121&gt;1,N(N121)*(M121-1),0)</f>
        <v/>
      </c>
      <c r="R121">
        <f>IFERROR(K121*MAX(M121,1)/Q121*P121,0)</f>
        <v/>
      </c>
      <c r="AA121" s="6" t="inlineStr">
        <is>
          <t>^ShrapnelWeapon</t>
        </is>
      </c>
    </row>
    <row r="122">
      <c r="B122" s="6" t="inlineStr">
        <is>
          <t xml:space="preserve">  ↳ tkmkatyushalalauncherrocketsfire</t>
        </is>
      </c>
      <c r="C122" s="6" t="inlineStr">
        <is>
          <t>Armament@PRIMARYTITAN</t>
        </is>
      </c>
      <c r="K122" s="5" t="n">
        <v>20000</v>
      </c>
      <c r="L122" s="5" t="n">
        <v>157</v>
      </c>
      <c r="M122" s="5" t="n">
        <v>8</v>
      </c>
      <c r="N122" s="5" t="n">
        <v>4</v>
      </c>
      <c r="O122" s="5" t="n">
        <v>14000</v>
      </c>
      <c r="P122" s="5" t="n">
        <v>1</v>
      </c>
      <c r="Q122">
        <f>L122+IF(M122&gt;1,N(N122)*(M122-1),0)</f>
        <v/>
      </c>
      <c r="R122">
        <f>IFERROR(K122*MAX(M122,1)/Q122*P122,0)</f>
        <v/>
      </c>
      <c r="AA122" s="6" t="inlineStr">
        <is>
          <t>^LightFlameWeapon, ^LightMissile, ^ShrapnelWeapon</t>
        </is>
      </c>
    </row>
    <row r="123">
      <c r="A123" t="inlineStr">
        <is>
          <t>redalert2mod</t>
        </is>
      </c>
      <c r="B123" t="inlineStr">
        <is>
          <t>tkm_trenchtank</t>
        </is>
      </c>
      <c r="C123" t="inlineStr">
        <is>
          <t>Trench Tank</t>
        </is>
      </c>
      <c r="D123" t="inlineStr"/>
      <c r="E123" s="5" t="n">
        <v>200000</v>
      </c>
      <c r="F123" s="5" t="n">
        <v>65</v>
      </c>
      <c r="G123" t="inlineStr">
        <is>
          <t>Heavy</t>
        </is>
      </c>
      <c r="H123" s="5" t="n">
        <v>1</v>
      </c>
      <c r="I123" s="5" t="n">
        <v>1</v>
      </c>
      <c r="J123" s="5" t="n">
        <v>1</v>
      </c>
      <c r="O123">
        <f>MAX(O124)</f>
        <v/>
      </c>
      <c r="R123">
        <f>R124</f>
        <v/>
      </c>
      <c r="S123">
        <f>(E123/100000+F123/100+(O123/1000)*J123/5+R123/200)*200*I123*H123</f>
        <v/>
      </c>
      <c r="T123">
        <f>((E123*F123/25000)+((O123/1000)*J123*R123/2.5))*I123*H123</f>
        <v/>
      </c>
      <c r="U123">
        <f>(E123*F123*(O123/1000)*J123*R123*I123*H123)/12500000</f>
        <v/>
      </c>
      <c r="V123">
        <f>(S123+T123+U123)/3</f>
        <v/>
      </c>
      <c r="W123" s="5" t="n">
        <v>2500</v>
      </c>
      <c r="X123">
        <f>IFERROR(V123-W123,"")</f>
        <v/>
      </c>
      <c r="Y123">
        <f>IFERROR(ABS(X123)/MAX(W123,1),"")</f>
        <v/>
      </c>
      <c r="Z123">
        <f>IFERROR((W123-(((E123/100000+F123/100+R123/200)*200*I123*H123)+((E123*F123/25000)*I123*H123))/3)/(((J123/5)*200*I123*H123)+((J123*R123/2.5)*I123*H123)+((E123*F123*J123*R123*I123*H123)/12500000))/3*1000,"")</f>
        <v/>
      </c>
    </row>
    <row r="124">
      <c r="B124" s="6" t="inlineStr">
        <is>
          <t xml:space="preserve">  ↳ tkmtrenchcannon</t>
        </is>
      </c>
      <c r="C124" s="6" t="inlineStr">
        <is>
          <t>Armament</t>
        </is>
      </c>
      <c r="K124" s="5" t="n">
        <v>20000</v>
      </c>
      <c r="L124" s="5" t="n">
        <v>75</v>
      </c>
      <c r="M124" s="5" t="n">
        <v>1</v>
      </c>
      <c r="N124" s="5" t="n"/>
      <c r="O124" s="5" t="n">
        <v>9237</v>
      </c>
      <c r="P124" s="5" t="n">
        <v>1</v>
      </c>
      <c r="Q124">
        <f>L124+IF(M124&gt;1,N(N124)*(M124-1),0)</f>
        <v/>
      </c>
      <c r="R124">
        <f>IFERROR(K124*MAX(M124,1)/Q124*P124,0)</f>
        <v/>
      </c>
      <c r="AA124" s="6" t="inlineStr">
        <is>
          <t>^ShrapnelWeapon, ^HeavyCannon</t>
        </is>
      </c>
    </row>
    <row r="125">
      <c r="A125" t="inlineStr">
        <is>
          <t>redalert2mod</t>
        </is>
      </c>
      <c r="B125" t="inlineStr">
        <is>
          <t>tkm_trenchtruck</t>
        </is>
      </c>
      <c r="C125" t="inlineStr">
        <is>
          <t>Trench Truck</t>
        </is>
      </c>
      <c r="D125" t="inlineStr"/>
      <c r="E125" s="5" t="n">
        <v>100000</v>
      </c>
      <c r="F125" s="5" t="n">
        <v>60</v>
      </c>
      <c r="G125" t="inlineStr">
        <is>
          <t>Heavy</t>
        </is>
      </c>
      <c r="H125" s="5" t="n">
        <v>1</v>
      </c>
      <c r="I125" s="5" t="n">
        <v>1</v>
      </c>
      <c r="J125" s="5" t="n">
        <v>1</v>
      </c>
      <c r="W125" s="5" t="n">
        <v>2500</v>
      </c>
    </row>
    <row r="126">
      <c r="A126" t="inlineStr">
        <is>
          <t>redalert2mod</t>
        </is>
      </c>
      <c r="B126" t="inlineStr">
        <is>
          <t>tkm_zaza</t>
        </is>
      </c>
      <c r="C126" t="inlineStr">
        <is>
          <t>TKM Zaza</t>
        </is>
      </c>
      <c r="D126" t="inlineStr"/>
      <c r="E126" s="5" t="n">
        <v>125000</v>
      </c>
      <c r="F126" s="5" t="n">
        <v>75</v>
      </c>
      <c r="G126" t="inlineStr">
        <is>
          <t>Light</t>
        </is>
      </c>
      <c r="H126" s="5" t="n">
        <v>1</v>
      </c>
      <c r="I126" s="5" t="n">
        <v>1</v>
      </c>
      <c r="J126" s="5" t="n">
        <v>1</v>
      </c>
      <c r="O126">
        <f>MAX(O127,O128)</f>
        <v/>
      </c>
      <c r="R126">
        <f>R127+R128</f>
        <v/>
      </c>
      <c r="S126">
        <f>(E126/100000+F126/100+(O126/1000)*J126/5+R126/200)*200*I126*H126</f>
        <v/>
      </c>
      <c r="T126">
        <f>((E126*F126/25000)+((O126/1000)*J126*R126/2.5))*I126*H126</f>
        <v/>
      </c>
      <c r="U126">
        <f>(E126*F126*(O126/1000)*J126*R126*I126*H126)/12500000</f>
        <v/>
      </c>
      <c r="V126">
        <f>(S126+T126+U126)/3</f>
        <v/>
      </c>
      <c r="W126" s="5" t="n">
        <v>1600</v>
      </c>
      <c r="X126">
        <f>IFERROR(V126-W126,"")</f>
        <v/>
      </c>
      <c r="Y126">
        <f>IFERROR(ABS(X126)/MAX(W126,1),"")</f>
        <v/>
      </c>
      <c r="Z126">
        <f>IFERROR((W126-(((E126/100000+F126/100+R126/200)*200*I126*H126)+((E126*F126/25000)*I126*H126))/3)/(((J126/5)*200*I126*H126)+((J126*R126/2.5)*I126*H126)+((E126*F126*J126*R126*I126*H126)/12500000))/3*1000,"")</f>
        <v/>
      </c>
    </row>
    <row r="127">
      <c r="B127" s="6" t="inlineStr">
        <is>
          <t xml:space="preserve">  ↳ TKMZazaCannonAG</t>
        </is>
      </c>
      <c r="C127" s="6" t="inlineStr">
        <is>
          <t>Armament@AG</t>
        </is>
      </c>
      <c r="K127" s="5" t="n">
        <v>2000</v>
      </c>
      <c r="L127" s="5" t="n">
        <v>8</v>
      </c>
      <c r="M127" s="5" t="n">
        <v>1</v>
      </c>
      <c r="N127" s="5" t="n"/>
      <c r="O127" s="5" t="n">
        <v>5284</v>
      </c>
      <c r="P127" s="5" t="n">
        <v>1</v>
      </c>
      <c r="Q127">
        <f>L127+IF(M127&gt;1,N(N127)*(M127-1),0)</f>
        <v/>
      </c>
      <c r="R127">
        <f>IFERROR(K127*MAX(M127,1)/Q127*P127,0)</f>
        <v/>
      </c>
      <c r="AA127" s="6" t="inlineStr">
        <is>
          <t>^SmallArms, ^FlakWeapon</t>
        </is>
      </c>
    </row>
    <row r="128">
      <c r="B128" s="6" t="inlineStr">
        <is>
          <t xml:space="preserve">  ↳ TKMZazaCannonAA</t>
        </is>
      </c>
      <c r="C128" s="6" t="inlineStr">
        <is>
          <t>Armament@AA</t>
        </is>
      </c>
      <c r="K128" s="5" t="n">
        <v>2000</v>
      </c>
      <c r="L128" s="5" t="n">
        <v>8</v>
      </c>
      <c r="M128" s="5" t="n">
        <v>1</v>
      </c>
      <c r="N128" s="5" t="n"/>
      <c r="O128" s="5" t="n">
        <v>7926</v>
      </c>
      <c r="P128" s="5" t="n">
        <v>1</v>
      </c>
      <c r="Q128">
        <f>L128+IF(M128&gt;1,N(N128)*(M128-1),0)</f>
        <v/>
      </c>
      <c r="R128">
        <f>IFERROR(K128*MAX(M128,1)/Q128*P128,0)</f>
        <v/>
      </c>
      <c r="AA128" s="6" t="inlineStr">
        <is>
          <t>^SmallArms, ^FlakWeapon</t>
        </is>
      </c>
    </row>
    <row r="129">
      <c r="A129" s="3" t="inlineStr">
        <is>
          <t>AIRCRAFT</t>
        </is>
      </c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</row>
    <row r="130">
      <c r="A130" t="inlineStr">
        <is>
          <t>redalert2mod</t>
        </is>
      </c>
      <c r="B130" t="inlineStr">
        <is>
          <t>tkm_iroquois</t>
        </is>
      </c>
      <c r="C130" t="inlineStr">
        <is>
          <t>Iroquois</t>
        </is>
      </c>
      <c r="D130" t="inlineStr"/>
      <c r="E130" s="5" t="n">
        <v>100000</v>
      </c>
      <c r="F130" s="5" t="n">
        <v>120</v>
      </c>
      <c r="G130" t="inlineStr">
        <is>
          <t>Helicopter</t>
        </is>
      </c>
      <c r="H130" s="5" t="n">
        <v>1</v>
      </c>
      <c r="I130" s="5" t="n">
        <v>1</v>
      </c>
      <c r="J130" s="5" t="n">
        <v>1</v>
      </c>
      <c r="O130">
        <f>MAX(O131,O132,O133,O134,O135)</f>
        <v/>
      </c>
      <c r="R130">
        <f>R131+R132+R133+R134+R135</f>
        <v/>
      </c>
      <c r="S130">
        <f>(E130/100000+F130/100+(O130/1000)*J130/5+R130/200)*200*I130*H130</f>
        <v/>
      </c>
      <c r="T130">
        <f>((E130*F130/25000)+((O130/1000)*J130*R130/2.5))*I130*H130</f>
        <v/>
      </c>
      <c r="U130">
        <f>(E130*F130*(O130/1000)*J130*R130*I130*H130)/12500000</f>
        <v/>
      </c>
      <c r="V130">
        <f>(S130+T130+U130)/3</f>
        <v/>
      </c>
      <c r="W130" s="5" t="n">
        <v>1800</v>
      </c>
      <c r="X130">
        <f>IFERROR(V130-W130,"")</f>
        <v/>
      </c>
      <c r="Y130">
        <f>IFERROR(ABS(X130)/MAX(W130,1),"")</f>
        <v/>
      </c>
      <c r="Z130">
        <f>IFERROR((W130-(((E130/100000+F130/100+R130/200)*200*I130*H130)+((E130*F130/25000)*I130*H130))/3)/(((J130/5)*200*I130*H130)+((J130*R130/2.5)*I130*H130)+((E130*F130*J130*R130*I130*H130)/12500000))/3*1000,"")</f>
        <v/>
      </c>
    </row>
    <row r="131">
      <c r="B131" s="6" t="inlineStr">
        <is>
          <t xml:space="preserve">  ↳ HueyGun</t>
        </is>
      </c>
      <c r="C131" s="6" t="inlineStr">
        <is>
          <t>Armament@PRIMARY</t>
        </is>
      </c>
      <c r="K131" s="5" t="n">
        <v>2000</v>
      </c>
      <c r="L131" s="5" t="n">
        <v>7</v>
      </c>
      <c r="M131" s="5" t="n">
        <v>1</v>
      </c>
      <c r="N131" s="5" t="n"/>
      <c r="O131" s="5" t="n">
        <v>4783</v>
      </c>
      <c r="P131" s="5" t="n">
        <v>1</v>
      </c>
      <c r="Q131">
        <f>L131+IF(M131&gt;1,N(N131)*(M131-1),0)</f>
        <v/>
      </c>
      <c r="R131">
        <f>IFERROR(K131*MAX(M131,1)/Q131*P131,0)</f>
        <v/>
      </c>
      <c r="AA131" s="6" t="inlineStr">
        <is>
          <t>^FlakWeapon, ^RA2Chaingun</t>
        </is>
      </c>
    </row>
    <row r="132">
      <c r="B132" s="6" t="inlineStr">
        <is>
          <t xml:space="preserve">  ↳ HueyMissiles</t>
        </is>
      </c>
      <c r="C132" s="6" t="inlineStr">
        <is>
          <t>Armament@Missiles</t>
        </is>
      </c>
      <c r="K132" s="5" t="n">
        <v>4</v>
      </c>
      <c r="L132" s="5" t="n">
        <v>14</v>
      </c>
      <c r="M132" s="5" t="n">
        <v>1</v>
      </c>
      <c r="N132" s="5" t="n"/>
      <c r="O132" s="5" t="n">
        <v>4783</v>
      </c>
      <c r="P132" s="5" t="n">
        <v>1</v>
      </c>
      <c r="Q132">
        <f>L132+IF(M132&gt;1,N(N132)*(M132-1),0)</f>
        <v/>
      </c>
      <c r="R132">
        <f>IFERROR(K132*MAX(M132,1)/Q132*P132,0)</f>
        <v/>
      </c>
      <c r="AA132" s="6" t="inlineStr">
        <is>
          <t>^MediumMissile</t>
        </is>
      </c>
    </row>
    <row r="133">
      <c r="B133" s="6" t="inlineStr">
        <is>
          <t xml:space="preserve">  ↳ HueyCryoMissiles</t>
        </is>
      </c>
      <c r="C133" s="6" t="inlineStr">
        <is>
          <t>Armament@PRIMARYNATO</t>
        </is>
      </c>
      <c r="K133" s="5" t="n">
        <v>2000</v>
      </c>
      <c r="L133" s="5" t="n">
        <v>16</v>
      </c>
      <c r="M133" s="5" t="n">
        <v>1</v>
      </c>
      <c r="N133" s="5" t="n"/>
      <c r="O133" s="5" t="n">
        <v>5528</v>
      </c>
      <c r="P133" s="5" t="n">
        <v>1</v>
      </c>
      <c r="Q133">
        <f>L133+IF(M133&gt;1,N(N133)*(M133-1),0)</f>
        <v/>
      </c>
      <c r="R133">
        <f>IFERROR(K133*MAX(M133,1)/Q133*P133,0)</f>
        <v/>
      </c>
      <c r="AA133" s="6" t="inlineStr">
        <is>
          <t>^Grenade, ^ShrapnelWeapon, ^HeavyCannon, ^MediumMissile</t>
        </is>
      </c>
    </row>
    <row r="134">
      <c r="B134" s="6" t="inlineStr">
        <is>
          <t xml:space="preserve">  ↳ HueyTwinMissiles</t>
        </is>
      </c>
      <c r="C134" s="6" t="inlineStr">
        <is>
          <t>Armament@PRIMARYBEREZKA</t>
        </is>
      </c>
      <c r="K134" s="5" t="n">
        <v>2000</v>
      </c>
      <c r="L134" s="5" t="n">
        <v>16</v>
      </c>
      <c r="M134" s="5" t="n">
        <v>2</v>
      </c>
      <c r="N134" s="5" t="n"/>
      <c r="O134" s="5" t="n">
        <v>5528</v>
      </c>
      <c r="P134" s="5" t="n">
        <v>1</v>
      </c>
      <c r="Q134">
        <f>L134+IF(M134&gt;1,N(N134)*(M134-1),0)</f>
        <v/>
      </c>
      <c r="R134">
        <f>IFERROR(K134*MAX(M134,1)/Q134*P134,0)</f>
        <v/>
      </c>
      <c r="AA134" s="6" t="inlineStr">
        <is>
          <t>^Grenade, ^ShrapnelWeapon, ^HeavyCannon, ^MediumMissile</t>
        </is>
      </c>
    </row>
    <row r="135">
      <c r="B135" s="6" t="inlineStr">
        <is>
          <t xml:space="preserve">  ↳ HueyTwinMissiles</t>
        </is>
      </c>
      <c r="C135" s="6" t="inlineStr">
        <is>
          <t>Armament@PRIMARYTITAN</t>
        </is>
      </c>
      <c r="K135" s="5" t="n">
        <v>2000</v>
      </c>
      <c r="L135" s="5" t="n">
        <v>16</v>
      </c>
      <c r="M135" s="5" t="n">
        <v>2</v>
      </c>
      <c r="N135" s="5" t="n"/>
      <c r="O135" s="5" t="n">
        <v>5528</v>
      </c>
      <c r="P135" s="5" t="n">
        <v>1</v>
      </c>
      <c r="Q135">
        <f>L135+IF(M135&gt;1,N(N135)*(M135-1),0)</f>
        <v/>
      </c>
      <c r="R135">
        <f>IFERROR(K135*MAX(M135,1)/Q135*P135,0)</f>
        <v/>
      </c>
      <c r="AA135" s="6" t="inlineStr">
        <is>
          <t>^Grenade, ^ShrapnelWeapon, ^HeavyCannon, ^MediumMissile</t>
        </is>
      </c>
    </row>
    <row r="136">
      <c r="A136" t="inlineStr">
        <is>
          <t>redalert2mod</t>
        </is>
      </c>
      <c r="B136" t="inlineStr">
        <is>
          <t>tkm_viper</t>
        </is>
      </c>
      <c r="C136" t="inlineStr">
        <is>
          <t>Viper</t>
        </is>
      </c>
      <c r="D136" t="inlineStr"/>
      <c r="E136" s="5" t="n">
        <v>100000</v>
      </c>
      <c r="F136" s="5" t="n">
        <v>150</v>
      </c>
      <c r="G136" t="inlineStr">
        <is>
          <t>Bomber</t>
        </is>
      </c>
      <c r="H136" s="5" t="n">
        <v>1</v>
      </c>
      <c r="I136" s="5" t="n">
        <v>1</v>
      </c>
      <c r="J136" s="5" t="n">
        <v>1</v>
      </c>
      <c r="O136">
        <f>MAX(O137,O138,O139,O140)</f>
        <v/>
      </c>
      <c r="R136">
        <f>R137+R138+R139+R140</f>
        <v/>
      </c>
      <c r="S136">
        <f>(E136/100000+F136/100+(O136/1000)*J136/5+R136/200)*200*I136*H136</f>
        <v/>
      </c>
      <c r="T136">
        <f>((E136*F136/25000)+((O136/1000)*J136*R136/2.5))*I136*H136</f>
        <v/>
      </c>
      <c r="U136">
        <f>(E136*F136*(O136/1000)*J136*R136*I136*H136)/12500000</f>
        <v/>
      </c>
      <c r="V136">
        <f>(S136+T136+U136)/3</f>
        <v/>
      </c>
      <c r="W136" s="5" t="n">
        <v>1750</v>
      </c>
      <c r="X136">
        <f>IFERROR(V136-W136,"")</f>
        <v/>
      </c>
      <c r="Y136">
        <f>IFERROR(ABS(X136)/MAX(W136,1),"")</f>
        <v/>
      </c>
      <c r="Z136">
        <f>IFERROR((W136-(((E136/100000+F136/100+R136/200)*200*I136*H136)+((E136*F136/25000)*I136*H136))/3)/(((J136/5)*200*I136*H136)+((J136*R136/2.5)*I136*H136)+((E136*F136*J136*R136*I136*H136)/12500000))/3*1000,"")</f>
        <v/>
      </c>
    </row>
    <row r="137">
      <c r="B137" s="6" t="inlineStr">
        <is>
          <t xml:space="preserve">  ↳ ViperMissiles</t>
        </is>
      </c>
      <c r="C137" s="6" t="inlineStr">
        <is>
          <t>Armament@BOMBS</t>
        </is>
      </c>
      <c r="K137" s="5" t="n">
        <v>16000</v>
      </c>
      <c r="L137" s="5" t="n">
        <v>50</v>
      </c>
      <c r="M137" s="5" t="n">
        <v>4</v>
      </c>
      <c r="N137" s="5" t="n">
        <v>2</v>
      </c>
      <c r="O137" s="5" t="n">
        <v>6271</v>
      </c>
      <c r="P137" s="5" t="n">
        <v>1</v>
      </c>
      <c r="Q137">
        <f>L137+IF(M137&gt;1,N(N137)*(M137-1),0)</f>
        <v/>
      </c>
      <c r="R137">
        <f>IFERROR(K137*MAX(M137,1)/Q137*P137,0)</f>
        <v/>
      </c>
      <c r="AA137" s="6" t="inlineStr">
        <is>
          <t>^ShrapnelWeapon, ^RA2MediumMissile</t>
        </is>
      </c>
    </row>
    <row r="138">
      <c r="B138" s="6" t="inlineStr">
        <is>
          <t xml:space="preserve">  ↳ ViperMissilesCryo</t>
        </is>
      </c>
      <c r="C138" s="6" t="inlineStr">
        <is>
          <t>Armament@PRIMARYNATO</t>
        </is>
      </c>
      <c r="K138" s="5" t="n">
        <v>16000</v>
      </c>
      <c r="L138" s="5" t="n">
        <v>50</v>
      </c>
      <c r="M138" s="5" t="n">
        <v>4</v>
      </c>
      <c r="N138" s="5" t="n">
        <v>2</v>
      </c>
      <c r="O138" s="5" t="n">
        <v>6271</v>
      </c>
      <c r="P138" s="5" t="n">
        <v>1</v>
      </c>
      <c r="Q138">
        <f>L138+IF(M138&gt;1,N(N138)*(M138-1),0)</f>
        <v/>
      </c>
      <c r="R138">
        <f>IFERROR(K138*MAX(M138,1)/Q138*P138,0)</f>
        <v/>
      </c>
      <c r="AA138" s="6" t="inlineStr">
        <is>
          <t>^ShrapnelWeapon, ^RA2MediumMissile, ^CryoMissileProjectile</t>
        </is>
      </c>
    </row>
    <row r="139">
      <c r="B139" s="6" t="inlineStr">
        <is>
          <t xml:space="preserve">  ↳ ViperMissilesTwin</t>
        </is>
      </c>
      <c r="C139" s="6" t="inlineStr">
        <is>
          <t>Armament@PRIMARYBEREZKA</t>
        </is>
      </c>
      <c r="K139" s="5" t="n">
        <v>16000</v>
      </c>
      <c r="L139" s="5" t="n">
        <v>50</v>
      </c>
      <c r="M139" s="5" t="n">
        <v>8</v>
      </c>
      <c r="N139" s="5" t="n">
        <v>2</v>
      </c>
      <c r="O139" s="5" t="n">
        <v>6271</v>
      </c>
      <c r="P139" s="5" t="n">
        <v>1</v>
      </c>
      <c r="Q139">
        <f>L139+IF(M139&gt;1,N(N139)*(M139-1),0)</f>
        <v/>
      </c>
      <c r="R139">
        <f>IFERROR(K139*MAX(M139,1)/Q139*P139,0)</f>
        <v/>
      </c>
      <c r="AA139" s="6" t="inlineStr">
        <is>
          <t>^ShrapnelWeapon, ^RA2MediumMissile</t>
        </is>
      </c>
    </row>
    <row r="140">
      <c r="B140" s="6" t="inlineStr">
        <is>
          <t xml:space="preserve">  ↳ ViperMissilesFire</t>
        </is>
      </c>
      <c r="C140" s="6" t="inlineStr">
        <is>
          <t>Armament@PRIMARYTITAN</t>
        </is>
      </c>
      <c r="K140" s="5" t="n">
        <v>16000</v>
      </c>
      <c r="L140" s="5" t="n">
        <v>25</v>
      </c>
      <c r="M140" s="5" t="n">
        <v>4</v>
      </c>
      <c r="N140" s="5" t="n">
        <v>2</v>
      </c>
      <c r="O140" s="5" t="n">
        <v>5120</v>
      </c>
      <c r="P140" s="5" t="n">
        <v>1</v>
      </c>
      <c r="Q140">
        <f>L140+IF(M140&gt;1,N(N140)*(M140-1),0)</f>
        <v/>
      </c>
      <c r="R140">
        <f>IFERROR(K140*MAX(M140,1)/Q140*P140,0)</f>
        <v/>
      </c>
      <c r="AA140" s="6" t="inlineStr">
        <is>
          <t>^ShrapnelWeapon, ^RA2MediumMissile, ^LightFlameWeapon, ^LightMissile</t>
        </is>
      </c>
    </row>
    <row r="141">
      <c r="A141" t="inlineStr">
        <is>
          <t>redalert2mod</t>
        </is>
      </c>
      <c r="B141" t="inlineStr">
        <is>
          <t>tkmdrone</t>
        </is>
      </c>
      <c r="C141" t="inlineStr">
        <is>
          <t>Drone</t>
        </is>
      </c>
      <c r="D141" t="inlineStr"/>
      <c r="E141" s="5" t="n">
        <v>10000</v>
      </c>
      <c r="F141" s="5" t="n">
        <v>150</v>
      </c>
      <c r="G141" t="inlineStr">
        <is>
          <t>Light</t>
        </is>
      </c>
      <c r="H141" s="5" t="n">
        <v>1</v>
      </c>
      <c r="I141" s="5" t="n">
        <v>1</v>
      </c>
      <c r="J141" s="5" t="n">
        <v>1</v>
      </c>
      <c r="W141" s="5" t="n">
        <v>25</v>
      </c>
    </row>
    <row r="142">
      <c r="A142" t="inlineStr">
        <is>
          <t>redalert2mod</t>
        </is>
      </c>
      <c r="B142" t="inlineStr">
        <is>
          <t>tkmsuicidedrone</t>
        </is>
      </c>
      <c r="C142" t="inlineStr">
        <is>
          <t>Wraith Drone</t>
        </is>
      </c>
      <c r="D142" t="inlineStr"/>
      <c r="E142" s="5" t="n">
        <v>25000</v>
      </c>
      <c r="F142" s="5" t="n">
        <v>200</v>
      </c>
      <c r="G142" t="inlineStr">
        <is>
          <t>Bomber</t>
        </is>
      </c>
      <c r="H142" s="5" t="n">
        <v>1</v>
      </c>
      <c r="I142" s="5" t="n">
        <v>1</v>
      </c>
      <c r="J142" s="5" t="n">
        <v>1</v>
      </c>
      <c r="O142">
        <f>MAX(O143)</f>
        <v/>
      </c>
      <c r="R142">
        <f>R143</f>
        <v/>
      </c>
      <c r="S142">
        <f>(E142/100000+F142/100+(O142/1000)*J142/5+R142/200)*200*I142*H142</f>
        <v/>
      </c>
      <c r="T142">
        <f>((E142*F142/25000)+((O142/1000)*J142*R142/2.5))*I142*H142</f>
        <v/>
      </c>
      <c r="U142">
        <f>(E142*F142*(O142/1000)*J142*R142*I142*H142)/12500000</f>
        <v/>
      </c>
      <c r="V142">
        <f>(S142+T142+U142)/3</f>
        <v/>
      </c>
      <c r="W142" s="5" t="n">
        <v>100</v>
      </c>
      <c r="X142">
        <f>IFERROR(V142-W142,"")</f>
        <v/>
      </c>
      <c r="Y142">
        <f>IFERROR(ABS(X142)/MAX(W142,1),"")</f>
        <v/>
      </c>
      <c r="Z142">
        <f>IFERROR((W142-(((E142/100000+F142/100+R142/200)*200*I142*H142)+((E142*F142/25000)*I142*H142))/3)/(((J142/5)*200*I142*H142)+((J142*R142/2.5)*I142*H142)+((E142*F142*J142*R142*I142*H142)/12500000))/3*1000,"")</f>
        <v/>
      </c>
    </row>
    <row r="143">
      <c r="B143" s="6" t="inlineStr">
        <is>
          <t xml:space="preserve">  ↳ TKMDroneExplosion</t>
        </is>
      </c>
      <c r="C143" s="6" t="inlineStr">
        <is>
          <t>Armament@PRIMARY</t>
        </is>
      </c>
      <c r="K143" s="5" t="n">
        <v>40000</v>
      </c>
      <c r="L143" s="5" t="n">
        <v>25</v>
      </c>
      <c r="M143" s="5" t="n">
        <v>1</v>
      </c>
      <c r="N143" s="5" t="n"/>
      <c r="O143" s="5" t="n">
        <v>2000</v>
      </c>
      <c r="P143" s="5" t="n">
        <v>1</v>
      </c>
      <c r="Q143">
        <f>L143+IF(M143&gt;1,N(N143)*(M143-1),0)</f>
        <v/>
      </c>
      <c r="R143">
        <f>IFERROR(K143*MAX(M143,1)/Q143*P143,0)</f>
        <v/>
      </c>
      <c r="AA143" s="6" t="inlineStr">
        <is>
          <t>^ShrapnelWeapon</t>
        </is>
      </c>
    </row>
    <row r="144">
      <c r="A144" s="3" t="inlineStr">
        <is>
          <t>DEFENSES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</row>
    <row r="145">
      <c r="A145" t="inlineStr">
        <is>
          <t>redalert2mod</t>
        </is>
      </c>
      <c r="B145" t="inlineStr">
        <is>
          <t>tkm_bunker</t>
        </is>
      </c>
      <c r="C145" t="inlineStr">
        <is>
          <t>TKM Bunker</t>
        </is>
      </c>
      <c r="D145" t="inlineStr"/>
      <c r="E145" s="5" t="n">
        <v>120000</v>
      </c>
      <c r="F145" s="5" t="n">
        <v>100</v>
      </c>
      <c r="G145" t="inlineStr">
        <is>
          <t>Steel</t>
        </is>
      </c>
      <c r="H145" s="5" t="n">
        <v>1</v>
      </c>
      <c r="I145" s="5" t="n">
        <v>1</v>
      </c>
      <c r="J145" s="5" t="n">
        <v>1</v>
      </c>
      <c r="O145">
        <f>MAX(O146,O147)</f>
        <v/>
      </c>
      <c r="R145">
        <f>R146+R147</f>
        <v/>
      </c>
      <c r="S145">
        <f>(E145/100000+F145/100+(O145/1000)*J145/5+R145/200)*200*I145*H145</f>
        <v/>
      </c>
      <c r="T145">
        <f>((E145*F145/25000)+((O145/1000)*J145*R145/2.5))*I145*H145</f>
        <v/>
      </c>
      <c r="U145">
        <f>(E145*F145*(O145/1000)*J145*R145*I145*H145)/12500000</f>
        <v/>
      </c>
      <c r="V145">
        <f>(S145+T145+U145)/3</f>
        <v/>
      </c>
      <c r="W145" s="5" t="n">
        <v>600</v>
      </c>
      <c r="X145">
        <f>IFERROR(V145-W145,"")</f>
        <v/>
      </c>
      <c r="Y145">
        <f>IFERROR(ABS(X145)/MAX(W145,1),"")</f>
        <v/>
      </c>
      <c r="Z145">
        <f>IFERROR((W145-(((E145/100000+F145/100+R145/200)*200*I145*H145)+((E145*F145/25000)*I145*H145))/3)/(((J145/5)*200*I145*H145)+((J145*R145/2.5)*I145*H145)+((E145*F145*J145*R145*I145*H145)/12500000))/3*1000,"")</f>
        <v/>
      </c>
    </row>
    <row r="146">
      <c r="B146" s="6" t="inlineStr">
        <is>
          <t xml:space="preserve">  ↳ tkmbunkmg</t>
        </is>
      </c>
      <c r="C146" s="6" t="inlineStr">
        <is>
          <t>Armament</t>
        </is>
      </c>
      <c r="K146" s="5" t="n">
        <v>2000</v>
      </c>
      <c r="L146" s="5" t="n">
        <v>41</v>
      </c>
      <c r="M146" s="5" t="n">
        <v>4</v>
      </c>
      <c r="N146" s="5" t="n">
        <v>3</v>
      </c>
      <c r="O146" s="5" t="n">
        <v>7496</v>
      </c>
      <c r="P146" s="5" t="n">
        <v>1</v>
      </c>
      <c r="Q146">
        <f>L146+IF(M146&gt;1,N(N146)*(M146-1),0)</f>
        <v/>
      </c>
      <c r="R146">
        <f>IFERROR(K146*MAX(M146,1)/Q146*P146,0)</f>
        <v/>
      </c>
      <c r="AA146" s="6" t="inlineStr">
        <is>
          <t>^RA2Chaingun, ^SmallArms</t>
        </is>
      </c>
    </row>
    <row r="147">
      <c r="B147" s="6" t="inlineStr">
        <is>
          <t xml:space="preserve">  ↳ HighVAP</t>
        </is>
      </c>
      <c r="C147" s="6" t="inlineStr">
        <is>
          <t>Armament@Upgrade</t>
        </is>
      </c>
      <c r="K147" s="5" t="n">
        <v>4000</v>
      </c>
      <c r="L147" s="5" t="n">
        <v>22</v>
      </c>
      <c r="M147" s="5" t="n">
        <v>4</v>
      </c>
      <c r="N147" s="5" t="n">
        <v>2</v>
      </c>
      <c r="O147" s="5" t="n">
        <v>6720</v>
      </c>
      <c r="P147" s="5" t="n">
        <v>1</v>
      </c>
      <c r="Q147">
        <f>L147+IF(M147&gt;1,N(N147)*(M147-1),0)</f>
        <v/>
      </c>
      <c r="R147">
        <f>IFERROR(K147*MAX(M147,1)/Q147*P147,0)</f>
        <v/>
      </c>
      <c r="AA147" s="6" t="inlineStr">
        <is>
          <t>^Chaingun</t>
        </is>
      </c>
    </row>
    <row r="148">
      <c r="A148" t="inlineStr">
        <is>
          <t>redalert2mod</t>
        </is>
      </c>
      <c r="B148" t="inlineStr">
        <is>
          <t>tkm_quadturretbunker</t>
        </is>
      </c>
      <c r="C148" t="inlineStr">
        <is>
          <t>TKM Quad Turret Bunker</t>
        </is>
      </c>
      <c r="D148" t="inlineStr"/>
      <c r="E148" s="5" t="n">
        <v>85000</v>
      </c>
      <c r="F148" s="5" t="n">
        <v>100</v>
      </c>
      <c r="G148" t="inlineStr">
        <is>
          <t>Concrete</t>
        </is>
      </c>
      <c r="H148" s="5" t="n">
        <v>1</v>
      </c>
      <c r="I148" s="5" t="n">
        <v>1</v>
      </c>
      <c r="J148" s="5" t="n">
        <v>1</v>
      </c>
      <c r="O148">
        <f>MAX(O149)</f>
        <v/>
      </c>
      <c r="R148">
        <f>R149</f>
        <v/>
      </c>
      <c r="S148">
        <f>(E148/100000+F148/100+(O148/1000)*J148/5+R148/200)*200*I148*H148</f>
        <v/>
      </c>
      <c r="T148">
        <f>((E148*F148/25000)+((O148/1000)*J148*R148/2.5))*I148*H148</f>
        <v/>
      </c>
      <c r="U148">
        <f>(E148*F148*(O148/1000)*J148*R148*I148*H148)/12500000</f>
        <v/>
      </c>
      <c r="V148">
        <f>(S148+T148+U148)/3</f>
        <v/>
      </c>
      <c r="W148" s="5" t="n">
        <v>900</v>
      </c>
      <c r="X148">
        <f>IFERROR(V148-W148,"")</f>
        <v/>
      </c>
      <c r="Y148">
        <f>IFERROR(ABS(X148)/MAX(W148,1),"")</f>
        <v/>
      </c>
      <c r="Z148">
        <f>IFERROR((W148-(((E148/100000+F148/100+R148/200)*200*I148*H148)+((E148*F148/25000)*I148*H148))/3)/(((J148/5)*200*I148*H148)+((J148*R148/2.5)*I148*H148)+((E148*F148*J148*R148*I148*H148)/12500000))/3*1000,"")</f>
        <v/>
      </c>
    </row>
    <row r="149">
      <c r="B149" s="6" t="inlineStr">
        <is>
          <t xml:space="preserve">  ↳ TKMAATurretCannon</t>
        </is>
      </c>
      <c r="C149" s="6" t="inlineStr">
        <is>
          <t>Armament@AA</t>
        </is>
      </c>
      <c r="K149" s="5" t="n">
        <v>2000</v>
      </c>
      <c r="L149" s="5" t="n">
        <v>5</v>
      </c>
      <c r="M149" s="5" t="n">
        <v>1</v>
      </c>
      <c r="N149" s="5" t="n"/>
      <c r="O149" s="5" t="n">
        <v>11604</v>
      </c>
      <c r="P149" s="5" t="n">
        <v>1</v>
      </c>
      <c r="Q149">
        <f>L149+IF(M149&gt;1,N(N149)*(M149-1),0)</f>
        <v/>
      </c>
      <c r="R149">
        <f>IFERROR(K149*MAX(M149,1)/Q149*P149,0)</f>
        <v/>
      </c>
      <c r="AA149" s="6" t="inlineStr">
        <is>
          <t>^MediumMissile, ^FlakWeapon</t>
        </is>
      </c>
    </row>
    <row r="150">
      <c r="A150" t="inlineStr">
        <is>
          <t>redalert2mod</t>
        </is>
      </c>
      <c r="B150" t="inlineStr">
        <is>
          <t>tkm_tankturretbunker</t>
        </is>
      </c>
      <c r="C150" t="inlineStr">
        <is>
          <t>TKM Tank Turret Bunker</t>
        </is>
      </c>
      <c r="D150" t="inlineStr"/>
      <c r="E150" s="5" t="n">
        <v>100000</v>
      </c>
      <c r="F150" s="5" t="n">
        <v>100</v>
      </c>
      <c r="G150" t="inlineStr">
        <is>
          <t>Concrete</t>
        </is>
      </c>
      <c r="H150" s="5" t="n">
        <v>1</v>
      </c>
      <c r="I150" s="5" t="n">
        <v>1</v>
      </c>
      <c r="J150" s="5" t="n">
        <v>1</v>
      </c>
      <c r="O150">
        <f>MAX(O151)</f>
        <v/>
      </c>
      <c r="R150">
        <f>R151</f>
        <v/>
      </c>
      <c r="S150">
        <f>(E150/100000+F150/100+(O150/1000)*J150/5+R150/200)*200*I150*H150</f>
        <v/>
      </c>
      <c r="T150">
        <f>((E150*F150/25000)+((O150/1000)*J150*R150/2.5))*I150*H150</f>
        <v/>
      </c>
      <c r="U150">
        <f>(E150*F150*(O150/1000)*J150*R150*I150*H150)/12500000</f>
        <v/>
      </c>
      <c r="V150">
        <f>(S150+T150+U150)/3</f>
        <v/>
      </c>
      <c r="W150" s="5" t="n">
        <v>800</v>
      </c>
      <c r="X150">
        <f>IFERROR(V150-W150,"")</f>
        <v/>
      </c>
      <c r="Y150">
        <f>IFERROR(ABS(X150)/MAX(W150,1),"")</f>
        <v/>
      </c>
      <c r="Z150">
        <f>IFERROR((W150-(((E150/100000+F150/100+R150/200)*200*I150*H150)+((E150*F150/25000)*I150*H150))/3)/(((J150/5)*200*I150*H150)+((J150*R150/2.5)*I150*H150)+((E150*F150*J150*R150*I150*H150)/12500000))/3*1000,"")</f>
        <v/>
      </c>
    </row>
    <row r="151">
      <c r="B151" s="6" t="inlineStr">
        <is>
          <t xml:space="preserve">  ↳ tkmturretcannon</t>
        </is>
      </c>
      <c r="C151" s="6" t="inlineStr">
        <is>
          <t>Armament</t>
        </is>
      </c>
      <c r="K151" s="5" t="n">
        <v>8000</v>
      </c>
      <c r="L151" s="5" t="n">
        <v>28</v>
      </c>
      <c r="M151" s="5" t="n">
        <v>1</v>
      </c>
      <c r="N151" s="5" t="n"/>
      <c r="O151" s="5" t="n">
        <v>8683</v>
      </c>
      <c r="P151" s="5" t="n">
        <v>1</v>
      </c>
      <c r="Q151">
        <f>L151+IF(M151&gt;1,N(N151)*(M151-1),0)</f>
        <v/>
      </c>
      <c r="R151">
        <f>IFERROR(K151*MAX(M151,1)/Q151*P151,0)</f>
        <v/>
      </c>
      <c r="AA151" s="6" t="inlineStr">
        <is>
          <t>^TankDestroyerCannon, ^MediumCannon</t>
        </is>
      </c>
    </row>
    <row r="152">
      <c r="A152" t="inlineStr">
        <is>
          <t>redalert2mod</t>
        </is>
      </c>
      <c r="B152" t="inlineStr">
        <is>
          <t>tkmratflakdeployed</t>
        </is>
      </c>
      <c r="C152" t="inlineStr">
        <is>
          <t>Flak Bus (Deployed)</t>
        </is>
      </c>
      <c r="D152" t="inlineStr"/>
      <c r="E152" s="5" t="n">
        <v>120000</v>
      </c>
      <c r="F152" s="5" t="n">
        <v>100</v>
      </c>
      <c r="G152" t="inlineStr">
        <is>
          <t>Heavy</t>
        </is>
      </c>
      <c r="H152" s="5" t="n">
        <v>1</v>
      </c>
      <c r="I152" s="5" t="n">
        <v>1</v>
      </c>
      <c r="J152" s="5" t="n">
        <v>1</v>
      </c>
      <c r="O152">
        <f>MAX(O153)</f>
        <v/>
      </c>
      <c r="R152">
        <f>R153</f>
        <v/>
      </c>
      <c r="S152">
        <f>(E152/100000+F152/100+(O152/1000)*J152/5+R152/200)*200*I152*H152</f>
        <v/>
      </c>
      <c r="T152">
        <f>((E152*F152/25000)+((O152/1000)*J152*R152/2.5))*I152*H152</f>
        <v/>
      </c>
      <c r="U152">
        <f>(E152*F152*(O152/1000)*J152*R152*I152*H152)/12500000</f>
        <v/>
      </c>
      <c r="V152">
        <f>(S152+T152+U152)/3</f>
        <v/>
      </c>
      <c r="W152" s="5" t="n">
        <v>1600</v>
      </c>
      <c r="X152">
        <f>IFERROR(V152-W152,"")</f>
        <v/>
      </c>
      <c r="Y152">
        <f>IFERROR(ABS(X152)/MAX(W152,1),"")</f>
        <v/>
      </c>
      <c r="Z152">
        <f>IFERROR((W152-(((E152/100000+F152/100+R152/200)*200*I152*H152)+((E152*F152/25000)*I152*H152))/3)/(((J152/5)*200*I152*H152)+((J152*R152/2.5)*I152*H152)+((E152*F152*J152*R152*I152*H152)/12500000))/3*1000,"")</f>
        <v/>
      </c>
    </row>
    <row r="153">
      <c r="B153" s="6" t="inlineStr">
        <is>
          <t xml:space="preserve">  ↳ FlakbusAA</t>
        </is>
      </c>
      <c r="C153" s="6" t="inlineStr">
        <is>
          <t>Armament</t>
        </is>
      </c>
      <c r="K153" s="5" t="n">
        <v>16000</v>
      </c>
      <c r="L153" s="5" t="n">
        <v>32</v>
      </c>
      <c r="M153" s="5" t="n">
        <v>1</v>
      </c>
      <c r="N153" s="5" t="n"/>
      <c r="O153" s="5" t="n">
        <v>10929</v>
      </c>
      <c r="P153" s="5" t="n">
        <v>1</v>
      </c>
      <c r="Q153">
        <f>L153+IF(M153&gt;1,N(N153)*(M153-1),0)</f>
        <v/>
      </c>
      <c r="R153">
        <f>IFERROR(K153*MAX(M153,1)/Q153*P153,0)</f>
        <v/>
      </c>
      <c r="AA153" s="6" t="inlineStr">
        <is>
          <t>^MediumMissile, ^FlakWeapon</t>
        </is>
      </c>
    </row>
    <row r="154">
      <c r="A154" t="inlineStr">
        <is>
          <t>redalert2mod</t>
        </is>
      </c>
      <c r="B154" t="inlineStr">
        <is>
          <t>tkmtrenchtankdeployed</t>
        </is>
      </c>
      <c r="C154" t="inlineStr">
        <is>
          <t>TKM Trench Tank (Deployed)</t>
        </is>
      </c>
      <c r="D154" t="inlineStr"/>
      <c r="E154" s="5" t="n">
        <v>200000</v>
      </c>
      <c r="F154" s="5" t="n">
        <v>100</v>
      </c>
      <c r="G154" t="inlineStr">
        <is>
          <t>Heavy</t>
        </is>
      </c>
      <c r="H154" s="5" t="n">
        <v>1</v>
      </c>
      <c r="I154" s="5" t="n">
        <v>1</v>
      </c>
      <c r="J154" s="5" t="n">
        <v>1</v>
      </c>
      <c r="O154">
        <f>MAX(O155)</f>
        <v/>
      </c>
      <c r="R154">
        <f>R155</f>
        <v/>
      </c>
      <c r="S154">
        <f>(E154/100000+F154/100+(O154/1000)*J154/5+R154/200)*200*I154*H154</f>
        <v/>
      </c>
      <c r="T154">
        <f>((E154*F154/25000)+((O154/1000)*J154*R154/2.5))*I154*H154</f>
        <v/>
      </c>
      <c r="U154">
        <f>(E154*F154*(O154/1000)*J154*R154*I154*H154)/12500000</f>
        <v/>
      </c>
      <c r="V154">
        <f>(S154+T154+U154)/3</f>
        <v/>
      </c>
      <c r="W154" s="5" t="n">
        <v>2500</v>
      </c>
      <c r="X154">
        <f>IFERROR(V154-W154,"")</f>
        <v/>
      </c>
      <c r="Y154">
        <f>IFERROR(ABS(X154)/MAX(W154,1),"")</f>
        <v/>
      </c>
      <c r="Z154">
        <f>IFERROR((W154-(((E154/100000+F154/100+R154/200)*200*I154*H154)+((E154*F154/25000)*I154*H154))/3)/(((J154/5)*200*I154*H154)+((J154*R154/2.5)*I154*H154)+((E154*F154*J154*R154*I154*H154)/12500000))/3*1000,"")</f>
        <v/>
      </c>
    </row>
    <row r="155">
      <c r="B155" s="6" t="inlineStr">
        <is>
          <t xml:space="preserve">  ↳ tkmtrenchdepcannon</t>
        </is>
      </c>
      <c r="C155" s="6" t="inlineStr">
        <is>
          <t>Armament</t>
        </is>
      </c>
      <c r="K155" s="5" t="n">
        <v>20000</v>
      </c>
      <c r="L155" s="5" t="n">
        <v>36</v>
      </c>
      <c r="M155" s="5" t="n">
        <v>1</v>
      </c>
      <c r="N155" s="5" t="n"/>
      <c r="O155" s="5" t="n">
        <v>11071</v>
      </c>
      <c r="P155" s="5" t="n">
        <v>1</v>
      </c>
      <c r="Q155">
        <f>L155+IF(M155&gt;1,N(N155)*(M155-1),0)</f>
        <v/>
      </c>
      <c r="R155">
        <f>IFERROR(K155*MAX(M155,1)/Q155*P155,0)</f>
        <v/>
      </c>
      <c r="AA155" s="6" t="inlineStr">
        <is>
          <t>^ShrapnelWeapon, ^HeavyCannon</t>
        </is>
      </c>
    </row>
    <row r="156">
      <c r="A156" s="3" t="inlineStr">
        <is>
          <t>BUILDINGS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>
      <c r="A157" t="inlineStr">
        <is>
          <t>redalert2mod</t>
        </is>
      </c>
      <c r="B157" t="inlineStr">
        <is>
          <t>tkm_airpad</t>
        </is>
      </c>
      <c r="C157" t="inlineStr">
        <is>
          <t>Air Pad</t>
        </is>
      </c>
      <c r="D157" t="inlineStr"/>
      <c r="E157" s="5" t="n">
        <v>300000</v>
      </c>
      <c r="F157" s="5" t="n"/>
      <c r="G157" t="inlineStr">
        <is>
          <t>Wood</t>
        </is>
      </c>
      <c r="H157" s="5" t="n">
        <v>1</v>
      </c>
      <c r="I157" s="5" t="n">
        <v>1</v>
      </c>
      <c r="J157" s="5" t="n">
        <v>1</v>
      </c>
      <c r="W157" s="5" t="n">
        <v>2000</v>
      </c>
    </row>
    <row r="158">
      <c r="A158" t="inlineStr">
        <is>
          <t>redalert2mod</t>
        </is>
      </c>
      <c r="B158" t="inlineStr">
        <is>
          <t>tkm_barracks</t>
        </is>
      </c>
      <c r="C158" t="inlineStr">
        <is>
          <t>TKM Barracks</t>
        </is>
      </c>
      <c r="D158" t="inlineStr"/>
      <c r="E158" s="5" t="n">
        <v>200000</v>
      </c>
      <c r="F158" s="5" t="n"/>
      <c r="G158" t="inlineStr">
        <is>
          <t>Wood</t>
        </is>
      </c>
      <c r="H158" s="5" t="n">
        <v>1</v>
      </c>
      <c r="I158" s="5" t="n">
        <v>1</v>
      </c>
      <c r="J158" s="5" t="n">
        <v>1</v>
      </c>
      <c r="W158" s="5" t="n">
        <v>1000</v>
      </c>
    </row>
    <row r="159">
      <c r="A159" t="inlineStr">
        <is>
          <t>redalert2mod</t>
        </is>
      </c>
      <c r="B159" t="inlineStr">
        <is>
          <t>tkm_constructionyard</t>
        </is>
      </c>
      <c r="C159" t="inlineStr">
        <is>
          <t>TKM Construction Yard</t>
        </is>
      </c>
      <c r="D159" t="inlineStr"/>
      <c r="E159" s="5" t="n">
        <v>1000000</v>
      </c>
      <c r="F159" s="5" t="n"/>
      <c r="G159" t="inlineStr">
        <is>
          <t>Concrete</t>
        </is>
      </c>
      <c r="H159" s="5" t="n">
        <v>1</v>
      </c>
      <c r="I159" s="5" t="n">
        <v>1</v>
      </c>
      <c r="J159" s="5" t="n">
        <v>1</v>
      </c>
      <c r="W159" s="5" t="n">
        <v>5000</v>
      </c>
    </row>
    <row r="160">
      <c r="A160" t="inlineStr">
        <is>
          <t>redalert2mod</t>
        </is>
      </c>
      <c r="B160" t="inlineStr">
        <is>
          <t>tkm_observationvan</t>
        </is>
      </c>
      <c r="C160" t="inlineStr">
        <is>
          <t>TKM Observation Van</t>
        </is>
      </c>
      <c r="D160" t="inlineStr"/>
      <c r="E160" s="5" t="n">
        <v>250000</v>
      </c>
      <c r="F160" s="5" t="n"/>
      <c r="G160" t="inlineStr">
        <is>
          <t>Wood</t>
        </is>
      </c>
      <c r="H160" s="5" t="n">
        <v>1</v>
      </c>
      <c r="I160" s="5" t="n">
        <v>1</v>
      </c>
      <c r="J160" s="5" t="n">
        <v>1</v>
      </c>
      <c r="W160" s="5" t="n">
        <v>2500</v>
      </c>
    </row>
    <row r="161">
      <c r="A161" t="inlineStr">
        <is>
          <t>redalert2mod</t>
        </is>
      </c>
      <c r="B161" t="inlineStr">
        <is>
          <t>tkm_orerefinery</t>
        </is>
      </c>
      <c r="C161" t="inlineStr">
        <is>
          <t>TKM Ore Refinery</t>
        </is>
      </c>
      <c r="D161" t="inlineStr"/>
      <c r="E161" s="5" t="n">
        <v>300000</v>
      </c>
      <c r="F161" s="5" t="n"/>
      <c r="G161" t="inlineStr">
        <is>
          <t>Concrete</t>
        </is>
      </c>
      <c r="H161" s="5" t="n">
        <v>1</v>
      </c>
      <c r="I161" s="5" t="n">
        <v>1</v>
      </c>
      <c r="J161" s="5" t="n">
        <v>1</v>
      </c>
      <c r="W161" s="5" t="n">
        <v>3000</v>
      </c>
    </row>
    <row r="162">
      <c r="A162" t="inlineStr">
        <is>
          <t>redalert2mod</t>
        </is>
      </c>
      <c r="B162" t="inlineStr">
        <is>
          <t>tkm_powerplant</t>
        </is>
      </c>
      <c r="C162" t="inlineStr">
        <is>
          <t>Power Plant</t>
        </is>
      </c>
      <c r="D162" t="inlineStr"/>
      <c r="E162" s="5" t="n">
        <v>100000</v>
      </c>
      <c r="F162" s="5" t="n"/>
      <c r="G162" t="inlineStr">
        <is>
          <t>Wood</t>
        </is>
      </c>
      <c r="H162" s="5" t="n">
        <v>1</v>
      </c>
      <c r="I162" s="5" t="n">
        <v>1</v>
      </c>
      <c r="J162" s="5" t="n">
        <v>1</v>
      </c>
      <c r="W162" s="5" t="n">
        <v>400</v>
      </c>
    </row>
    <row r="163">
      <c r="A163" t="inlineStr">
        <is>
          <t>redalert2mod</t>
        </is>
      </c>
      <c r="B163" t="inlineStr">
        <is>
          <t>tkm_supportlabor</t>
        </is>
      </c>
      <c r="C163" t="inlineStr">
        <is>
          <t>TKM Support Labor</t>
        </is>
      </c>
      <c r="D163" t="inlineStr"/>
      <c r="E163" s="5" t="n"/>
      <c r="F163" s="5" t="n"/>
      <c r="H163" s="5" t="n">
        <v>1</v>
      </c>
      <c r="I163" s="5" t="n">
        <v>1</v>
      </c>
      <c r="J163" s="5" t="n">
        <v>1</v>
      </c>
      <c r="W163" s="5" t="n">
        <v>2500</v>
      </c>
    </row>
    <row r="164">
      <c r="A164" t="inlineStr">
        <is>
          <t>redalert2mod</t>
        </is>
      </c>
      <c r="B164" t="inlineStr">
        <is>
          <t>tkm_techcenter</t>
        </is>
      </c>
      <c r="C164" t="inlineStr">
        <is>
          <t>TKM Tech Center</t>
        </is>
      </c>
      <c r="D164" t="inlineStr"/>
      <c r="E164" s="5" t="n">
        <v>500000</v>
      </c>
      <c r="F164" s="5" t="n"/>
      <c r="G164" t="inlineStr">
        <is>
          <t>Wood</t>
        </is>
      </c>
      <c r="H164" s="5" t="n">
        <v>1</v>
      </c>
      <c r="I164" s="5" t="n">
        <v>1</v>
      </c>
      <c r="J164" s="5" t="n">
        <v>1</v>
      </c>
      <c r="W164" s="5" t="n">
        <v>5000</v>
      </c>
    </row>
    <row r="165">
      <c r="A165" t="inlineStr">
        <is>
          <t>redalert2mod</t>
        </is>
      </c>
      <c r="B165" t="inlineStr">
        <is>
          <t>tkm_trenchtruckdeployed</t>
        </is>
      </c>
      <c r="C165" t="inlineStr">
        <is>
          <t>TKM Trench Truck (Deployed)</t>
        </is>
      </c>
      <c r="D165" t="inlineStr"/>
      <c r="E165" s="5" t="n">
        <v>100000</v>
      </c>
      <c r="F165" s="5" t="n"/>
      <c r="G165" t="inlineStr">
        <is>
          <t>Heavy</t>
        </is>
      </c>
      <c r="H165" s="5" t="n">
        <v>1</v>
      </c>
      <c r="I165" s="5" t="n">
        <v>1</v>
      </c>
      <c r="J165" s="5" t="n">
        <v>1</v>
      </c>
      <c r="W165" s="5" t="n">
        <v>2500</v>
      </c>
    </row>
    <row r="166">
      <c r="A166" t="inlineStr">
        <is>
          <t>redalert2mod</t>
        </is>
      </c>
      <c r="B166" t="inlineStr">
        <is>
          <t>tkm_warfactory</t>
        </is>
      </c>
      <c r="C166" t="inlineStr">
        <is>
          <t>War Factory</t>
        </is>
      </c>
      <c r="D166" t="inlineStr"/>
      <c r="E166" s="5" t="n">
        <v>400000</v>
      </c>
      <c r="F166" s="5" t="n"/>
      <c r="G166" t="inlineStr">
        <is>
          <t>Concrete</t>
        </is>
      </c>
      <c r="H166" s="5" t="n">
        <v>1</v>
      </c>
      <c r="I166" s="5" t="n">
        <v>1</v>
      </c>
      <c r="J166" s="5" t="n">
        <v>1</v>
      </c>
      <c r="W166" s="5" t="n">
        <v>2000</v>
      </c>
    </row>
    <row r="167">
      <c r="A167" s="3" t="inlineStr">
        <is>
          <t>UPGRADES</t>
        </is>
      </c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>
      <c r="A168" t="inlineStr">
        <is>
          <t>redalert2mod</t>
        </is>
      </c>
      <c r="B168" t="inlineStr">
        <is>
          <t>tkm_upgrade_berezkaarsenalupgrade</t>
        </is>
      </c>
      <c r="C168" t="inlineStr">
        <is>
          <t>Berezka Arsenal Upgrade</t>
        </is>
      </c>
      <c r="D168" t="inlineStr"/>
      <c r="E168" s="5" t="n"/>
      <c r="F168" s="5" t="n"/>
      <c r="H168" s="5" t="n">
        <v>1</v>
      </c>
      <c r="I168" s="5" t="n">
        <v>1</v>
      </c>
      <c r="J168" s="5" t="n">
        <v>1</v>
      </c>
      <c r="W168" s="5" t="n">
        <v>1000</v>
      </c>
    </row>
    <row r="169">
      <c r="A169" t="inlineStr">
        <is>
          <t>redalert2mod</t>
        </is>
      </c>
      <c r="B169" t="inlineStr">
        <is>
          <t>tkm_upgrade_cryorocketsupgrade</t>
        </is>
      </c>
      <c r="C169" t="inlineStr">
        <is>
          <t>EMP Rockets Upgrade</t>
        </is>
      </c>
      <c r="D169" t="inlineStr"/>
      <c r="E169" s="5" t="n"/>
      <c r="F169" s="5" t="n"/>
      <c r="H169" s="5" t="n">
        <v>1</v>
      </c>
      <c r="I169" s="5" t="n">
        <v>1</v>
      </c>
      <c r="J169" s="5" t="n">
        <v>1</v>
      </c>
      <c r="W169" s="5" t="n">
        <v>1500</v>
      </c>
    </row>
    <row r="170">
      <c r="A170" t="inlineStr">
        <is>
          <t>redalert2mod</t>
        </is>
      </c>
      <c r="B170" t="inlineStr">
        <is>
          <t>tkm_upgrade_gp25upgrade</t>
        </is>
      </c>
      <c r="C170" t="inlineStr">
        <is>
          <t>GP-25 Upgrade</t>
        </is>
      </c>
      <c r="D170" t="inlineStr"/>
      <c r="E170" s="5" t="n"/>
      <c r="F170" s="5" t="n"/>
      <c r="H170" s="5" t="n">
        <v>1</v>
      </c>
      <c r="I170" s="5" t="n">
        <v>1</v>
      </c>
      <c r="J170" s="5" t="n">
        <v>1</v>
      </c>
      <c r="W170" s="5" t="n">
        <v>1500</v>
      </c>
    </row>
    <row r="171">
      <c r="A171" t="inlineStr">
        <is>
          <t>redalert2mod</t>
        </is>
      </c>
      <c r="B171" t="inlineStr">
        <is>
          <t>tkm_upgrade_heavytitanplating</t>
        </is>
      </c>
      <c r="C171" t="inlineStr">
        <is>
          <t>Depleted Uranium Plating</t>
        </is>
      </c>
      <c r="D171" t="inlineStr"/>
      <c r="E171" s="5" t="n"/>
      <c r="F171" s="5" t="n"/>
      <c r="H171" s="5" t="n">
        <v>1</v>
      </c>
      <c r="I171" s="5" t="n">
        <v>1</v>
      </c>
      <c r="J171" s="5" t="n">
        <v>1</v>
      </c>
      <c r="W171" s="5" t="n">
        <v>1500</v>
      </c>
    </row>
    <row r="172">
      <c r="A172" t="inlineStr">
        <is>
          <t>redalert2mod</t>
        </is>
      </c>
      <c r="B172" t="inlineStr">
        <is>
          <t>tkm_upgrade_incendiaryrocketsupgrade</t>
        </is>
      </c>
      <c r="C172" t="inlineStr">
        <is>
          <t>Incendiary Rockets Upgrade</t>
        </is>
      </c>
      <c r="D172" t="inlineStr"/>
      <c r="E172" s="5" t="n"/>
      <c r="F172" s="5" t="n"/>
      <c r="H172" s="5" t="n">
        <v>1</v>
      </c>
      <c r="I172" s="5" t="n">
        <v>1</v>
      </c>
      <c r="J172" s="5" t="n">
        <v>1</v>
      </c>
      <c r="W172" s="5" t="n">
        <v>1500</v>
      </c>
    </row>
    <row r="173">
      <c r="A173" t="inlineStr">
        <is>
          <t>redalert2mod</t>
        </is>
      </c>
      <c r="B173" t="inlineStr">
        <is>
          <t>tkm_upgrade_infantryupgrade</t>
        </is>
      </c>
      <c r="C173" t="inlineStr">
        <is>
          <t>TKM Infantry Upgrade</t>
        </is>
      </c>
      <c r="D173" t="inlineStr"/>
      <c r="E173" s="5" t="n"/>
      <c r="F173" s="5" t="n"/>
      <c r="H173" s="5" t="n">
        <v>1</v>
      </c>
      <c r="I173" s="5" t="n">
        <v>1</v>
      </c>
      <c r="J173" s="5" t="n">
        <v>1</v>
      </c>
      <c r="W173" s="5" t="n">
        <v>3500</v>
      </c>
    </row>
    <row r="174">
      <c r="A174" t="inlineStr">
        <is>
          <t>redalert2mod</t>
        </is>
      </c>
      <c r="B174" t="inlineStr">
        <is>
          <t>tkm_upgrade_natoarsenalupgrade</t>
        </is>
      </c>
      <c r="C174" t="inlineStr">
        <is>
          <t>NATO Arsenal Upgrade</t>
        </is>
      </c>
      <c r="D174" t="inlineStr"/>
      <c r="E174" s="5" t="n"/>
      <c r="F174" s="5" t="n"/>
      <c r="H174" s="5" t="n">
        <v>1</v>
      </c>
      <c r="I174" s="5" t="n">
        <v>1</v>
      </c>
      <c r="J174" s="5" t="n">
        <v>1</v>
      </c>
      <c r="W174" s="5" t="n">
        <v>1000</v>
      </c>
    </row>
    <row r="175">
      <c r="A175" t="inlineStr">
        <is>
          <t>redalert2mod</t>
        </is>
      </c>
      <c r="B175" t="inlineStr">
        <is>
          <t>tkm_upgrade_pointdefensesystem</t>
        </is>
      </c>
      <c r="C175" t="inlineStr">
        <is>
          <t>Point Defense System</t>
        </is>
      </c>
      <c r="D175" t="inlineStr"/>
      <c r="E175" s="5" t="n"/>
      <c r="F175" s="5" t="n"/>
      <c r="H175" s="5" t="n">
        <v>1</v>
      </c>
      <c r="I175" s="5" t="n">
        <v>1</v>
      </c>
      <c r="J175" s="5" t="n">
        <v>1</v>
      </c>
      <c r="W175" s="5" t="n">
        <v>1500</v>
      </c>
    </row>
    <row r="176">
      <c r="A176" t="inlineStr">
        <is>
          <t>redalert2mod</t>
        </is>
      </c>
      <c r="B176" t="inlineStr">
        <is>
          <t>tkm_upgrade_semiautoriflesupgrade</t>
        </is>
      </c>
      <c r="C176" t="inlineStr">
        <is>
          <t>Semi Auto Rifles Upgrade</t>
        </is>
      </c>
      <c r="D176" t="inlineStr"/>
      <c r="E176" s="5" t="n"/>
      <c r="F176" s="5" t="n"/>
      <c r="H176" s="5" t="n">
        <v>1</v>
      </c>
      <c r="I176" s="5" t="n">
        <v>1</v>
      </c>
      <c r="J176" s="5" t="n">
        <v>1</v>
      </c>
      <c r="W176" s="5" t="n">
        <v>1500</v>
      </c>
    </row>
    <row r="177">
      <c r="A177" t="inlineStr">
        <is>
          <t>redalert2mod</t>
        </is>
      </c>
      <c r="B177" t="inlineStr">
        <is>
          <t>tkm_upgrade_technicaltankrocketaddon</t>
        </is>
      </c>
      <c r="C177" t="inlineStr">
        <is>
          <t>Technical Tank Rocket Addon</t>
        </is>
      </c>
      <c r="D177" t="inlineStr"/>
      <c r="E177" s="5" t="n"/>
      <c r="F177" s="5" t="n"/>
      <c r="H177" s="5" t="n">
        <v>1</v>
      </c>
      <c r="I177" s="5" t="n">
        <v>1</v>
      </c>
      <c r="J177" s="5" t="n">
        <v>1</v>
      </c>
      <c r="W177" s="5" t="n">
        <v>1500</v>
      </c>
    </row>
    <row r="178">
      <c r="A178" t="inlineStr">
        <is>
          <t>redalert2mod</t>
        </is>
      </c>
      <c r="B178" t="inlineStr">
        <is>
          <t>tkm_upgrade_titanarmorpiercingbulletsupgrade</t>
        </is>
      </c>
      <c r="C178" t="inlineStr">
        <is>
          <t>Tungsten Core Bullets Upgrade</t>
        </is>
      </c>
      <c r="D178" t="inlineStr"/>
      <c r="E178" s="5" t="n"/>
      <c r="F178" s="5" t="n"/>
      <c r="H178" s="5" t="n">
        <v>1</v>
      </c>
      <c r="I178" s="5" t="n">
        <v>1</v>
      </c>
      <c r="J178" s="5" t="n">
        <v>1</v>
      </c>
      <c r="W178" s="5" t="n">
        <v>2400</v>
      </c>
    </row>
    <row r="179">
      <c r="A179" t="inlineStr">
        <is>
          <t>redalert2mod</t>
        </is>
      </c>
      <c r="B179" t="inlineStr">
        <is>
          <t>tkm_upgrade_titanarsenalupgrade</t>
        </is>
      </c>
      <c r="C179" t="inlineStr">
        <is>
          <t>Titan Arsenal Upgrade</t>
        </is>
      </c>
      <c r="D179" t="inlineStr"/>
      <c r="E179" s="5" t="n"/>
      <c r="F179" s="5" t="n"/>
      <c r="H179" s="5" t="n">
        <v>1</v>
      </c>
      <c r="I179" s="5" t="n">
        <v>1</v>
      </c>
      <c r="J179" s="5" t="n">
        <v>1</v>
      </c>
      <c r="W179" s="5" t="n">
        <v>1000</v>
      </c>
    </row>
    <row r="180">
      <c r="A180" t="inlineStr">
        <is>
          <t>redalert2mod</t>
        </is>
      </c>
      <c r="B180" t="inlineStr">
        <is>
          <t>tkm_upgrade_twinrocketsupgrade</t>
        </is>
      </c>
      <c r="C180" t="inlineStr">
        <is>
          <t>Twin Rockets Upgrade</t>
        </is>
      </c>
      <c r="D180" t="inlineStr"/>
      <c r="E180" s="5" t="n"/>
      <c r="F180" s="5" t="n"/>
      <c r="H180" s="5" t="n">
        <v>1</v>
      </c>
      <c r="I180" s="5" t="n">
        <v>1</v>
      </c>
      <c r="J180" s="5" t="n">
        <v>1</v>
      </c>
      <c r="W180" s="5" t="n">
        <v>1500</v>
      </c>
    </row>
    <row r="181">
      <c r="A181" s="3" t="inlineStr">
        <is>
          <t>PROMOTIONS</t>
        </is>
      </c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</row>
    <row r="182">
      <c r="A182" t="inlineStr">
        <is>
          <t>redalert2mod</t>
        </is>
      </c>
      <c r="B182" t="inlineStr">
        <is>
          <t>tkm_promotion_unlockbattlebus</t>
        </is>
      </c>
      <c r="C182" t="inlineStr">
        <is>
          <t>Unlock Battle Bus</t>
        </is>
      </c>
      <c r="D182" t="inlineStr"/>
      <c r="E182" s="5" t="n"/>
      <c r="F182" s="5" t="n"/>
      <c r="H182" s="5" t="n">
        <v>1</v>
      </c>
      <c r="I182" s="5" t="n">
        <v>1</v>
      </c>
      <c r="J182" s="5" t="n">
        <v>1</v>
      </c>
      <c r="W182" s="5" t="n"/>
    </row>
    <row r="183">
      <c r="A183" t="inlineStr">
        <is>
          <t>redalert2mod</t>
        </is>
      </c>
      <c r="B183" t="inlineStr">
        <is>
          <t>tkm_promotion_unlockdronepodtruck</t>
        </is>
      </c>
      <c r="C183" t="inlineStr">
        <is>
          <t>Unlock Drone Pod Truck</t>
        </is>
      </c>
      <c r="D183" t="inlineStr"/>
      <c r="E183" s="5" t="n"/>
      <c r="F183" s="5" t="n"/>
      <c r="H183" s="5" t="n">
        <v>1</v>
      </c>
      <c r="I183" s="5" t="n">
        <v>1</v>
      </c>
      <c r="J183" s="5" t="n">
        <v>1</v>
      </c>
      <c r="W183" s="5" t="n"/>
    </row>
    <row r="184">
      <c r="A184" t="inlineStr">
        <is>
          <t>redalert2mod</t>
        </is>
      </c>
      <c r="B184" t="inlineStr">
        <is>
          <t>tkm_promotion_unlockflakbus</t>
        </is>
      </c>
      <c r="C184" t="inlineStr">
        <is>
          <t>Unlock Flak Bus</t>
        </is>
      </c>
      <c r="D184" t="inlineStr"/>
      <c r="E184" s="5" t="n"/>
      <c r="F184" s="5" t="n"/>
      <c r="H184" s="5" t="n">
        <v>1</v>
      </c>
      <c r="I184" s="5" t="n">
        <v>1</v>
      </c>
      <c r="J184" s="5" t="n">
        <v>1</v>
      </c>
      <c r="W184" s="5" t="n"/>
    </row>
    <row r="185">
      <c r="A185" t="inlineStr">
        <is>
          <t>redalert2mod</t>
        </is>
      </c>
      <c r="B185" t="inlineStr">
        <is>
          <t>tkm_promotion_unlockjuggernaut</t>
        </is>
      </c>
      <c r="C185" t="inlineStr">
        <is>
          <t>Unlock Juggernaut</t>
        </is>
      </c>
      <c r="D185" t="inlineStr"/>
      <c r="E185" s="5" t="n"/>
      <c r="F185" s="5" t="n"/>
      <c r="H185" s="5" t="n">
        <v>1</v>
      </c>
      <c r="I185" s="5" t="n">
        <v>1</v>
      </c>
      <c r="J185" s="5" t="n">
        <v>1</v>
      </c>
      <c r="W185" s="5" t="n"/>
    </row>
    <row r="186">
      <c r="A186" t="inlineStr">
        <is>
          <t>redalert2mod</t>
        </is>
      </c>
      <c r="B186" t="inlineStr">
        <is>
          <t>tkm_promotion_unlockmedictruck</t>
        </is>
      </c>
      <c r="C186" t="inlineStr">
        <is>
          <t>Unlock Medic Truck</t>
        </is>
      </c>
      <c r="D186" t="inlineStr"/>
      <c r="E186" s="5" t="n"/>
      <c r="F186" s="5" t="n"/>
      <c r="H186" s="5" t="n">
        <v>1</v>
      </c>
      <c r="I186" s="5" t="n">
        <v>1</v>
      </c>
      <c r="J186" s="5" t="n">
        <v>1</v>
      </c>
      <c r="W186" s="5" t="n"/>
    </row>
    <row r="187">
      <c r="A187" t="inlineStr">
        <is>
          <t>redalert2mod</t>
        </is>
      </c>
      <c r="B187" t="inlineStr">
        <is>
          <t>tkm_promotion_unlockradartruck</t>
        </is>
      </c>
      <c r="C187" t="inlineStr">
        <is>
          <t>Unlock Radar Truck</t>
        </is>
      </c>
      <c r="D187" t="inlineStr"/>
      <c r="E187" s="5" t="n"/>
      <c r="F187" s="5" t="n"/>
      <c r="H187" s="5" t="n">
        <v>1</v>
      </c>
      <c r="I187" s="5" t="n">
        <v>1</v>
      </c>
      <c r="J187" s="5" t="n">
        <v>1</v>
      </c>
      <c r="W187" s="5" t="n"/>
    </row>
    <row r="188">
      <c r="A188" t="inlineStr">
        <is>
          <t>redalert2mod</t>
        </is>
      </c>
      <c r="B188" t="inlineStr">
        <is>
          <t>tkm_promotion_unlockrepairtruck</t>
        </is>
      </c>
      <c r="C188" t="inlineStr">
        <is>
          <t>Unlock Repair Truck</t>
        </is>
      </c>
      <c r="D188" t="inlineStr"/>
      <c r="E188" s="5" t="n"/>
      <c r="F188" s="5" t="n"/>
      <c r="H188" s="5" t="n">
        <v>1</v>
      </c>
      <c r="I188" s="5" t="n">
        <v>1</v>
      </c>
      <c r="J188" s="5" t="n">
        <v>1</v>
      </c>
      <c r="W188" s="5" t="n"/>
    </row>
    <row r="189">
      <c r="A189" t="inlineStr">
        <is>
          <t>redalert2mod</t>
        </is>
      </c>
      <c r="B189" t="inlineStr">
        <is>
          <t>tkm_promotion_unlockt30</t>
        </is>
      </c>
      <c r="C189" t="inlineStr">
        <is>
          <t>Unlock T30</t>
        </is>
      </c>
      <c r="D189" t="inlineStr"/>
      <c r="E189" s="5" t="n"/>
      <c r="F189" s="5" t="n"/>
      <c r="H189" s="5" t="n">
        <v>1</v>
      </c>
      <c r="I189" s="5" t="n">
        <v>1</v>
      </c>
      <c r="J189" s="5" t="n">
        <v>1</v>
      </c>
      <c r="W189" s="5" t="n"/>
    </row>
    <row r="190">
      <c r="A190" t="inlineStr">
        <is>
          <t>redalert2mod</t>
        </is>
      </c>
      <c r="B190" t="inlineStr">
        <is>
          <t>tkm_promotion_unlockthebigshiee</t>
        </is>
      </c>
      <c r="C190" t="inlineStr">
        <is>
          <t>Unlock the Big Shiee</t>
        </is>
      </c>
      <c r="D190" t="inlineStr"/>
      <c r="E190" s="5" t="n"/>
      <c r="F190" s="5" t="n"/>
      <c r="H190" s="5" t="n">
        <v>1</v>
      </c>
      <c r="I190" s="5" t="n">
        <v>1</v>
      </c>
      <c r="J190" s="5" t="n">
        <v>1</v>
      </c>
      <c r="W190" s="5" t="n"/>
    </row>
    <row r="191">
      <c r="A191" t="inlineStr">
        <is>
          <t>redalert2mod</t>
        </is>
      </c>
      <c r="B191" t="inlineStr">
        <is>
          <t>tkm_promotion_unlockthesandmarine</t>
        </is>
      </c>
      <c r="C191" t="inlineStr">
        <is>
          <t>Unlock the Sand Marine</t>
        </is>
      </c>
      <c r="D191" t="inlineStr"/>
      <c r="E191" s="5" t="n"/>
      <c r="F191" s="5" t="n"/>
      <c r="H191" s="5" t="n">
        <v>1</v>
      </c>
      <c r="I191" s="5" t="n">
        <v>1</v>
      </c>
      <c r="J191" s="5" t="n">
        <v>1</v>
      </c>
      <c r="W191" s="5" t="n"/>
    </row>
    <row r="192">
      <c r="A192" t="inlineStr">
        <is>
          <t>redalert2mod</t>
        </is>
      </c>
      <c r="B192" t="inlineStr">
        <is>
          <t>tkm_promotion_unlocktrenchtank</t>
        </is>
      </c>
      <c r="C192" t="inlineStr">
        <is>
          <t>Unlock Trench Tank</t>
        </is>
      </c>
      <c r="D192" t="inlineStr"/>
      <c r="E192" s="5" t="n"/>
      <c r="F192" s="5" t="n"/>
      <c r="H192" s="5" t="n">
        <v>1</v>
      </c>
      <c r="I192" s="5" t="n">
        <v>1</v>
      </c>
      <c r="J192" s="5" t="n">
        <v>1</v>
      </c>
      <c r="W192" s="5" t="n"/>
    </row>
    <row r="193">
      <c r="A193" t="inlineStr">
        <is>
          <t>redalert2mod</t>
        </is>
      </c>
      <c r="B193" t="inlineStr">
        <is>
          <t>tkm_promotion_unlockviper</t>
        </is>
      </c>
      <c r="C193" t="inlineStr">
        <is>
          <t>Unlock Viper</t>
        </is>
      </c>
      <c r="D193" t="inlineStr"/>
      <c r="E193" s="5" t="n"/>
      <c r="F193" s="5" t="n"/>
      <c r="H193" s="5" t="n">
        <v>1</v>
      </c>
      <c r="I193" s="5" t="n">
        <v>1</v>
      </c>
      <c r="J193" s="5" t="n">
        <v>1</v>
      </c>
      <c r="W193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194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2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redalert</t>
        </is>
      </c>
      <c r="B3" t="inlineStr">
        <is>
          <t>ra1_allies_alliedsniper</t>
        </is>
      </c>
      <c r="C3" t="inlineStr">
        <is>
          <t>Allied Sniper</t>
        </is>
      </c>
      <c r="D3" t="inlineStr"/>
      <c r="E3" s="5" t="n">
        <v>10000</v>
      </c>
      <c r="F3" s="5" t="n">
        <v>60</v>
      </c>
      <c r="G3" t="inlineStr">
        <is>
          <t>Flak</t>
        </is>
      </c>
      <c r="H3" s="5" t="n">
        <v>1</v>
      </c>
      <c r="I3" s="5" t="n">
        <v>0.75</v>
      </c>
      <c r="J3" s="5" t="n">
        <v>1.25</v>
      </c>
      <c r="O3">
        <f>MAX(O4,O6)</f>
        <v/>
      </c>
      <c r="R3">
        <f>R4+R6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500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LightSniper</t>
        </is>
      </c>
      <c r="C4" s="6" t="inlineStr">
        <is>
          <t>Armament@PRIMARY</t>
        </is>
      </c>
      <c r="K4" s="5" t="n">
        <v>30000</v>
      </c>
      <c r="L4" s="5" t="n">
        <v>100</v>
      </c>
      <c r="M4" s="5" t="n">
        <v>1</v>
      </c>
      <c r="N4" s="5" t="n"/>
      <c r="O4" s="5" t="n">
        <v>9153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^SniperWeapon</t>
        </is>
      </c>
    </row>
    <row r="5">
      <c r="B5" s="6" t="inlineStr">
        <is>
          <t xml:space="preserve">  ↳ LightSniper</t>
        </is>
      </c>
      <c r="C5" s="6" t="inlineStr">
        <is>
          <t>Armament@GARRISONED</t>
        </is>
      </c>
      <c r="K5" s="5" t="n">
        <v>30000</v>
      </c>
      <c r="L5" s="5" t="n">
        <v>100</v>
      </c>
      <c r="M5" s="5" t="n">
        <v>1</v>
      </c>
      <c r="N5" s="5" t="n"/>
      <c r="O5" s="5" t="n">
        <v>9153</v>
      </c>
      <c r="P5" s="5" t="n">
        <v>1</v>
      </c>
      <c r="Q5">
        <f>L5+IF(M5&gt;1,N(N5)*(M5-1),0)</f>
        <v/>
      </c>
      <c r="R5">
        <f>IFERROR(K5*MAX(M5,1)/Q5*P5,0)</f>
        <v/>
      </c>
      <c r="AA5" s="6" t="inlineStr">
        <is>
          <t>^SniperWeapon</t>
        </is>
      </c>
    </row>
    <row r="6">
      <c r="B6" s="6" t="inlineStr">
        <is>
          <t xml:space="preserve">  ↳ CryoLightSniper</t>
        </is>
      </c>
      <c r="C6" s="6" t="inlineStr">
        <is>
          <t>Armament@Upgrade</t>
        </is>
      </c>
      <c r="K6" s="5" t="n">
        <v>30000</v>
      </c>
      <c r="L6" s="5" t="n">
        <v>100</v>
      </c>
      <c r="M6" s="5" t="n">
        <v>1</v>
      </c>
      <c r="N6" s="5" t="n"/>
      <c r="O6" s="5" t="n">
        <v>9153</v>
      </c>
      <c r="P6" s="5" t="n">
        <v>1</v>
      </c>
      <c r="Q6">
        <f>L6+IF(M6&gt;1,N(N6)*(M6-1),0)</f>
        <v/>
      </c>
      <c r="R6">
        <f>IFERROR(K6*MAX(M6,1)/Q6*P6,0)</f>
        <v/>
      </c>
      <c r="AA6" s="6" t="inlineStr">
        <is>
          <t>^SniperWeapon, ^CryoMissileProjectile</t>
        </is>
      </c>
    </row>
    <row r="7">
      <c r="B7" s="6" t="inlineStr">
        <is>
          <t xml:space="preserve">  ↳ CryoLightSniper</t>
        </is>
      </c>
      <c r="C7" s="6" t="inlineStr">
        <is>
          <t>Armament@UpgradeGARRISONED</t>
        </is>
      </c>
      <c r="K7" s="5" t="n">
        <v>30000</v>
      </c>
      <c r="L7" s="5" t="n">
        <v>100</v>
      </c>
      <c r="M7" s="5" t="n">
        <v>1</v>
      </c>
      <c r="N7" s="5" t="n"/>
      <c r="O7" s="5" t="n">
        <v>9153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^SniperWeapon, ^CryoMissileProjectile</t>
        </is>
      </c>
    </row>
    <row r="8">
      <c r="A8" t="inlineStr">
        <is>
          <t>redalert</t>
        </is>
      </c>
      <c r="B8" t="inlineStr">
        <is>
          <t>ra1_allies_machinegunner</t>
        </is>
      </c>
      <c r="C8" t="inlineStr">
        <is>
          <t>Machine Gunner</t>
        </is>
      </c>
      <c r="D8" t="inlineStr"/>
      <c r="E8" s="5" t="n">
        <v>20000</v>
      </c>
      <c r="F8" s="5" t="n">
        <v>50</v>
      </c>
      <c r="G8" t="inlineStr">
        <is>
          <t>Plate</t>
        </is>
      </c>
      <c r="H8" s="5" t="n">
        <v>1</v>
      </c>
      <c r="I8" s="5" t="n">
        <v>0.8</v>
      </c>
      <c r="J8" s="5" t="n">
        <v>1</v>
      </c>
      <c r="O8">
        <f>MAX(O9)</f>
        <v/>
      </c>
      <c r="R8">
        <f>R9</f>
        <v/>
      </c>
      <c r="S8">
        <f>(E8/100000+F8/100+(O8/1000)*J8/5+R8/200)*200*I8*H8</f>
        <v/>
      </c>
      <c r="T8">
        <f>((E8*F8/25000)+((O8/1000)*J8*R8/2.5))*I8*H8</f>
        <v/>
      </c>
      <c r="U8">
        <f>(E8*F8*(O8/1000)*J8*R8*I8*H8)/12500000</f>
        <v/>
      </c>
      <c r="V8">
        <f>(S8+T8+U8)/3</f>
        <v/>
      </c>
      <c r="W8" s="5" t="n">
        <v>400</v>
      </c>
      <c r="X8">
        <f>IFERROR(V8-W8,"")</f>
        <v/>
      </c>
      <c r="Y8">
        <f>IFERROR(ABS(X8)/MAX(W8,1),"")</f>
        <v/>
      </c>
      <c r="Z8">
        <f>IFERROR((W8-(((E8/100000+F8/100+R8/200)*200*I8*H8)+((E8*F8/25000)*I8*H8))/3)/(((J8/5)*200*I8*H8)+((J8*R8/2.5)*I8*H8)+((E8*F8*J8*R8*I8*H8)/12500000))/3*1000,"")</f>
        <v/>
      </c>
    </row>
    <row r="9">
      <c r="B9" s="6" t="inlineStr">
        <is>
          <t xml:space="preserve">  ↳ RAVulcan</t>
        </is>
      </c>
      <c r="C9" s="6" t="inlineStr">
        <is>
          <t>Armament@PRIMARY</t>
        </is>
      </c>
      <c r="K9" s="5" t="n">
        <v>2000</v>
      </c>
      <c r="L9" s="5" t="n">
        <v>48</v>
      </c>
      <c r="M9" s="5" t="n">
        <v>5</v>
      </c>
      <c r="N9" s="5" t="n">
        <v>3</v>
      </c>
      <c r="O9" s="5" t="n">
        <v>5713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>
        <is>
          <t>^SmallArms, ^Chaingun</t>
        </is>
      </c>
    </row>
    <row r="10">
      <c r="B10" s="6" t="inlineStr">
        <is>
          <t xml:space="preserve">  ↳ RAVulcan</t>
        </is>
      </c>
      <c r="C10" s="6" t="inlineStr">
        <is>
          <t>Armament@GARRISONED</t>
        </is>
      </c>
      <c r="K10" s="5" t="n">
        <v>2000</v>
      </c>
      <c r="L10" s="5" t="n">
        <v>48</v>
      </c>
      <c r="M10" s="5" t="n">
        <v>5</v>
      </c>
      <c r="N10" s="5" t="n">
        <v>3</v>
      </c>
      <c r="O10" s="5" t="n">
        <v>5713</v>
      </c>
      <c r="P10" s="5" t="n">
        <v>1</v>
      </c>
      <c r="Q10">
        <f>L10+IF(M10&gt;1,N(N10)*(M10-1),0)</f>
        <v/>
      </c>
      <c r="R10">
        <f>IFERROR(K10*MAX(M10,1)/Q10*P10,0)</f>
        <v/>
      </c>
      <c r="AA10" s="6" t="inlineStr">
        <is>
          <t>^SmallArms, ^Chaingun</t>
        </is>
      </c>
    </row>
    <row r="11">
      <c r="A11" t="inlineStr">
        <is>
          <t>redalert</t>
        </is>
      </c>
      <c r="B11" t="inlineStr">
        <is>
          <t>ra1_allies_mechanic</t>
        </is>
      </c>
      <c r="C11" t="inlineStr">
        <is>
          <t>Mechanic</t>
        </is>
      </c>
      <c r="D11" t="inlineStr"/>
      <c r="E11" s="5" t="n">
        <v>7500</v>
      </c>
      <c r="F11" s="5" t="n">
        <v>50</v>
      </c>
      <c r="G11" t="inlineStr">
        <is>
          <t>None</t>
        </is>
      </c>
      <c r="H11" s="5" t="n">
        <v>1</v>
      </c>
      <c r="I11" s="5" t="n">
        <v>1</v>
      </c>
      <c r="J11" s="5" t="n">
        <v>1</v>
      </c>
      <c r="O11">
        <f>MAX(O12,O13)</f>
        <v/>
      </c>
      <c r="R11">
        <f>R12+R13</f>
        <v/>
      </c>
      <c r="S11">
        <f>(E11/100000+F11/100+(O11/1000)*J11/5+R11/200)*200*I11*H11</f>
        <v/>
      </c>
      <c r="T11">
        <f>((E11*F11/25000)+((O11/1000)*J11*R11/2.5))*I11*H11</f>
        <v/>
      </c>
      <c r="U11">
        <f>(E11*F11*(O11/1000)*J11*R11*I11*H11)/12500000</f>
        <v/>
      </c>
      <c r="V11">
        <f>(S11+T11+U11)/3</f>
        <v/>
      </c>
      <c r="W11" s="5" t="n">
        <v>500</v>
      </c>
      <c r="X11">
        <f>IFERROR(V11-W11,"")</f>
        <v/>
      </c>
      <c r="Y11">
        <f>IFERROR(ABS(X11)/MAX(W11,1),"")</f>
        <v/>
      </c>
      <c r="Z11">
        <f>IFERROR((W11-(((E11/100000+F11/100+R11/200)*200*I11*H11)+((E11*F11/25000)*I11*H11))/3)/(((J11/5)*200*I11*H11)+((J11*R11/2.5)*I11*H11)+((E11*F11*J11*R11*I11*H11)/12500000))/3*1000,"")</f>
        <v/>
      </c>
    </row>
    <row r="12">
      <c r="B12" s="6" t="inlineStr">
        <is>
          <t xml:space="preserve">  ↳ dummytargeting</t>
        </is>
      </c>
      <c r="C12" s="6" t="inlineStr">
        <is>
          <t>Armament@Dummy</t>
        </is>
      </c>
      <c r="K12" s="5" t="n"/>
      <c r="L12" s="5" t="n"/>
      <c r="M12" s="5" t="n">
        <v>1</v>
      </c>
      <c r="N12" s="5" t="n"/>
      <c r="O12" s="5" t="n">
        <v>10000</v>
      </c>
      <c r="P12" s="5" t="n">
        <v>1</v>
      </c>
      <c r="Q12">
        <f>L12+IF(M12&gt;1,N(N12)*(M12-1),0)</f>
        <v/>
      </c>
      <c r="R12">
        <f>IFERROR(K12*MAX(M12,1)/Q12*P12,0)</f>
        <v/>
      </c>
      <c r="AA12" s="6" t="inlineStr"/>
    </row>
    <row r="13">
      <c r="B13" s="6" t="inlineStr">
        <is>
          <t xml:space="preserve">  ↳ Repair</t>
        </is>
      </c>
      <c r="C13" s="6" t="inlineStr">
        <is>
          <t>Armament</t>
        </is>
      </c>
      <c r="K13" s="5" t="n">
        <v>-1</v>
      </c>
      <c r="L13" s="5" t="n">
        <v>75</v>
      </c>
      <c r="M13" s="5" t="n">
        <v>10</v>
      </c>
      <c r="N13" s="5" t="n">
        <v>1</v>
      </c>
      <c r="O13" s="5" t="n">
        <v>5000</v>
      </c>
      <c r="P13" s="5" t="n">
        <v>1</v>
      </c>
      <c r="Q13">
        <f>L13+IF(M13&gt;1,N(N13)*(M13-1),0)</f>
        <v/>
      </c>
      <c r="R13">
        <f>IFERROR(K13*MAX(M13,1)/Q13*P13,0)</f>
        <v/>
      </c>
      <c r="AA13" s="6" t="inlineStr">
        <is>
          <t>^RepairWeapon</t>
        </is>
      </c>
    </row>
    <row r="14">
      <c r="B14" s="6" t="inlineStr">
        <is>
          <t xml:space="preserve">  ↳ Repair</t>
        </is>
      </c>
      <c r="C14" s="6" t="inlineStr">
        <is>
          <t>Armament@GARRISONED</t>
        </is>
      </c>
      <c r="K14" s="5" t="n">
        <v>-1</v>
      </c>
      <c r="L14" s="5" t="n">
        <v>75</v>
      </c>
      <c r="M14" s="5" t="n">
        <v>10</v>
      </c>
      <c r="N14" s="5" t="n">
        <v>1</v>
      </c>
      <c r="O14" s="5" t="n">
        <v>5000</v>
      </c>
      <c r="P14" s="5" t="n">
        <v>1</v>
      </c>
      <c r="Q14">
        <f>L14+IF(M14&gt;1,N(N14)*(M14-1),0)</f>
        <v/>
      </c>
      <c r="R14">
        <f>IFERROR(K14*MAX(M14,1)/Q14*P14,0)</f>
        <v/>
      </c>
      <c r="AA14" s="6" t="inlineStr">
        <is>
          <t>^RepairWeapon</t>
        </is>
      </c>
    </row>
    <row r="15">
      <c r="A15" t="inlineStr">
        <is>
          <t>redalert</t>
        </is>
      </c>
      <c r="B15" t="inlineStr">
        <is>
          <t>ra1_allies_medic</t>
        </is>
      </c>
      <c r="C15" t="inlineStr">
        <is>
          <t>Medic</t>
        </is>
      </c>
      <c r="D15" t="inlineStr"/>
      <c r="E15" s="5" t="n">
        <v>10000</v>
      </c>
      <c r="F15" s="5" t="n">
        <v>50</v>
      </c>
      <c r="G15" t="inlineStr">
        <is>
          <t>None</t>
        </is>
      </c>
      <c r="H15" s="5" t="n">
        <v>1</v>
      </c>
      <c r="I15" s="5" t="n">
        <v>1</v>
      </c>
      <c r="J15" s="5" t="n">
        <v>1</v>
      </c>
      <c r="O15">
        <f>MAX(O16,O17)</f>
        <v/>
      </c>
      <c r="R15">
        <f>R16+R17</f>
        <v/>
      </c>
      <c r="S15">
        <f>(E15/100000+F15/100+(O15/1000)*J15/5+R15/200)*200*I15*H15</f>
        <v/>
      </c>
      <c r="T15">
        <f>((E15*F15/25000)+((O15/1000)*J15*R15/2.5))*I15*H15</f>
        <v/>
      </c>
      <c r="U15">
        <f>(E15*F15*(O15/1000)*J15*R15*I15*H15)/12500000</f>
        <v/>
      </c>
      <c r="V15">
        <f>(S15+T15+U15)/3</f>
        <v/>
      </c>
      <c r="W15" s="5" t="n">
        <v>500</v>
      </c>
      <c r="X15">
        <f>IFERROR(V15-W15,"")</f>
        <v/>
      </c>
      <c r="Y15">
        <f>IFERROR(ABS(X15)/MAX(W15,1),"")</f>
        <v/>
      </c>
      <c r="Z15">
        <f>IFERROR((W15-(((E15/100000+F15/100+R15/200)*200*I15*H15)+((E15*F15/25000)*I15*H15))/3)/(((J15/5)*200*I15*H15)+((J15*R15/2.5)*I15*H15)+((E15*F15*J15*R15*I15*H15)/12500000))/3*1000,"")</f>
        <v/>
      </c>
    </row>
    <row r="16">
      <c r="B16" s="6" t="inlineStr">
        <is>
          <t xml:space="preserve">  ↳ dummytargeting</t>
        </is>
      </c>
      <c r="C16" s="6" t="inlineStr">
        <is>
          <t>Armament@Dummy</t>
        </is>
      </c>
      <c r="K16" s="5" t="n"/>
      <c r="L16" s="5" t="n"/>
      <c r="M16" s="5" t="n">
        <v>1</v>
      </c>
      <c r="N16" s="5" t="n"/>
      <c r="O16" s="5" t="n">
        <v>10000</v>
      </c>
      <c r="P16" s="5" t="n">
        <v>1</v>
      </c>
      <c r="Q16">
        <f>L16+IF(M16&gt;1,N(N16)*(M16-1),0)</f>
        <v/>
      </c>
      <c r="R16">
        <f>IFERROR(K16*MAX(M16,1)/Q16*P16,0)</f>
        <v/>
      </c>
      <c r="AA16" s="6" t="inlineStr"/>
    </row>
    <row r="17">
      <c r="B17" s="6" t="inlineStr">
        <is>
          <t xml:space="preserve">  ↳ Heal</t>
        </is>
      </c>
      <c r="C17" s="6" t="inlineStr">
        <is>
          <t>Armament</t>
        </is>
      </c>
      <c r="K17" s="5" t="n">
        <v>-1</v>
      </c>
      <c r="L17" s="5" t="n">
        <v>75</v>
      </c>
      <c r="M17" s="5" t="n">
        <v>1</v>
      </c>
      <c r="N17" s="5" t="n"/>
      <c r="O17" s="5" t="n">
        <v>5000</v>
      </c>
      <c r="P17" s="5" t="n">
        <v>1</v>
      </c>
      <c r="Q17">
        <f>L17+IF(M17&gt;1,N(N17)*(M17-1),0)</f>
        <v/>
      </c>
      <c r="R17">
        <f>IFERROR(K17*MAX(M17,1)/Q17*P17,0)</f>
        <v/>
      </c>
      <c r="AA17" s="6" t="inlineStr">
        <is>
          <t>^HealingWeapon</t>
        </is>
      </c>
    </row>
    <row r="18">
      <c r="B18" s="6" t="inlineStr">
        <is>
          <t xml:space="preserve">  ↳ Heal</t>
        </is>
      </c>
      <c r="C18" s="6" t="inlineStr">
        <is>
          <t>Armament@GARRISONED</t>
        </is>
      </c>
      <c r="K18" s="5" t="n">
        <v>-1</v>
      </c>
      <c r="L18" s="5" t="n">
        <v>75</v>
      </c>
      <c r="M18" s="5" t="n">
        <v>1</v>
      </c>
      <c r="N18" s="5" t="n"/>
      <c r="O18" s="5" t="n">
        <v>5000</v>
      </c>
      <c r="P18" s="5" t="n">
        <v>1</v>
      </c>
      <c r="Q18">
        <f>L18+IF(M18&gt;1,N(N18)*(M18-1),0)</f>
        <v/>
      </c>
      <c r="R18">
        <f>IFERROR(K18*MAX(M18,1)/Q18*P18,0)</f>
        <v/>
      </c>
      <c r="AA18" s="6" t="inlineStr">
        <is>
          <t>^HealingWeapon</t>
        </is>
      </c>
    </row>
    <row r="19">
      <c r="A19" t="inlineStr">
        <is>
          <t>redalert</t>
        </is>
      </c>
      <c r="B19" t="inlineStr">
        <is>
          <t>ra1_allies_raspy</t>
        </is>
      </c>
      <c r="C19" t="inlineStr">
        <is>
          <t>Spy</t>
        </is>
      </c>
      <c r="D19" t="inlineStr"/>
      <c r="E19" s="5" t="n">
        <v>5000</v>
      </c>
      <c r="F19" s="5" t="n">
        <v>60</v>
      </c>
      <c r="G19" t="inlineStr">
        <is>
          <t>None</t>
        </is>
      </c>
      <c r="H19" s="5" t="n">
        <v>1</v>
      </c>
      <c r="I19" s="5" t="n">
        <v>1</v>
      </c>
      <c r="J19" s="5" t="n">
        <v>1</v>
      </c>
      <c r="O19">
        <f>MAX(O20)</f>
        <v/>
      </c>
      <c r="R19">
        <f>R20</f>
        <v/>
      </c>
      <c r="S19">
        <f>(E19/100000+F19/100+(O19/1000)*J19/5+R19/200)*200*I19*H19</f>
        <v/>
      </c>
      <c r="T19">
        <f>((E19*F19/25000)+((O19/1000)*J19*R19/2.5))*I19*H19</f>
        <v/>
      </c>
      <c r="U19">
        <f>(E19*F19*(O19/1000)*J19*R19*I19*H19)/12500000</f>
        <v/>
      </c>
      <c r="V19">
        <f>(S19+T19+U19)/3</f>
        <v/>
      </c>
      <c r="W19" s="5" t="n">
        <v>500</v>
      </c>
      <c r="X19">
        <f>IFERROR(V19-W19,"")</f>
        <v/>
      </c>
      <c r="Y19">
        <f>IFERROR(ABS(X19)/MAX(W19,1),"")</f>
        <v/>
      </c>
      <c r="Z19">
        <f>IFERROR((W19-(((E19/100000+F19/100+R19/200)*200*I19*H19)+((E19*F19/25000)*I19*H19))/3)/(((J19/5)*200*I19*H19)+((J19*R19/2.5)*I19*H19)+((E19*F19*J19*R19*I19*H19)/12500000))/3*1000,"")</f>
        <v/>
      </c>
    </row>
    <row r="20">
      <c r="B20" s="6" t="inlineStr">
        <is>
          <t xml:space="preserve">  ↳ SilencedPPK</t>
        </is>
      </c>
      <c r="C20" s="6" t="inlineStr">
        <is>
          <t>Armament</t>
        </is>
      </c>
      <c r="K20" s="5" t="n">
        <v>15000</v>
      </c>
      <c r="L20" s="5" t="n">
        <v>80</v>
      </c>
      <c r="M20" s="5" t="n">
        <v>1</v>
      </c>
      <c r="N20" s="5" t="n"/>
      <c r="O20" s="5" t="n">
        <v>2560</v>
      </c>
      <c r="P20" s="5" t="n">
        <v>1</v>
      </c>
      <c r="Q20">
        <f>L20+IF(M20&gt;1,N(N20)*(M20-1),0)</f>
        <v/>
      </c>
      <c r="R20">
        <f>IFERROR(K20*MAX(M20,1)/Q20*P20,0)</f>
        <v/>
      </c>
      <c r="AA20" s="6" t="inlineStr">
        <is>
          <t>^SnipeWeapon</t>
        </is>
      </c>
    </row>
    <row r="21">
      <c r="A21" t="inlineStr">
        <is>
          <t>redalert</t>
        </is>
      </c>
      <c r="B21" t="inlineStr">
        <is>
          <t>ra1_allies_tanya</t>
        </is>
      </c>
      <c r="C21" t="inlineStr">
        <is>
          <t>Tanya</t>
        </is>
      </c>
      <c r="D21" t="inlineStr"/>
      <c r="E21" s="5" t="n">
        <v>44000</v>
      </c>
      <c r="F21" s="5" t="n">
        <v>77</v>
      </c>
      <c r="G21" t="inlineStr">
        <is>
          <t>Heroic</t>
        </is>
      </c>
      <c r="H21" s="5" t="n">
        <v>0.75</v>
      </c>
      <c r="I21" s="5" t="n">
        <v>1</v>
      </c>
      <c r="J21" s="5" t="n">
        <v>1.25</v>
      </c>
      <c r="O21">
        <f>MAX(O22,O24,O25)</f>
        <v/>
      </c>
      <c r="R21">
        <f>R22+R24+R25</f>
        <v/>
      </c>
      <c r="S21">
        <f>(E21/100000+F21/100+(O21/1000)*J21/5+R21/200)*200*I21*H21</f>
        <v/>
      </c>
      <c r="T21">
        <f>((E21*F21/25000)+((O21/1000)*J21*R21/2.5))*I21*H21</f>
        <v/>
      </c>
      <c r="U21">
        <f>(E21*F21*(O21/1000)*J21*R21*I21*H21)/12500000</f>
        <v/>
      </c>
      <c r="V21">
        <f>(S21+T21+U21)/3</f>
        <v/>
      </c>
      <c r="W21" s="5" t="n">
        <v>3000</v>
      </c>
      <c r="X21">
        <f>IFERROR(V21-W21,"")</f>
        <v/>
      </c>
      <c r="Y21">
        <f>IFERROR(ABS(X21)/MAX(W21,1),"")</f>
        <v/>
      </c>
      <c r="Z21">
        <f>IFERROR((W21-(((E21/100000+F21/100+R21/200)*200*I21*H21)+((E21*F21/25000)*I21*H21))/3)/(((J21/5)*200*I21*H21)+((J21*R21/2.5)*I21*H21)+((E21*F21*J21*R21*I21*H21)/12500000))/3*1000,"")</f>
        <v/>
      </c>
    </row>
    <row r="22">
      <c r="B22" s="6" t="inlineStr">
        <is>
          <t xml:space="preserve">  ↳ Colt45</t>
        </is>
      </c>
      <c r="C22" s="6" t="inlineStr">
        <is>
          <t>Armament@PRIMARY</t>
        </is>
      </c>
      <c r="K22" s="5" t="n">
        <v>7777</v>
      </c>
      <c r="L22" s="5" t="n">
        <v>7</v>
      </c>
      <c r="M22" s="5" t="n">
        <v>2</v>
      </c>
      <c r="N22" s="5" t="n">
        <v>0</v>
      </c>
      <c r="O22" s="5" t="n">
        <v>7777</v>
      </c>
      <c r="P22" s="5" t="n">
        <v>1</v>
      </c>
      <c r="Q22">
        <f>L22+IF(M22&gt;1,N(N22)*(M22-1),0)</f>
        <v/>
      </c>
      <c r="R22">
        <f>IFERROR(K22*MAX(M22,1)/Q22*P22,0)</f>
        <v/>
      </c>
      <c r="AA22" s="6" t="inlineStr">
        <is>
          <t>^SniperWeapon</t>
        </is>
      </c>
    </row>
    <row r="23">
      <c r="B23" s="6" t="inlineStr">
        <is>
          <t xml:space="preserve">  ↳ Colt45</t>
        </is>
      </c>
      <c r="C23" s="6" t="inlineStr">
        <is>
          <t>Armament@GARRISONED</t>
        </is>
      </c>
      <c r="K23" s="5" t="n">
        <v>7777</v>
      </c>
      <c r="L23" s="5" t="n">
        <v>7</v>
      </c>
      <c r="M23" s="5" t="n">
        <v>2</v>
      </c>
      <c r="N23" s="5" t="n">
        <v>0</v>
      </c>
      <c r="O23" s="5" t="n">
        <v>7777</v>
      </c>
      <c r="P23" s="5" t="n">
        <v>1</v>
      </c>
      <c r="Q23">
        <f>L23+IF(M23&gt;1,N(N23)*(M23-1),0)</f>
        <v/>
      </c>
      <c r="R23">
        <f>IFERROR(K23*MAX(M23,1)/Q23*P23,0)</f>
        <v/>
      </c>
      <c r="AA23" s="6" t="inlineStr">
        <is>
          <t>^SniperWeapon</t>
        </is>
      </c>
    </row>
    <row r="24">
      <c r="B24" s="6" t="inlineStr">
        <is>
          <t xml:space="preserve">  ↳ TanyaAttach</t>
        </is>
      </c>
      <c r="C24" s="6" t="inlineStr">
        <is>
          <t>Armament@c4</t>
        </is>
      </c>
      <c r="K24" s="5" t="n"/>
      <c r="L24" s="5" t="n">
        <v>20</v>
      </c>
      <c r="M24" s="5" t="n">
        <v>1</v>
      </c>
      <c r="N24" s="5" t="n"/>
      <c r="O24" s="5" t="n">
        <v>2000</v>
      </c>
      <c r="P24" s="5" t="n">
        <v>1</v>
      </c>
      <c r="Q24">
        <f>L24+IF(M24&gt;1,N(N24)*(M24-1),0)</f>
        <v/>
      </c>
      <c r="R24">
        <f>IFERROR(K24*MAX(M24,1)/Q24*P24,0)</f>
        <v/>
      </c>
      <c r="AA24" s="6" t="inlineStr">
        <is>
          <t>IvanAttach</t>
        </is>
      </c>
    </row>
    <row r="25">
      <c r="B25" s="6" t="inlineStr">
        <is>
          <t xml:space="preserve">  ↳ GenericC4</t>
        </is>
      </c>
      <c r="C25" s="6" t="inlineStr">
        <is>
          <t>Armament@c4building</t>
        </is>
      </c>
      <c r="K25" s="5" t="n"/>
      <c r="L25" s="5" t="n">
        <v>20</v>
      </c>
      <c r="M25" s="5" t="n">
        <v>1</v>
      </c>
      <c r="N25" s="5" t="n"/>
      <c r="O25" s="5" t="n">
        <v>2000</v>
      </c>
      <c r="P25" s="5" t="n">
        <v>1</v>
      </c>
      <c r="Q25">
        <f>L25+IF(M25&gt;1,N(N25)*(M25-1),0)</f>
        <v/>
      </c>
      <c r="R25">
        <f>IFERROR(K25*MAX(M25,1)/Q25*P25,0)</f>
        <v/>
      </c>
      <c r="AA25" s="6" t="inlineStr"/>
    </row>
    <row r="26">
      <c r="A26" s="3" t="inlineStr">
        <is>
          <t>VEHICLES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>
      <c r="A27" t="inlineStr">
        <is>
          <t>redalert</t>
        </is>
      </c>
      <c r="B27" t="inlineStr">
        <is>
          <t>ra1_allies_alliedartillery</t>
        </is>
      </c>
      <c r="C27" t="inlineStr">
        <is>
          <t>Allied Artillery</t>
        </is>
      </c>
      <c r="D27" t="inlineStr"/>
      <c r="E27" s="5" t="n">
        <v>20000</v>
      </c>
      <c r="F27" s="5" t="n">
        <v>60</v>
      </c>
      <c r="G27" t="inlineStr">
        <is>
          <t>Light</t>
        </is>
      </c>
      <c r="H27" s="5" t="n">
        <v>1</v>
      </c>
      <c r="I27" s="5" t="n">
        <v>0.5</v>
      </c>
      <c r="J27" s="5" t="n">
        <v>1</v>
      </c>
      <c r="O27">
        <f>MAX(O28,O29)</f>
        <v/>
      </c>
      <c r="R27">
        <f>R28+R29</f>
        <v/>
      </c>
      <c r="S27">
        <f>(E27/100000+F27/100+(O27/1000)*J27/5+R27/200)*200*I27*H27</f>
        <v/>
      </c>
      <c r="T27">
        <f>((E27*F27/25000)+((O27/1000)*J27*R27/2.5))*I27*H27</f>
        <v/>
      </c>
      <c r="U27">
        <f>(E27*F27*(O27/1000)*J27*R27*I27*H27)/12500000</f>
        <v/>
      </c>
      <c r="V27">
        <f>(S27+T27+U27)/3</f>
        <v/>
      </c>
      <c r="W27" s="5" t="n">
        <v>600</v>
      </c>
      <c r="X27">
        <f>IFERROR(V27-W27,"")</f>
        <v/>
      </c>
      <c r="Y27">
        <f>IFERROR(ABS(X27)/MAX(W27,1),"")</f>
        <v/>
      </c>
      <c r="Z27">
        <f>IFERROR((W27-(((E27/100000+F27/100+R27/200)*200*I27*H27)+((E27*F27/25000)*I27*H27))/3)/(((J27/5)*200*I27*H27)+((J27*R27/2.5)*I27*H27)+((E27*F27*J27*R27*I27*H27)/12500000))/3*1000,"")</f>
        <v/>
      </c>
    </row>
    <row r="28">
      <c r="B28" s="6" t="inlineStr">
        <is>
          <t xml:space="preserve">  ↳ 155mm</t>
        </is>
      </c>
      <c r="C28" s="6" t="inlineStr">
        <is>
          <t>Armament</t>
        </is>
      </c>
      <c r="K28" s="5" t="n">
        <v>10000</v>
      </c>
      <c r="L28" s="5" t="n">
        <v>80</v>
      </c>
      <c r="M28" s="5" t="n">
        <v>1</v>
      </c>
      <c r="N28" s="5" t="n"/>
      <c r="O28" s="5" t="n">
        <v>13350</v>
      </c>
      <c r="P28" s="5" t="n">
        <v>1</v>
      </c>
      <c r="Q28">
        <f>L28+IF(M28&gt;1,N(N28)*(M28-1),0)</f>
        <v/>
      </c>
      <c r="R28">
        <f>IFERROR(K28*MAX(M28,1)/Q28*P28,0)</f>
        <v/>
      </c>
      <c r="AA28" s="6" t="inlineStr">
        <is>
          <t>^HeavyCannon, ^ShrapnelWeapon, ^Grenade</t>
        </is>
      </c>
    </row>
    <row r="29">
      <c r="B29" s="6" t="inlineStr">
        <is>
          <t xml:space="preserve">  ↳ 155mmCryo</t>
        </is>
      </c>
      <c r="C29" s="6" t="inlineStr">
        <is>
          <t>Armament@Upgrade</t>
        </is>
      </c>
      <c r="K29" s="5" t="n">
        <v>10000</v>
      </c>
      <c r="L29" s="5" t="n">
        <v>80</v>
      </c>
      <c r="M29" s="5" t="n">
        <v>1</v>
      </c>
      <c r="N29" s="5" t="n"/>
      <c r="O29" s="5" t="n">
        <v>13350</v>
      </c>
      <c r="P29" s="5" t="n">
        <v>1</v>
      </c>
      <c r="Q29">
        <f>L29+IF(M29&gt;1,N(N29)*(M29-1),0)</f>
        <v/>
      </c>
      <c r="R29">
        <f>IFERROR(K29*MAX(M29,1)/Q29*P29,0)</f>
        <v/>
      </c>
      <c r="AA29" s="6" t="inlineStr">
        <is>
          <t>^HeavyCannon, ^ShrapnelWeapon, ^Grenade, ^CryoMissileProjectile</t>
        </is>
      </c>
    </row>
    <row r="30">
      <c r="A30" t="inlineStr">
        <is>
          <t>redalert</t>
        </is>
      </c>
      <c r="B30" t="inlineStr">
        <is>
          <t>ra1_allies_alliedheavyaatank</t>
        </is>
      </c>
      <c r="C30" t="inlineStr">
        <is>
          <t>Allied Heavy AA Tank</t>
        </is>
      </c>
      <c r="D30" t="inlineStr"/>
      <c r="E30" s="5" t="n">
        <v>125000</v>
      </c>
      <c r="F30" s="5" t="n">
        <v>75</v>
      </c>
      <c r="G30" t="inlineStr">
        <is>
          <t>Heavy</t>
        </is>
      </c>
      <c r="H30" s="5" t="n">
        <v>1</v>
      </c>
      <c r="I30" s="5" t="n">
        <v>1</v>
      </c>
      <c r="J30" s="5" t="n">
        <v>1.25</v>
      </c>
      <c r="O30">
        <f>MAX(O31,O32)</f>
        <v/>
      </c>
      <c r="R30">
        <f>R31+R32</f>
        <v/>
      </c>
      <c r="S30">
        <f>(E30/100000+F30/100+(O30/1000)*J30/5+R30/200)*200*I30*H30</f>
        <v/>
      </c>
      <c r="T30">
        <f>((E30*F30/25000)+((O30/1000)*J30*R30/2.5))*I30*H30</f>
        <v/>
      </c>
      <c r="U30">
        <f>(E30*F30*(O30/1000)*J30*R30*I30*H30)/12500000</f>
        <v/>
      </c>
      <c r="V30">
        <f>(S30+T30+U30)/3</f>
        <v/>
      </c>
      <c r="W30" s="5" t="n">
        <v>1250</v>
      </c>
      <c r="X30">
        <f>IFERROR(V30-W30,"")</f>
        <v/>
      </c>
      <c r="Y30">
        <f>IFERROR(ABS(X30)/MAX(W30,1),"")</f>
        <v/>
      </c>
      <c r="Z30">
        <f>IFERROR((W30-(((E30/100000+F30/100+R30/200)*200*I30*H30)+((E30*F30/25000)*I30*H30))/3)/(((J30/5)*200*I30*H30)+((J30*R30/2.5)*I30*H30)+((E30*F30*J30*R30*I30*H30)/12500000))/3*1000,"")</f>
        <v/>
      </c>
    </row>
    <row r="31">
      <c r="B31" s="6" t="inlineStr">
        <is>
          <t xml:space="preserve">  ↳ HeavyAATankCannonAG</t>
        </is>
      </c>
      <c r="C31" s="6" t="inlineStr">
        <is>
          <t>Armament@AG</t>
        </is>
      </c>
      <c r="K31" s="5" t="n">
        <v>2000</v>
      </c>
      <c r="L31" s="5" t="n">
        <v>10</v>
      </c>
      <c r="M31" s="5" t="n">
        <v>1</v>
      </c>
      <c r="N31" s="5" t="n"/>
      <c r="O31" s="5" t="n">
        <v>4746</v>
      </c>
      <c r="P31" s="5" t="n">
        <v>1</v>
      </c>
      <c r="Q31">
        <f>L31+IF(M31&gt;1,N(N31)*(M31-1),0)</f>
        <v/>
      </c>
      <c r="R31">
        <f>IFERROR(K31*MAX(M31,1)/Q31*P31,0)</f>
        <v/>
      </c>
      <c r="AA31" s="6" t="inlineStr">
        <is>
          <t>^LightMissile, ^FlakWeapon, ^SmallArms, ^Chaingun</t>
        </is>
      </c>
    </row>
    <row r="32">
      <c r="B32" s="6" t="inlineStr">
        <is>
          <t xml:space="preserve">  ↳ HeavyAATankCannonAA</t>
        </is>
      </c>
      <c r="C32" s="6" t="inlineStr">
        <is>
          <t>Armament@AA</t>
        </is>
      </c>
      <c r="K32" s="5" t="n">
        <v>2000</v>
      </c>
      <c r="L32" s="5" t="n">
        <v>10</v>
      </c>
      <c r="M32" s="5" t="n">
        <v>1</v>
      </c>
      <c r="N32" s="5" t="n"/>
      <c r="O32" s="5" t="n">
        <v>7119</v>
      </c>
      <c r="P32" s="5" t="n">
        <v>1</v>
      </c>
      <c r="Q32">
        <f>L32+IF(M32&gt;1,N(N32)*(M32-1),0)</f>
        <v/>
      </c>
      <c r="R32">
        <f>IFERROR(K32*MAX(M32,1)/Q32*P32,0)</f>
        <v/>
      </c>
      <c r="AA32" s="6" t="inlineStr">
        <is>
          <t>^LightMissile, ^FlakWeapon, ^SmallArms, ^Chaingun</t>
        </is>
      </c>
    </row>
    <row r="33">
      <c r="A33" t="inlineStr">
        <is>
          <t>redalert</t>
        </is>
      </c>
      <c r="B33" t="inlineStr">
        <is>
          <t>ra1_allies_alliedlighttank</t>
        </is>
      </c>
      <c r="C33" t="inlineStr">
        <is>
          <t>Allied Light Tank</t>
        </is>
      </c>
      <c r="D33" t="inlineStr"/>
      <c r="E33" s="5" t="n">
        <v>50000</v>
      </c>
      <c r="F33" s="5" t="n">
        <v>120</v>
      </c>
      <c r="G33" t="inlineStr">
        <is>
          <t>Medium</t>
        </is>
      </c>
      <c r="H33" s="5" t="n">
        <v>1</v>
      </c>
      <c r="I33" s="5" t="n">
        <v>1</v>
      </c>
      <c r="J33" s="5" t="n">
        <v>1</v>
      </c>
      <c r="O33">
        <f>MAX(O34)</f>
        <v/>
      </c>
      <c r="R33">
        <f>R34</f>
        <v/>
      </c>
      <c r="S33">
        <f>(E33/100000+F33/100+(O33/1000)*J33/5+R33/200)*200*I33*H33</f>
        <v/>
      </c>
      <c r="T33">
        <f>((E33*F33/25000)+((O33/1000)*J33*R33/2.5))*I33*H33</f>
        <v/>
      </c>
      <c r="U33">
        <f>(E33*F33*(O33/1000)*J33*R33*I33*H33)/12500000</f>
        <v/>
      </c>
      <c r="V33">
        <f>(S33+T33+U33)/3</f>
        <v/>
      </c>
      <c r="W33" s="5" t="n">
        <v>500</v>
      </c>
      <c r="X33">
        <f>IFERROR(V33-W33,"")</f>
        <v/>
      </c>
      <c r="Y33">
        <f>IFERROR(ABS(X33)/MAX(W33,1),"")</f>
        <v/>
      </c>
      <c r="Z33">
        <f>IFERROR((W33-(((E33/100000+F33/100+R33/200)*200*I33*H33)+((E33*F33/25000)*I33*H33))/3)/(((J33/5)*200*I33*H33)+((J33*R33/2.5)*I33*H33)+((E33*F33*J33*R33*I33*H33)/12500000))/3*1000,"")</f>
        <v/>
      </c>
    </row>
    <row r="34">
      <c r="B34" s="6" t="inlineStr">
        <is>
          <t xml:space="preserve">  ↳ 25mm</t>
        </is>
      </c>
      <c r="C34" s="6" t="inlineStr">
        <is>
          <t>Armament</t>
        </is>
      </c>
      <c r="K34" s="5" t="n">
        <v>2000</v>
      </c>
      <c r="L34" s="5" t="n">
        <v>37</v>
      </c>
      <c r="M34" s="5" t="n">
        <v>1</v>
      </c>
      <c r="N34" s="5" t="n"/>
      <c r="O34" s="5" t="n">
        <v>4720</v>
      </c>
      <c r="P34" s="5" t="n">
        <v>1</v>
      </c>
      <c r="Q34">
        <f>L34+IF(M34&gt;1,N(N34)*(M34-1),0)</f>
        <v/>
      </c>
      <c r="R34">
        <f>IFERROR(K34*MAX(M34,1)/Q34*P34,0)</f>
        <v/>
      </c>
      <c r="AA34" s="6" t="inlineStr">
        <is>
          <t>^Grenade, ^ShrapnelWeapon, ^LightFlameWeapon, ^MediumChemicalWeapon, ^TankDestroyerCannon, ^MediumCannon</t>
        </is>
      </c>
    </row>
    <row r="35">
      <c r="A35" t="inlineStr">
        <is>
          <t>redalert</t>
        </is>
      </c>
      <c r="B35" t="inlineStr">
        <is>
          <t>ra1_allies_alliedmediumtank</t>
        </is>
      </c>
      <c r="C35" t="inlineStr">
        <is>
          <t>Allied Medium Tank</t>
        </is>
      </c>
      <c r="D35" t="inlineStr"/>
      <c r="E35" s="5" t="n">
        <v>90000</v>
      </c>
      <c r="F35" s="5" t="n">
        <v>100</v>
      </c>
      <c r="G35" t="inlineStr">
        <is>
          <t>Medium</t>
        </is>
      </c>
      <c r="H35" s="5" t="n">
        <v>1</v>
      </c>
      <c r="I35" s="5" t="n">
        <v>1</v>
      </c>
      <c r="J35" s="5" t="n">
        <v>1</v>
      </c>
      <c r="O35">
        <f>MAX(O36)</f>
        <v/>
      </c>
      <c r="R35">
        <f>R36</f>
        <v/>
      </c>
      <c r="S35">
        <f>(E35/100000+F35/100+(O35/1000)*J35/5+R35/200)*200*I35*H35</f>
        <v/>
      </c>
      <c r="T35">
        <f>((E35*F35/25000)+((O35/1000)*J35*R35/2.5))*I35*H35</f>
        <v/>
      </c>
      <c r="U35">
        <f>(E35*F35*(O35/1000)*J35*R35*I35*H35)/12500000</f>
        <v/>
      </c>
      <c r="V35">
        <f>(S35+T35+U35)/3</f>
        <v/>
      </c>
      <c r="W35" s="5" t="n">
        <v>700</v>
      </c>
      <c r="X35">
        <f>IFERROR(V35-W35,"")</f>
        <v/>
      </c>
      <c r="Y35">
        <f>IFERROR(ABS(X35)/MAX(W35,1),"")</f>
        <v/>
      </c>
      <c r="Z35">
        <f>IFERROR((W35-(((E35/100000+F35/100+R35/200)*200*I35*H35)+((E35*F35/25000)*I35*H35))/3)/(((J35/5)*200*I35*H35)+((J35*R35/2.5)*I35*H35)+((E35*F35*J35*R35*I35*H35)/12500000))/3*1000,"")</f>
        <v/>
      </c>
    </row>
    <row r="36">
      <c r="B36" s="6" t="inlineStr">
        <is>
          <t xml:space="preserve">  ↳ 90mm</t>
        </is>
      </c>
      <c r="C36" s="6" t="inlineStr">
        <is>
          <t>Armament</t>
        </is>
      </c>
      <c r="K36" s="5" t="n">
        <v>8000</v>
      </c>
      <c r="L36" s="5" t="n">
        <v>47</v>
      </c>
      <c r="M36" s="5" t="n">
        <v>1</v>
      </c>
      <c r="N36" s="5" t="n"/>
      <c r="O36" s="5" t="n">
        <v>5159</v>
      </c>
      <c r="P36" s="5" t="n">
        <v>1</v>
      </c>
      <c r="Q36">
        <f>L36+IF(M36&gt;1,N(N36)*(M36-1),0)</f>
        <v/>
      </c>
      <c r="R36">
        <f>IFERROR(K36*MAX(M36,1)/Q36*P36,0)</f>
        <v/>
      </c>
      <c r="AA36" s="6" t="inlineStr">
        <is>
          <t>^MediumCannon</t>
        </is>
      </c>
    </row>
    <row r="37">
      <c r="A37" t="inlineStr">
        <is>
          <t>redalert</t>
        </is>
      </c>
      <c r="B37" t="inlineStr">
        <is>
          <t>ra1_allies_alliedmobileconstructionvehicle</t>
        </is>
      </c>
      <c r="C37" t="inlineStr">
        <is>
          <t>Allied Mobile Construction Vehicle</t>
        </is>
      </c>
      <c r="D37" t="inlineStr"/>
      <c r="E37" s="5" t="n">
        <v>300000</v>
      </c>
      <c r="F37" s="5" t="n">
        <v>75</v>
      </c>
      <c r="G37" t="inlineStr">
        <is>
          <t>Medium</t>
        </is>
      </c>
      <c r="H37" s="5" t="n">
        <v>1</v>
      </c>
      <c r="I37" s="5" t="n">
        <v>1</v>
      </c>
      <c r="J37" s="5" t="n">
        <v>1</v>
      </c>
      <c r="W37" s="5" t="n">
        <v>5000</v>
      </c>
    </row>
    <row r="38">
      <c r="A38" t="inlineStr">
        <is>
          <t>redalert</t>
        </is>
      </c>
      <c r="B38" t="inlineStr">
        <is>
          <t>ra1_allies_alliedoretruck</t>
        </is>
      </c>
      <c r="C38" t="inlineStr">
        <is>
          <t>Allied Ore Truck</t>
        </is>
      </c>
      <c r="D38" t="inlineStr"/>
      <c r="E38" s="5" t="n">
        <v>100000</v>
      </c>
      <c r="F38" s="5" t="n">
        <v>90</v>
      </c>
      <c r="G38" t="inlineStr">
        <is>
          <t>Medium</t>
        </is>
      </c>
      <c r="H38" s="5" t="n">
        <v>1</v>
      </c>
      <c r="I38" s="5" t="n">
        <v>1</v>
      </c>
      <c r="J38" s="5" t="n">
        <v>1</v>
      </c>
      <c r="W38" s="5" t="n">
        <v>1000</v>
      </c>
    </row>
    <row r="39">
      <c r="A39" t="inlineStr">
        <is>
          <t>redalert</t>
        </is>
      </c>
      <c r="B39" t="inlineStr">
        <is>
          <t>ra1_allies_alliedtankdestroyer</t>
        </is>
      </c>
      <c r="C39" t="inlineStr">
        <is>
          <t>Allied Tank Destroyer</t>
        </is>
      </c>
      <c r="D39" t="inlineStr"/>
      <c r="E39" s="5" t="n">
        <v>120000</v>
      </c>
      <c r="F39" s="5" t="n">
        <v>60</v>
      </c>
      <c r="G39" t="inlineStr">
        <is>
          <t>Medium</t>
        </is>
      </c>
      <c r="H39" s="5" t="n">
        <v>1</v>
      </c>
      <c r="I39" s="5" t="n">
        <v>1</v>
      </c>
      <c r="J39" s="5" t="n">
        <v>1</v>
      </c>
      <c r="O39">
        <f>MAX(O40)</f>
        <v/>
      </c>
      <c r="R39">
        <f>R40</f>
        <v/>
      </c>
      <c r="S39">
        <f>(E39/100000+F39/100+(O39/1000)*J39/5+R39/200)*200*I39*H39</f>
        <v/>
      </c>
      <c r="T39">
        <f>((E39*F39/25000)+((O39/1000)*J39*R39/2.5))*I39*H39</f>
        <v/>
      </c>
      <c r="U39">
        <f>(E39*F39*(O39/1000)*J39*R39*I39*H39)/12500000</f>
        <v/>
      </c>
      <c r="V39">
        <f>(S39+T39+U39)/3</f>
        <v/>
      </c>
      <c r="W39" s="5" t="n">
        <v>1200</v>
      </c>
      <c r="X39">
        <f>IFERROR(V39-W39,"")</f>
        <v/>
      </c>
      <c r="Y39">
        <f>IFERROR(ABS(X39)/MAX(W39,1),"")</f>
        <v/>
      </c>
      <c r="Z39">
        <f>IFERROR((W39-(((E39/100000+F39/100+R39/200)*200*I39*H39)+((E39*F39/25000)*I39*H39))/3)/(((J39/5)*200*I39*H39)+((J39*R39/2.5)*I39*H39)+((E39*F39*J39*R39*I39*H39)/12500000))/3*1000,"")</f>
        <v/>
      </c>
    </row>
    <row r="40">
      <c r="B40" s="6" t="inlineStr">
        <is>
          <t xml:space="preserve">  ↳ AlliedTankDestroyerCannon</t>
        </is>
      </c>
      <c r="C40" s="6" t="inlineStr">
        <is>
          <t>Armament</t>
        </is>
      </c>
      <c r="K40" s="5" t="n">
        <v>12000</v>
      </c>
      <c r="L40" s="5" t="n">
        <v>60</v>
      </c>
      <c r="M40" s="5" t="n">
        <v>1</v>
      </c>
      <c r="N40" s="5" t="n"/>
      <c r="O40" s="5" t="n">
        <v>6819</v>
      </c>
      <c r="P40" s="5" t="n">
        <v>1</v>
      </c>
      <c r="Q40">
        <f>L40+IF(M40&gt;1,N(N40)*(M40-1),0)</f>
        <v/>
      </c>
      <c r="R40">
        <f>IFERROR(K40*MAX(M40,1)/Q40*P40,0)</f>
        <v/>
      </c>
      <c r="AA40" s="6" t="inlineStr">
        <is>
          <t>^MediumCannon, ^TankDestroyerCannon</t>
        </is>
      </c>
    </row>
    <row r="41">
      <c r="A41" t="inlineStr">
        <is>
          <t>redalert</t>
        </is>
      </c>
      <c r="B41" t="inlineStr">
        <is>
          <t>ra1_allies_alliedtigerheavytank</t>
        </is>
      </c>
      <c r="C41" t="inlineStr">
        <is>
          <t>Allied Tiger Heavy Tank</t>
        </is>
      </c>
      <c r="D41" t="inlineStr"/>
      <c r="E41" s="5" t="n">
        <v>160000</v>
      </c>
      <c r="F41" s="5" t="n">
        <v>75</v>
      </c>
      <c r="G41" t="inlineStr">
        <is>
          <t>Heavy</t>
        </is>
      </c>
      <c r="H41" s="5" t="n">
        <v>1</v>
      </c>
      <c r="I41" s="5" t="n">
        <v>1</v>
      </c>
      <c r="J41" s="5" t="n">
        <v>1</v>
      </c>
      <c r="O41">
        <f>MAX(O42)</f>
        <v/>
      </c>
      <c r="R41">
        <f>R42</f>
        <v/>
      </c>
      <c r="S41">
        <f>(E41/100000+F41/100+(O41/1000)*J41/5+R41/200)*200*I41*H41</f>
        <v/>
      </c>
      <c r="T41">
        <f>((E41*F41/25000)+((O41/1000)*J41*R41/2.5))*I41*H41</f>
        <v/>
      </c>
      <c r="U41">
        <f>(E41*F41*(O41/1000)*J41*R41*I41*H41)/12500000</f>
        <v/>
      </c>
      <c r="V41">
        <f>(S41+T41+U41)/3</f>
        <v/>
      </c>
      <c r="W41" s="5" t="n">
        <v>1300</v>
      </c>
      <c r="X41">
        <f>IFERROR(V41-W41,"")</f>
        <v/>
      </c>
      <c r="Y41">
        <f>IFERROR(ABS(X41)/MAX(W41,1),"")</f>
        <v/>
      </c>
      <c r="Z41">
        <f>IFERROR((W41-(((E41/100000+F41/100+R41/200)*200*I41*H41)+((E41*F41/25000)*I41*H41))/3)/(((J41/5)*200*I41*H41)+((J41*R41/2.5)*I41*H41)+((E41*F41*J41*R41*I41*H41)/12500000))/3*1000,"")</f>
        <v/>
      </c>
    </row>
    <row r="42">
      <c r="B42" s="6" t="inlineStr">
        <is>
          <t xml:space="preserve">  ↳ TigerCannon</t>
        </is>
      </c>
      <c r="C42" s="6" t="inlineStr">
        <is>
          <t>Armament</t>
        </is>
      </c>
      <c r="K42" s="5" t="n">
        <v>8000</v>
      </c>
      <c r="L42" s="5" t="n">
        <v>60</v>
      </c>
      <c r="M42" s="5" t="n">
        <v>1</v>
      </c>
      <c r="N42" s="5" t="n"/>
      <c r="O42" s="5" t="n">
        <v>5915</v>
      </c>
      <c r="P42" s="5" t="n">
        <v>1</v>
      </c>
      <c r="Q42">
        <f>L42+IF(M42&gt;1,N(N42)*(M42-1),0)</f>
        <v/>
      </c>
      <c r="R42">
        <f>IFERROR(K42*MAX(M42,1)/Q42*P42,0)</f>
        <v/>
      </c>
      <c r="AA42" s="6" t="inlineStr">
        <is>
          <t>^HeavyCannon, ^MediumCannon</t>
        </is>
      </c>
    </row>
    <row r="43">
      <c r="A43" t="inlineStr">
        <is>
          <t>redalert</t>
        </is>
      </c>
      <c r="B43" t="inlineStr">
        <is>
          <t>ra1_allies_chronotank</t>
        </is>
      </c>
      <c r="C43" t="inlineStr">
        <is>
          <t>Chrono Tank</t>
        </is>
      </c>
      <c r="D43" t="inlineStr"/>
      <c r="E43" s="5" t="n">
        <v>75000</v>
      </c>
      <c r="F43" s="5" t="n">
        <v>100</v>
      </c>
      <c r="G43" t="inlineStr">
        <is>
          <t>Medium</t>
        </is>
      </c>
      <c r="H43" s="5" t="n">
        <v>0.75</v>
      </c>
      <c r="I43" s="5" t="n">
        <v>0.4</v>
      </c>
      <c r="J43" s="5" t="n">
        <v>2</v>
      </c>
      <c r="O43">
        <f>MAX(O44,O45,O46,O47)</f>
        <v/>
      </c>
      <c r="R43">
        <f>R44+R45+R46+R47</f>
        <v/>
      </c>
      <c r="S43">
        <f>(E43/100000+F43/100+(O43/1000)*J43/5+R43/200)*200*I43*H43</f>
        <v/>
      </c>
      <c r="T43">
        <f>((E43*F43/25000)+((O43/1000)*J43*R43/2.5))*I43*H43</f>
        <v/>
      </c>
      <c r="U43">
        <f>(E43*F43*(O43/1000)*J43*R43*I43*H43)/12500000</f>
        <v/>
      </c>
      <c r="V43">
        <f>(S43+T43+U43)/3</f>
        <v/>
      </c>
      <c r="W43" s="5" t="n">
        <v>2000</v>
      </c>
      <c r="X43">
        <f>IFERROR(V43-W43,"")</f>
        <v/>
      </c>
      <c r="Y43">
        <f>IFERROR(ABS(X43)/MAX(W43,1),"")</f>
        <v/>
      </c>
      <c r="Z43">
        <f>IFERROR((W43-(((E43/100000+F43/100+R43/200)*200*I43*H43)+((E43*F43/25000)*I43*H43))/3)/(((J43/5)*200*I43*H43)+((J43*R43/2.5)*I43*H43)+((E43*F43*J43*R43*I43*H43)/12500000))/3*1000,"")</f>
        <v/>
      </c>
    </row>
    <row r="44">
      <c r="B44" s="6" t="inlineStr">
        <is>
          <t xml:space="preserve">  ↳ ChronoTusk</t>
        </is>
      </c>
      <c r="C44" s="6" t="inlineStr">
        <is>
          <t>Armament@PRIMARY</t>
        </is>
      </c>
      <c r="K44" s="5" t="n">
        <v>4000</v>
      </c>
      <c r="L44" s="5" t="n">
        <v>54</v>
      </c>
      <c r="M44" s="5" t="n">
        <v>4</v>
      </c>
      <c r="N44" s="5" t="n"/>
      <c r="O44" s="5" t="n">
        <v>6102</v>
      </c>
      <c r="P44" s="5" t="n">
        <v>1</v>
      </c>
      <c r="Q44">
        <f>L44+IF(M44&gt;1,N(N44)*(M44-1),0)</f>
        <v/>
      </c>
      <c r="R44">
        <f>IFERROR(K44*MAX(M44,1)/Q44*P44,0)</f>
        <v/>
      </c>
      <c r="AA44" s="6" t="inlineStr">
        <is>
          <t>^Grenade, ^FlakWeapon, ^Chaingun, ^HeavyMissile, ^MediumMissile</t>
        </is>
      </c>
    </row>
    <row r="45">
      <c r="B45" s="6" t="inlineStr">
        <is>
          <t xml:space="preserve">  ↳ ChronoTusk</t>
        </is>
      </c>
      <c r="C45" s="6" t="inlineStr">
        <is>
          <t>Armament@SECONDARY</t>
        </is>
      </c>
      <c r="K45" s="5" t="n">
        <v>4000</v>
      </c>
      <c r="L45" s="5" t="n">
        <v>54</v>
      </c>
      <c r="M45" s="5" t="n">
        <v>4</v>
      </c>
      <c r="N45" s="5" t="n"/>
      <c r="O45" s="5" t="n">
        <v>6102</v>
      </c>
      <c r="P45" s="5" t="n">
        <v>1</v>
      </c>
      <c r="Q45">
        <f>L45+IF(M45&gt;1,N(N45)*(M45-1),0)</f>
        <v/>
      </c>
      <c r="R45">
        <f>IFERROR(K45*MAX(M45,1)/Q45*P45,0)</f>
        <v/>
      </c>
      <c r="AA45" s="6" t="inlineStr">
        <is>
          <t>^Grenade, ^FlakWeapon, ^Chaingun, ^HeavyMissile, ^MediumMissile</t>
        </is>
      </c>
    </row>
    <row r="46">
      <c r="B46" s="6" t="inlineStr">
        <is>
          <t xml:space="preserve">  ↳ ChronoTuskCryo</t>
        </is>
      </c>
      <c r="C46" s="6" t="inlineStr">
        <is>
          <t>Armament@Upgrade</t>
        </is>
      </c>
      <c r="K46" s="5" t="n">
        <v>4000</v>
      </c>
      <c r="L46" s="5" t="n">
        <v>54</v>
      </c>
      <c r="M46" s="5" t="n">
        <v>4</v>
      </c>
      <c r="N46" s="5" t="n"/>
      <c r="O46" s="5" t="n">
        <v>6102</v>
      </c>
      <c r="P46" s="5" t="n">
        <v>1</v>
      </c>
      <c r="Q46">
        <f>L46+IF(M46&gt;1,N(N46)*(M46-1),0)</f>
        <v/>
      </c>
      <c r="R46">
        <f>IFERROR(K46*MAX(M46,1)/Q46*P46,0)</f>
        <v/>
      </c>
      <c r="AA46" s="6" t="inlineStr">
        <is>
          <t>^Grenade, ^FlakWeapon, ^Chaingun, ^HeavyMissile, ^MediumMissile, ^CryoMissileProjectile</t>
        </is>
      </c>
    </row>
    <row r="47">
      <c r="B47" s="6" t="inlineStr">
        <is>
          <t xml:space="preserve">  ↳ ChronoTuskCryo</t>
        </is>
      </c>
      <c r="C47" s="6" t="inlineStr">
        <is>
          <t>Armament@UpgradeSECONDARY</t>
        </is>
      </c>
      <c r="K47" s="5" t="n">
        <v>4000</v>
      </c>
      <c r="L47" s="5" t="n">
        <v>54</v>
      </c>
      <c r="M47" s="5" t="n">
        <v>4</v>
      </c>
      <c r="N47" s="5" t="n"/>
      <c r="O47" s="5" t="n">
        <v>6102</v>
      </c>
      <c r="P47" s="5" t="n">
        <v>1</v>
      </c>
      <c r="Q47">
        <f>L47+IF(M47&gt;1,N(N47)*(M47-1),0)</f>
        <v/>
      </c>
      <c r="R47">
        <f>IFERROR(K47*MAX(M47,1)/Q47*P47,0)</f>
        <v/>
      </c>
      <c r="AA47" s="6" t="inlineStr">
        <is>
          <t>^Grenade, ^FlakWeapon, ^Chaingun, ^HeavyMissile, ^MediumMissile, ^CryoMissileProjectile</t>
        </is>
      </c>
    </row>
    <row r="48">
      <c r="A48" t="inlineStr">
        <is>
          <t>redalert</t>
        </is>
      </c>
      <c r="B48" t="inlineStr">
        <is>
          <t>ra1_allies_minelayer</t>
        </is>
      </c>
      <c r="C48" t="inlineStr">
        <is>
          <t>Minelayer</t>
        </is>
      </c>
      <c r="D48" t="inlineStr"/>
      <c r="E48" s="5" t="n">
        <v>30000</v>
      </c>
      <c r="F48" s="5" t="n">
        <v>128</v>
      </c>
      <c r="G48" t="inlineStr">
        <is>
          <t>Heavy</t>
        </is>
      </c>
      <c r="H48" s="5" t="n">
        <v>1</v>
      </c>
      <c r="I48" s="5" t="n">
        <v>1</v>
      </c>
      <c r="J48" s="5" t="n">
        <v>1</v>
      </c>
      <c r="W48" s="5" t="n">
        <v>800</v>
      </c>
    </row>
    <row r="49">
      <c r="A49" t="inlineStr">
        <is>
          <t>redalert</t>
        </is>
      </c>
      <c r="B49" t="inlineStr">
        <is>
          <t>ra1_allies_mobilegapgenerator</t>
        </is>
      </c>
      <c r="C49" t="inlineStr">
        <is>
          <t>Mobile Gap Generator</t>
        </is>
      </c>
      <c r="D49" t="inlineStr"/>
      <c r="E49" s="5" t="n">
        <v>25000</v>
      </c>
      <c r="F49" s="5" t="n">
        <v>75</v>
      </c>
      <c r="G49" t="inlineStr">
        <is>
          <t>Light</t>
        </is>
      </c>
      <c r="H49" s="5" t="n">
        <v>1</v>
      </c>
      <c r="I49" s="5" t="n">
        <v>1</v>
      </c>
      <c r="J49" s="5" t="n">
        <v>1</v>
      </c>
      <c r="O49">
        <f>MAX(O50)</f>
        <v/>
      </c>
      <c r="R49">
        <f>R50</f>
        <v/>
      </c>
      <c r="S49">
        <f>(E49/100000+F49/100+(O49/1000)*J49/5+R49/200)*200*I49*H49</f>
        <v/>
      </c>
      <c r="T49">
        <f>((E49*F49/25000)+((O49/1000)*J49*R49/2.5))*I49*H49</f>
        <v/>
      </c>
      <c r="U49">
        <f>(E49*F49*(O49/1000)*J49*R49*I49*H49)/12500000</f>
        <v/>
      </c>
      <c r="V49">
        <f>(S49+T49+U49)/3</f>
        <v/>
      </c>
      <c r="W49" s="5" t="n">
        <v>5000</v>
      </c>
      <c r="X49">
        <f>IFERROR(V49-W49,"")</f>
        <v/>
      </c>
      <c r="Y49">
        <f>IFERROR(ABS(X49)/MAX(W49,1),"")</f>
        <v/>
      </c>
      <c r="Z49">
        <f>IFERROR((W49-(((E49/100000+F49/100+R49/200)*200*I49*H49)+((E49*F49/25000)*I49*H49))/3)/(((J49/5)*200*I49*H49)+((J49*R49/2.5)*I49*H49)+((E49*F49*J49*R49*I49*H49)/12500000))/3*1000,"")</f>
        <v/>
      </c>
    </row>
    <row r="50">
      <c r="B50" s="6" t="inlineStr">
        <is>
          <t xml:space="preserve">  ↳ dummytargeting</t>
        </is>
      </c>
      <c r="C50" s="6" t="inlineStr">
        <is>
          <t>Armament</t>
        </is>
      </c>
      <c r="K50" s="5" t="n"/>
      <c r="L50" s="5" t="n"/>
      <c r="M50" s="5" t="n">
        <v>1</v>
      </c>
      <c r="N50" s="5" t="n"/>
      <c r="O50" s="5" t="n">
        <v>10000</v>
      </c>
      <c r="P50" s="5" t="n">
        <v>1</v>
      </c>
      <c r="Q50">
        <f>L50+IF(M50&gt;1,N(N50)*(M50-1),0)</f>
        <v/>
      </c>
      <c r="R50">
        <f>IFERROR(K50*MAX(M50,1)/Q50*P50,0)</f>
        <v/>
      </c>
      <c r="AA50" s="6" t="inlineStr"/>
    </row>
    <row r="51">
      <c r="A51" t="inlineStr">
        <is>
          <t>redalert</t>
        </is>
      </c>
      <c r="B51" t="inlineStr">
        <is>
          <t>ra1_allies_mobileradarjammer</t>
        </is>
      </c>
      <c r="C51" t="inlineStr">
        <is>
          <t>Mobile Radar Jammer</t>
        </is>
      </c>
      <c r="D51" t="inlineStr"/>
      <c r="E51" s="5" t="n">
        <v>25000</v>
      </c>
      <c r="F51" s="5" t="n">
        <v>100</v>
      </c>
      <c r="G51" t="inlineStr">
        <is>
          <t>Light</t>
        </is>
      </c>
      <c r="H51" s="5" t="n">
        <v>1</v>
      </c>
      <c r="I51" s="5" t="n">
        <v>1</v>
      </c>
      <c r="J51" s="5" t="n">
        <v>1</v>
      </c>
      <c r="O51">
        <f>MAX(O52)</f>
        <v/>
      </c>
      <c r="R51">
        <f>R52</f>
        <v/>
      </c>
      <c r="S51">
        <f>(E51/100000+F51/100+(O51/1000)*J51/5+R51/200)*200*I51*H51</f>
        <v/>
      </c>
      <c r="T51">
        <f>((E51*F51/25000)+((O51/1000)*J51*R51/2.5))*I51*H51</f>
        <v/>
      </c>
      <c r="U51">
        <f>(E51*F51*(O51/1000)*J51*R51*I51*H51)/12500000</f>
        <v/>
      </c>
      <c r="V51">
        <f>(S51+T51+U51)/3</f>
        <v/>
      </c>
      <c r="W51" s="5" t="n">
        <v>5000</v>
      </c>
      <c r="X51">
        <f>IFERROR(V51-W51,"")</f>
        <v/>
      </c>
      <c r="Y51">
        <f>IFERROR(ABS(X51)/MAX(W51,1),"")</f>
        <v/>
      </c>
      <c r="Z51">
        <f>IFERROR((W51-(((E51/100000+F51/100+R51/200)*200*I51*H51)+((E51*F51/25000)*I51*H51))/3)/(((J51/5)*200*I51*H51)+((J51*R51/2.5)*I51*H51)+((E51*F51*J51*R51*I51*H51)/12500000))/3*1000,"")</f>
        <v/>
      </c>
    </row>
    <row r="52">
      <c r="B52" s="6" t="inlineStr">
        <is>
          <t xml:space="preserve">  ↳ RadarJammer</t>
        </is>
      </c>
      <c r="C52" s="6" t="inlineStr">
        <is>
          <t>Armament</t>
        </is>
      </c>
      <c r="K52" s="5" t="n"/>
      <c r="L52" s="5" t="n">
        <v>150</v>
      </c>
      <c r="M52" s="5" t="n">
        <v>1</v>
      </c>
      <c r="N52" s="5" t="n"/>
      <c r="O52" s="5" t="n">
        <v>10000</v>
      </c>
      <c r="P52" s="5" t="n">
        <v>1</v>
      </c>
      <c r="Q52">
        <f>L52+IF(M52&gt;1,N(N52)*(M52-1),0)</f>
        <v/>
      </c>
      <c r="R52">
        <f>IFERROR(K52*MAX(M52,1)/Q52*P52,0)</f>
        <v/>
      </c>
      <c r="AA52" s="6" t="inlineStr"/>
    </row>
    <row r="53">
      <c r="A53" t="inlineStr">
        <is>
          <t>redalert</t>
        </is>
      </c>
      <c r="B53" t="inlineStr">
        <is>
          <t>ra1_allies_phasetransport</t>
        </is>
      </c>
      <c r="C53" t="inlineStr">
        <is>
          <t>Phase Transport</t>
        </is>
      </c>
      <c r="D53" t="inlineStr"/>
      <c r="E53" s="5" t="n">
        <v>30000</v>
      </c>
      <c r="F53" s="5" t="n">
        <v>125</v>
      </c>
      <c r="G53" t="inlineStr">
        <is>
          <t>Light</t>
        </is>
      </c>
      <c r="H53" s="5" t="n">
        <v>0.75</v>
      </c>
      <c r="I53" s="5" t="n">
        <v>1.25</v>
      </c>
      <c r="J53" s="5" t="n">
        <v>1.25</v>
      </c>
      <c r="O53">
        <f>MAX(O54,O55)</f>
        <v/>
      </c>
      <c r="R53">
        <f>R54+R55</f>
        <v/>
      </c>
      <c r="S53">
        <f>(E53/100000+F53/100+(O53/1000)*J53/5+R53/200)*200*I53*H53</f>
        <v/>
      </c>
      <c r="T53">
        <f>((E53*F53/25000)+((O53/1000)*J53*R53/2.5))*I53*H53</f>
        <v/>
      </c>
      <c r="U53">
        <f>(E53*F53*(O53/1000)*J53*R53*I53*H53)/12500000</f>
        <v/>
      </c>
      <c r="V53">
        <f>(S53+T53+U53)/3</f>
        <v/>
      </c>
      <c r="W53" s="5" t="n">
        <v>1800</v>
      </c>
      <c r="X53">
        <f>IFERROR(V53-W53,"")</f>
        <v/>
      </c>
      <c r="Y53">
        <f>IFERROR(ABS(X53)/MAX(W53,1),"")</f>
        <v/>
      </c>
      <c r="Z53">
        <f>IFERROR((W53-(((E53/100000+F53/100+R53/200)*200*I53*H53)+((E53*F53/25000)*I53*H53))/3)/(((J53/5)*200*I53*H53)+((J53*R53/2.5)*I53*H53)+((E53*F53*J53*R53*I53*H53)/12500000))/3*1000,"")</f>
        <v/>
      </c>
    </row>
    <row r="54">
      <c r="B54" s="6" t="inlineStr">
        <is>
          <t xml:space="preserve">  ↳ APTusk</t>
        </is>
      </c>
      <c r="C54" s="6" t="inlineStr">
        <is>
          <t>Armament</t>
        </is>
      </c>
      <c r="K54" s="5" t="n">
        <v>4000</v>
      </c>
      <c r="L54" s="5" t="n">
        <v>51</v>
      </c>
      <c r="M54" s="5" t="n">
        <v>4</v>
      </c>
      <c r="N54" s="5" t="n"/>
      <c r="O54" s="5" t="n">
        <v>5038</v>
      </c>
      <c r="P54" s="5" t="n">
        <v>1</v>
      </c>
      <c r="Q54">
        <f>L54+IF(M54&gt;1,N(N54)*(M54-1),0)</f>
        <v/>
      </c>
      <c r="R54">
        <f>IFERROR(K54*MAX(M54,1)/Q54*P54,0)</f>
        <v/>
      </c>
      <c r="AA54" s="6" t="inlineStr">
        <is>
          <t>^TankDestroyerCannon, ^Grenade, ^FlakWeapon, ^MediumMissile</t>
        </is>
      </c>
    </row>
    <row r="55">
      <c r="B55" s="6" t="inlineStr">
        <is>
          <t xml:space="preserve">  ↳ APTuskCryo</t>
        </is>
      </c>
      <c r="C55" s="6" t="inlineStr">
        <is>
          <t>Armament@Upgrade</t>
        </is>
      </c>
      <c r="K55" s="5" t="n">
        <v>4000</v>
      </c>
      <c r="L55" s="5" t="n">
        <v>51</v>
      </c>
      <c r="M55" s="5" t="n">
        <v>4</v>
      </c>
      <c r="N55" s="5" t="n"/>
      <c r="O55" s="5" t="n">
        <v>5038</v>
      </c>
      <c r="P55" s="5" t="n">
        <v>1</v>
      </c>
      <c r="Q55">
        <f>L55+IF(M55&gt;1,N(N55)*(M55-1),0)</f>
        <v/>
      </c>
      <c r="R55">
        <f>IFERROR(K55*MAX(M55,1)/Q55*P55,0)</f>
        <v/>
      </c>
      <c r="AA55" s="6" t="inlineStr">
        <is>
          <t>^TankDestroyerCannon, ^Grenade, ^FlakWeapon, ^MediumMissile, ^CryoMissileProjectile</t>
        </is>
      </c>
    </row>
    <row r="56">
      <c r="A56" t="inlineStr">
        <is>
          <t>redalert</t>
        </is>
      </c>
      <c r="B56" t="inlineStr">
        <is>
          <t>ra1_allies_ranger</t>
        </is>
      </c>
      <c r="C56" t="inlineStr">
        <is>
          <t>Ranger</t>
        </is>
      </c>
      <c r="D56" t="inlineStr"/>
      <c r="E56" s="5" t="n">
        <v>22500</v>
      </c>
      <c r="F56" s="5" t="n">
        <v>175</v>
      </c>
      <c r="G56" t="inlineStr">
        <is>
          <t>Scout</t>
        </is>
      </c>
      <c r="H56" s="5" t="n">
        <v>1</v>
      </c>
      <c r="I56" s="5" t="n">
        <v>1</v>
      </c>
      <c r="J56" s="5" t="n">
        <v>1</v>
      </c>
      <c r="O56">
        <f>MAX(O57)</f>
        <v/>
      </c>
      <c r="R56">
        <f>R57</f>
        <v/>
      </c>
      <c r="S56">
        <f>(E56/100000+F56/100+(O56/1000)*J56/5+R56/200)*200*I56*H56</f>
        <v/>
      </c>
      <c r="T56">
        <f>((E56*F56/25000)+((O56/1000)*J56*R56/2.5))*I56*H56</f>
        <v/>
      </c>
      <c r="U56">
        <f>(E56*F56*(O56/1000)*J56*R56*I56*H56)/12500000</f>
        <v/>
      </c>
      <c r="V56">
        <f>(S56+T56+U56)/3</f>
        <v/>
      </c>
      <c r="W56" s="5" t="n">
        <v>300</v>
      </c>
      <c r="X56">
        <f>IFERROR(V56-W56,"")</f>
        <v/>
      </c>
      <c r="Y56">
        <f>IFERROR(ABS(X56)/MAX(W56,1),"")</f>
        <v/>
      </c>
      <c r="Z56">
        <f>IFERROR((W56-(((E56/100000+F56/100+R56/200)*200*I56*H56)+((E56*F56/25000)*I56*H56))/3)/(((J56/5)*200*I56*H56)+((J56*R56/2.5)*I56*H56)+((E56*F56*J56*R56*I56*H56)/12500000))/3*1000,"")</f>
        <v/>
      </c>
    </row>
    <row r="57">
      <c r="B57" s="6" t="inlineStr">
        <is>
          <t xml:space="preserve">  ↳ M60mg</t>
        </is>
      </c>
      <c r="C57" s="6" t="inlineStr">
        <is>
          <t>Armament</t>
        </is>
      </c>
      <c r="K57" s="5" t="n">
        <v>4000</v>
      </c>
      <c r="L57" s="5" t="n">
        <v>10</v>
      </c>
      <c r="M57" s="5" t="n">
        <v>4</v>
      </c>
      <c r="N57" s="5" t="n">
        <v>5</v>
      </c>
      <c r="O57" s="5" t="n">
        <v>4359</v>
      </c>
      <c r="P57" s="5" t="n">
        <v>1</v>
      </c>
      <c r="Q57">
        <f>L57+IF(M57&gt;1,N(N57)*(M57-1),0)</f>
        <v/>
      </c>
      <c r="R57">
        <f>IFERROR(K57*MAX(M57,1)/Q57*P57,0)</f>
        <v/>
      </c>
      <c r="AA57" s="6" t="inlineStr">
        <is>
          <t>^SmallArms</t>
        </is>
      </c>
    </row>
    <row r="58">
      <c r="A58" t="inlineStr">
        <is>
          <t>redalert</t>
        </is>
      </c>
      <c r="B58" t="inlineStr">
        <is>
          <t>ra1_allies_reconranger</t>
        </is>
      </c>
      <c r="C58" t="inlineStr">
        <is>
          <t>Recon Ranger</t>
        </is>
      </c>
      <c r="D58" t="inlineStr"/>
      <c r="E58" s="5" t="n">
        <v>25000</v>
      </c>
      <c r="F58" s="5" t="n">
        <v>160</v>
      </c>
      <c r="G58" t="inlineStr">
        <is>
          <t>Light</t>
        </is>
      </c>
      <c r="H58" s="5" t="n">
        <v>1</v>
      </c>
      <c r="I58" s="5" t="n">
        <v>0.5</v>
      </c>
      <c r="J58" s="5" t="n">
        <v>1</v>
      </c>
      <c r="O58">
        <f>MAX(O59,O60)</f>
        <v/>
      </c>
      <c r="R58">
        <f>R59+R60</f>
        <v/>
      </c>
      <c r="S58">
        <f>(E58/100000+F58/100+(O58/1000)*J58/5+R58/200)*200*I58*H58</f>
        <v/>
      </c>
      <c r="T58">
        <f>((E58*F58/25000)+((O58/1000)*J58*R58/2.5))*I58*H58</f>
        <v/>
      </c>
      <c r="U58">
        <f>(E58*F58*(O58/1000)*J58*R58*I58*H58)/12500000</f>
        <v/>
      </c>
      <c r="V58">
        <f>(S58+T58+U58)/3</f>
        <v/>
      </c>
      <c r="W58" s="5" t="n">
        <v>500</v>
      </c>
      <c r="X58">
        <f>IFERROR(V58-W58,"")</f>
        <v/>
      </c>
      <c r="Y58">
        <f>IFERROR(ABS(X58)/MAX(W58,1),"")</f>
        <v/>
      </c>
      <c r="Z58">
        <f>IFERROR((W58-(((E58/100000+F58/100+R58/200)*200*I58*H58)+((E58*F58/25000)*I58*H58))/3)/(((J58/5)*200*I58*H58)+((J58*R58/2.5)*I58*H58)+((E58*F58*J58*R58*I58*H58)/12500000))/3*1000,"")</f>
        <v/>
      </c>
    </row>
    <row r="59">
      <c r="B59" s="6" t="inlineStr">
        <is>
          <t xml:space="preserve">  ↳ ReconRangerRecoillessGun</t>
        </is>
      </c>
      <c r="C59" s="6" t="inlineStr">
        <is>
          <t>Armament</t>
        </is>
      </c>
      <c r="K59" s="5" t="n">
        <v>4000</v>
      </c>
      <c r="L59" s="5" t="n">
        <v>64</v>
      </c>
      <c r="M59" s="5" t="n">
        <v>1</v>
      </c>
      <c r="N59" s="5" t="n"/>
      <c r="O59" s="5" t="n">
        <v>4925</v>
      </c>
      <c r="P59" s="5" t="n">
        <v>1</v>
      </c>
      <c r="Q59">
        <f>L59+IF(M59&gt;1,N(N59)*(M59-1),0)</f>
        <v/>
      </c>
      <c r="R59">
        <f>IFERROR(K59*MAX(M59,1)/Q59*P59,0)</f>
        <v/>
      </c>
      <c r="AA59" s="6" t="inlineStr">
        <is>
          <t>^Grenade, ^ShrapnelWeapon, ^Chaingun, ^FlakWeapon, ^TankDestroyerCannon, ^RailgunWeapon, ^MediumMissile, ^D2KRocket</t>
        </is>
      </c>
    </row>
    <row r="60">
      <c r="B60" s="6" t="inlineStr">
        <is>
          <t xml:space="preserve">  ↳ CryoReconRangerRecoillessGun</t>
        </is>
      </c>
      <c r="C60" s="6" t="inlineStr">
        <is>
          <t>Armament@Upgrade</t>
        </is>
      </c>
      <c r="K60" s="5" t="n">
        <v>4000</v>
      </c>
      <c r="L60" s="5" t="n">
        <v>64</v>
      </c>
      <c r="M60" s="5" t="n">
        <v>1</v>
      </c>
      <c r="N60" s="5" t="n"/>
      <c r="O60" s="5" t="n">
        <v>4925</v>
      </c>
      <c r="P60" s="5" t="n">
        <v>1</v>
      </c>
      <c r="Q60">
        <f>L60+IF(M60&gt;1,N(N60)*(M60-1),0)</f>
        <v/>
      </c>
      <c r="R60">
        <f>IFERROR(K60*MAX(M60,1)/Q60*P60,0)</f>
        <v/>
      </c>
      <c r="AA60" s="6" t="inlineStr">
        <is>
          <t>^Grenade, ^ShrapnelWeapon, ^Chaingun, ^FlakWeapon, ^TankDestroyerCannon, ^RailgunWeapon, ^MediumMissile, ^D2KRocket, ^CryoMissileProjectile</t>
        </is>
      </c>
    </row>
    <row r="61">
      <c r="A61" t="inlineStr">
        <is>
          <t>redalert</t>
        </is>
      </c>
      <c r="B61" t="inlineStr">
        <is>
          <t>ra1_allies_sheridanassaulttank</t>
        </is>
      </c>
      <c r="C61" t="inlineStr">
        <is>
          <t>Sheridan Assault Tank</t>
        </is>
      </c>
      <c r="D61" t="inlineStr"/>
      <c r="E61" s="5" t="n">
        <v>85000</v>
      </c>
      <c r="F61" s="5" t="n">
        <v>85</v>
      </c>
      <c r="G61" t="inlineStr">
        <is>
          <t>Medium</t>
        </is>
      </c>
      <c r="H61" s="5" t="n">
        <v>1</v>
      </c>
      <c r="I61" s="5" t="n">
        <v>1</v>
      </c>
      <c r="J61" s="5" t="n">
        <v>1</v>
      </c>
      <c r="O61">
        <f>MAX(O62,O63,O64,O65)</f>
        <v/>
      </c>
      <c r="R61">
        <f>R62+R63+R64+R65</f>
        <v/>
      </c>
      <c r="S61">
        <f>(E61/100000+F61/100+(O61/1000)*J61/5+R61/200)*200*I61*H61</f>
        <v/>
      </c>
      <c r="T61">
        <f>((E61*F61/25000)+((O61/1000)*J61*R61/2.5))*I61*H61</f>
        <v/>
      </c>
      <c r="U61">
        <f>(E61*F61*(O61/1000)*J61*R61*I61*H61)/12500000</f>
        <v/>
      </c>
      <c r="V61">
        <f>(S61+T61+U61)/3</f>
        <v/>
      </c>
      <c r="W61" s="5" t="n">
        <v>600</v>
      </c>
      <c r="X61">
        <f>IFERROR(V61-W61,"")</f>
        <v/>
      </c>
      <c r="Y61">
        <f>IFERROR(ABS(X61)/MAX(W61,1),"")</f>
        <v/>
      </c>
      <c r="Z61">
        <f>IFERROR((W61-(((E61/100000+F61/100+R61/200)*200*I61*H61)+((E61*F61/25000)*I61*H61))/3)/(((J61/5)*200*I61*H61)+((J61*R61/2.5)*I61*H61)+((E61*F61*J61*R61*I61*H61)/12500000))/3*1000,"")</f>
        <v/>
      </c>
    </row>
    <row r="62">
      <c r="B62" s="6" t="inlineStr">
        <is>
          <t xml:space="preserve">  ↳ SheridanCannon</t>
        </is>
      </c>
      <c r="C62" s="6" t="inlineStr">
        <is>
          <t>Armament</t>
        </is>
      </c>
      <c r="K62" s="5" t="n">
        <v>8000</v>
      </c>
      <c r="L62" s="5" t="n">
        <v>64</v>
      </c>
      <c r="M62" s="5" t="n">
        <v>1</v>
      </c>
      <c r="N62" s="5" t="n"/>
      <c r="O62" s="5" t="n">
        <v>5023</v>
      </c>
      <c r="P62" s="5" t="n">
        <v>1</v>
      </c>
      <c r="Q62">
        <f>L62+IF(M62&gt;1,N(N62)*(M62-1),0)</f>
        <v/>
      </c>
      <c r="R62">
        <f>IFERROR(K62*MAX(M62,1)/Q62*P62,0)</f>
        <v/>
      </c>
      <c r="AA62" s="6" t="inlineStr">
        <is>
          <t>^TankDestroyerCannon, ^MediumCannon</t>
        </is>
      </c>
    </row>
    <row r="63">
      <c r="B63" s="6" t="inlineStr">
        <is>
          <t xml:space="preserve">  ↳ SheridanMissiles</t>
        </is>
      </c>
      <c r="C63" s="6" t="inlineStr">
        <is>
          <t>Armament@Missile</t>
        </is>
      </c>
      <c r="K63" s="5" t="n">
        <v>8000</v>
      </c>
      <c r="L63" s="5" t="n">
        <v>64</v>
      </c>
      <c r="M63" s="5" t="n">
        <v>1</v>
      </c>
      <c r="N63" s="5" t="n"/>
      <c r="O63" s="5" t="n">
        <v>5023</v>
      </c>
      <c r="P63" s="5" t="n">
        <v>1</v>
      </c>
      <c r="Q63">
        <f>L63+IF(M63&gt;1,N(N63)*(M63-1),0)</f>
        <v/>
      </c>
      <c r="R63">
        <f>IFERROR(K63*MAX(M63,1)/Q63*P63,0)</f>
        <v/>
      </c>
      <c r="AA63" s="6" t="inlineStr">
        <is>
          <t>^MediumMissile, ^LightMissile</t>
        </is>
      </c>
    </row>
    <row r="64">
      <c r="B64" s="6" t="inlineStr">
        <is>
          <t xml:space="preserve">  ↳ SheridanMissilesCryo</t>
        </is>
      </c>
      <c r="C64" s="6" t="inlineStr">
        <is>
          <t>Armament@Upgrade</t>
        </is>
      </c>
      <c r="K64" s="5" t="n">
        <v>8000</v>
      </c>
      <c r="L64" s="5" t="n">
        <v>64</v>
      </c>
      <c r="M64" s="5" t="n">
        <v>1</v>
      </c>
      <c r="N64" s="5" t="n"/>
      <c r="O64" s="5" t="n">
        <v>5023</v>
      </c>
      <c r="P64" s="5" t="n">
        <v>1</v>
      </c>
      <c r="Q64">
        <f>L64+IF(M64&gt;1,N(N64)*(M64-1),0)</f>
        <v/>
      </c>
      <c r="R64">
        <f>IFERROR(K64*MAX(M64,1)/Q64*P64,0)</f>
        <v/>
      </c>
      <c r="AA64" s="6" t="inlineStr">
        <is>
          <t>^MediumMissile, ^LightMissile, ^CryoMissileProjectile</t>
        </is>
      </c>
    </row>
    <row r="65">
      <c r="B65" s="6" t="inlineStr">
        <is>
          <t xml:space="preserve">  ↳ SheridanVulcan</t>
        </is>
      </c>
      <c r="C65" s="6" t="inlineStr">
        <is>
          <t>Armament@MG</t>
        </is>
      </c>
      <c r="K65" s="5" t="n">
        <v>2000</v>
      </c>
      <c r="L65" s="5" t="n">
        <v>58</v>
      </c>
      <c r="M65" s="5" t="n">
        <v>4</v>
      </c>
      <c r="N65" s="5" t="n">
        <v>2</v>
      </c>
      <c r="O65" s="5" t="n">
        <v>5023</v>
      </c>
      <c r="P65" s="5" t="n">
        <v>1</v>
      </c>
      <c r="Q65">
        <f>L65+IF(M65&gt;1,N(N65)*(M65-1),0)</f>
        <v/>
      </c>
      <c r="R65">
        <f>IFERROR(K65*MAX(M65,1)/Q65*P65,0)</f>
        <v/>
      </c>
      <c r="AA65" s="6" t="inlineStr">
        <is>
          <t>^SmallArms, ^Chaingun</t>
        </is>
      </c>
    </row>
    <row r="66">
      <c r="A66" s="3" t="inlineStr">
        <is>
          <t>AIRCRAFT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>
      <c r="A67" t="inlineStr">
        <is>
          <t>redalert</t>
        </is>
      </c>
      <c r="B67" t="inlineStr">
        <is>
          <t>ra1_allies_alliedchinooktransport</t>
        </is>
      </c>
      <c r="C67" t="inlineStr">
        <is>
          <t>Allied Chinook Transport</t>
        </is>
      </c>
      <c r="D67" t="inlineStr"/>
      <c r="E67" s="5" t="n">
        <v>125000</v>
      </c>
      <c r="F67" s="5" t="n">
        <v>125</v>
      </c>
      <c r="G67" t="inlineStr">
        <is>
          <t>Helicopter</t>
        </is>
      </c>
      <c r="H67" s="5" t="n">
        <v>1</v>
      </c>
      <c r="I67" s="5" t="n">
        <v>1</v>
      </c>
      <c r="J67" s="5" t="n">
        <v>1</v>
      </c>
      <c r="W67" s="5" t="n">
        <v>3600</v>
      </c>
    </row>
    <row r="68">
      <c r="A68" t="inlineStr">
        <is>
          <t>redalert</t>
        </is>
      </c>
      <c r="B68" t="inlineStr">
        <is>
          <t>ra1_allies_blackhawk</t>
        </is>
      </c>
      <c r="C68" t="inlineStr">
        <is>
          <t>Black Hawk</t>
        </is>
      </c>
      <c r="D68" t="inlineStr"/>
      <c r="E68" s="5" t="n">
        <v>50000</v>
      </c>
      <c r="F68" s="5" t="n">
        <v>130</v>
      </c>
      <c r="G68" t="inlineStr">
        <is>
          <t>Helicopter</t>
        </is>
      </c>
      <c r="H68" s="5" t="n">
        <v>1</v>
      </c>
      <c r="I68" s="5" t="n">
        <v>1</v>
      </c>
      <c r="J68" s="5" t="n">
        <v>1</v>
      </c>
      <c r="O68">
        <f>MAX(O69,O70)</f>
        <v/>
      </c>
      <c r="R68">
        <f>R69+R70</f>
        <v/>
      </c>
      <c r="S68">
        <f>(E68/100000+F68/100+(O68/1000)*J68/5+R68/200)*200*I68*H68</f>
        <v/>
      </c>
      <c r="T68">
        <f>((E68*F68/25000)+((O68/1000)*J68*R68/2.5))*I68*H68</f>
        <v/>
      </c>
      <c r="U68">
        <f>(E68*F68*(O68/1000)*J68*R68*I68*H68)/12500000</f>
        <v/>
      </c>
      <c r="V68">
        <f>(S68+T68+U68)/3</f>
        <v/>
      </c>
      <c r="W68" s="5" t="n">
        <v>1000</v>
      </c>
      <c r="X68">
        <f>IFERROR(V68-W68,"")</f>
        <v/>
      </c>
      <c r="Y68">
        <f>IFERROR(ABS(X68)/MAX(W68,1),"")</f>
        <v/>
      </c>
      <c r="Z68">
        <f>IFERROR((W68-(((E68/100000+F68/100+R68/200)*200*I68*H68)+((E68*F68/25000)*I68*H68))/3)/(((J68/5)*200*I68*H68)+((J68*R68/2.5)*I68*H68)+((E68*F68*J68*R68*I68*H68)/12500000))/3*1000,"")</f>
        <v/>
      </c>
    </row>
    <row r="69">
      <c r="B69" s="6" t="inlineStr">
        <is>
          <t xml:space="preserve">  ↳ ChainGunMH60</t>
        </is>
      </c>
      <c r="C69" s="6" t="inlineStr">
        <is>
          <t>Armament@PRIMARY</t>
        </is>
      </c>
      <c r="K69" s="5" t="n">
        <v>2000</v>
      </c>
      <c r="L69" s="5" t="n">
        <v>6</v>
      </c>
      <c r="M69" s="5" t="n">
        <v>1</v>
      </c>
      <c r="N69" s="5" t="n"/>
      <c r="O69" s="5" t="n">
        <v>3375</v>
      </c>
      <c r="P69" s="5" t="n">
        <v>1</v>
      </c>
      <c r="Q69">
        <f>L69+IF(M69&gt;1,N(N69)*(M69-1),0)</f>
        <v/>
      </c>
      <c r="R69">
        <f>IFERROR(K69*MAX(M69,1)/Q69*P69,0)</f>
        <v/>
      </c>
      <c r="AA69" s="6" t="inlineStr">
        <is>
          <t>^SmallArms, ^Grenade, ^FlakWeapon, ^Chaingun</t>
        </is>
      </c>
    </row>
    <row r="70">
      <c r="B70" s="6" t="inlineStr">
        <is>
          <t xml:space="preserve">  ↳ ChainGunMH60</t>
        </is>
      </c>
      <c r="C70" s="6" t="inlineStr">
        <is>
          <t>Armament@SECONDARY</t>
        </is>
      </c>
      <c r="K70" s="5" t="n">
        <v>2000</v>
      </c>
      <c r="L70" s="5" t="n">
        <v>6</v>
      </c>
      <c r="M70" s="5" t="n">
        <v>1</v>
      </c>
      <c r="N70" s="5" t="n"/>
      <c r="O70" s="5" t="n">
        <v>3375</v>
      </c>
      <c r="P70" s="5" t="n">
        <v>1</v>
      </c>
      <c r="Q70">
        <f>L70+IF(M70&gt;1,N(N70)*(M70-1),0)</f>
        <v/>
      </c>
      <c r="R70">
        <f>IFERROR(K70*MAX(M70,1)/Q70*P70,0)</f>
        <v/>
      </c>
      <c r="AA70" s="6" t="inlineStr">
        <is>
          <t>^SmallArms, ^Grenade, ^FlakWeapon, ^Chaingun</t>
        </is>
      </c>
    </row>
    <row r="71">
      <c r="A71" t="inlineStr">
        <is>
          <t>redalert</t>
        </is>
      </c>
      <c r="B71" t="inlineStr">
        <is>
          <t>ra1_allies_longbow</t>
        </is>
      </c>
      <c r="C71" t="inlineStr">
        <is>
          <t>Longbow</t>
        </is>
      </c>
      <c r="D71" t="inlineStr"/>
      <c r="E71" s="5" t="n">
        <v>35000</v>
      </c>
      <c r="F71" s="5" t="n">
        <v>150</v>
      </c>
      <c r="G71" t="inlineStr">
        <is>
          <t>Helicopter</t>
        </is>
      </c>
      <c r="H71" s="5" t="n">
        <v>0.75</v>
      </c>
      <c r="I71" s="5" t="n">
        <v>1</v>
      </c>
      <c r="J71" s="5" t="n">
        <v>1</v>
      </c>
      <c r="O71">
        <f>MAX(O72,O73)</f>
        <v/>
      </c>
      <c r="R71">
        <f>R72+R73</f>
        <v/>
      </c>
      <c r="S71">
        <f>(E71/100000+F71/100+(O71/1000)*J71/5+R71/200)*200*I71*H71</f>
        <v/>
      </c>
      <c r="T71">
        <f>((E71*F71/25000)+((O71/1000)*J71*R71/2.5))*I71*H71</f>
        <v/>
      </c>
      <c r="U71">
        <f>(E71*F71*(O71/1000)*J71*R71*I71*H71)/12500000</f>
        <v/>
      </c>
      <c r="V71">
        <f>(S71+T71+U71)/3</f>
        <v/>
      </c>
      <c r="W71" s="5" t="n">
        <v>2000</v>
      </c>
      <c r="X71">
        <f>IFERROR(V71-W71,"")</f>
        <v/>
      </c>
      <c r="Y71">
        <f>IFERROR(ABS(X71)/MAX(W71,1),"")</f>
        <v/>
      </c>
      <c r="Z71">
        <f>IFERROR((W71-(((E71/100000+F71/100+R71/200)*200*I71*H71)+((E71*F71/25000)*I71*H71))/3)/(((J71/5)*200*I71*H71)+((J71*R71/2.5)*I71*H71)+((E71*F71*J71*R71*I71*H71)/12500000))/3*1000,"")</f>
        <v/>
      </c>
    </row>
    <row r="72">
      <c r="B72" s="6" t="inlineStr">
        <is>
          <t xml:space="preserve">  ↳ Hellfire</t>
        </is>
      </c>
      <c r="C72" s="6" t="inlineStr">
        <is>
          <t>Armament</t>
        </is>
      </c>
      <c r="K72" s="5" t="n">
        <v>8000</v>
      </c>
      <c r="L72" s="5" t="n">
        <v>16</v>
      </c>
      <c r="M72" s="5" t="n">
        <v>1</v>
      </c>
      <c r="N72" s="5" t="n"/>
      <c r="O72" s="5" t="n">
        <v>6540</v>
      </c>
      <c r="P72" s="5" t="n">
        <v>1</v>
      </c>
      <c r="Q72">
        <f>L72+IF(M72&gt;1,N(N72)*(M72-1),0)</f>
        <v/>
      </c>
      <c r="R72">
        <f>IFERROR(K72*MAX(M72,1)/Q72*P72,0)</f>
        <v/>
      </c>
      <c r="AA72" s="6" t="inlineStr">
        <is>
          <t>^ShrapnelWeapon, ^HeavyMissile</t>
        </is>
      </c>
    </row>
    <row r="73">
      <c r="B73" s="6" t="inlineStr">
        <is>
          <t xml:space="preserve">  ↳ HellfireCryo</t>
        </is>
      </c>
      <c r="C73" s="6" t="inlineStr">
        <is>
          <t>Armament@Upgrade</t>
        </is>
      </c>
      <c r="K73" s="5" t="n">
        <v>8000</v>
      </c>
      <c r="L73" s="5" t="n">
        <v>16</v>
      </c>
      <c r="M73" s="5" t="n">
        <v>1</v>
      </c>
      <c r="N73" s="5" t="n"/>
      <c r="O73" s="5" t="n">
        <v>6540</v>
      </c>
      <c r="P73" s="5" t="n">
        <v>1</v>
      </c>
      <c r="Q73">
        <f>L73+IF(M73&gt;1,N(N73)*(M73-1),0)</f>
        <v/>
      </c>
      <c r="R73">
        <f>IFERROR(K73*MAX(M73,1)/Q73*P73,0)</f>
        <v/>
      </c>
      <c r="AA73" s="6" t="inlineStr">
        <is>
          <t>^ShrapnelWeapon, ^HeavyMissile, ^CryoMissileProjectile</t>
        </is>
      </c>
    </row>
    <row r="74">
      <c r="A74" t="inlineStr">
        <is>
          <t>redalert</t>
        </is>
      </c>
      <c r="B74" t="inlineStr">
        <is>
          <t>ra1_allies_rapierjumpjet</t>
        </is>
      </c>
      <c r="C74" t="inlineStr">
        <is>
          <t>Rapier Jumpjet</t>
        </is>
      </c>
      <c r="D74" t="inlineStr"/>
      <c r="E74" s="5" t="n">
        <v>77500</v>
      </c>
      <c r="F74" s="5" t="n">
        <v>210</v>
      </c>
      <c r="G74" t="inlineStr">
        <is>
          <t>Bomber</t>
        </is>
      </c>
      <c r="H74" s="5" t="n">
        <v>0.75</v>
      </c>
      <c r="I74" s="5" t="n">
        <v>1</v>
      </c>
      <c r="J74" s="5" t="n">
        <v>1</v>
      </c>
      <c r="O74">
        <f>MAX(O75,O76,O77,O78)</f>
        <v/>
      </c>
      <c r="R74">
        <f>R75+R76+R77+R78</f>
        <v/>
      </c>
      <c r="S74">
        <f>(E74/100000+F74/100+(O74/1000)*J74/5+R74/200)*200*I74*H74</f>
        <v/>
      </c>
      <c r="T74">
        <f>((E74*F74/25000)+((O74/1000)*J74*R74/2.5))*I74*H74</f>
        <v/>
      </c>
      <c r="U74">
        <f>(E74*F74*(O74/1000)*J74*R74*I74*H74)/12500000</f>
        <v/>
      </c>
      <c r="V74">
        <f>(S74+T74+U74)/3</f>
        <v/>
      </c>
      <c r="W74" s="5" t="n">
        <v>1300</v>
      </c>
      <c r="X74">
        <f>IFERROR(V74-W74,"")</f>
        <v/>
      </c>
      <c r="Y74">
        <f>IFERROR(ABS(X74)/MAX(W74,1),"")</f>
        <v/>
      </c>
      <c r="Z74">
        <f>IFERROR((W74-(((E74/100000+F74/100+R74/200)*200*I74*H74)+((E74*F74/25000)*I74*H74))/3)/(((J74/5)*200*I74*H74)+((J74*R74/2.5)*I74*H74)+((E74*F74*J74*R74*I74*H74)/12500000))/3*1000,"")</f>
        <v/>
      </c>
    </row>
    <row r="75">
      <c r="B75" s="6" t="inlineStr">
        <is>
          <t xml:space="preserve">  ↳ RapierBombs</t>
        </is>
      </c>
      <c r="C75" s="6" t="inlineStr">
        <is>
          <t>Armament@PRIMARY</t>
        </is>
      </c>
      <c r="K75" s="5" t="n">
        <v>10000</v>
      </c>
      <c r="L75" s="5" t="n">
        <v>60</v>
      </c>
      <c r="M75" s="5" t="n">
        <v>4</v>
      </c>
      <c r="N75" s="5" t="n">
        <v>2</v>
      </c>
      <c r="O75" s="5" t="n">
        <v>2000</v>
      </c>
      <c r="P75" s="5" t="n">
        <v>1</v>
      </c>
      <c r="Q75">
        <f>L75+IF(M75&gt;1,N(N75)*(M75-1),0)</f>
        <v/>
      </c>
      <c r="R75">
        <f>IFERROR(K75*MAX(M75,1)/Q75*P75,0)</f>
        <v/>
      </c>
      <c r="AA75" s="6" t="inlineStr">
        <is>
          <t>^HeavyBomb</t>
        </is>
      </c>
    </row>
    <row r="76">
      <c r="B76" s="6" t="inlineStr">
        <is>
          <t xml:space="preserve">  ↳ RapierBombsCryo</t>
        </is>
      </c>
      <c r="C76" s="6" t="inlineStr">
        <is>
          <t>Armament@Upgrade</t>
        </is>
      </c>
      <c r="K76" s="5" t="n">
        <v>10000</v>
      </c>
      <c r="L76" s="5" t="n">
        <v>60</v>
      </c>
      <c r="M76" s="5" t="n">
        <v>4</v>
      </c>
      <c r="N76" s="5" t="n">
        <v>2</v>
      </c>
      <c r="O76" s="5" t="n">
        <v>2000</v>
      </c>
      <c r="P76" s="5" t="n">
        <v>1</v>
      </c>
      <c r="Q76">
        <f>L76+IF(M76&gt;1,N(N76)*(M76-1),0)</f>
        <v/>
      </c>
      <c r="R76">
        <f>IFERROR(K76*MAX(M76,1)/Q76*P76,0)</f>
        <v/>
      </c>
      <c r="AA76" s="6" t="inlineStr">
        <is>
          <t>^HeavyBomb, ^CryoMissileProjectile</t>
        </is>
      </c>
    </row>
    <row r="77">
      <c r="B77" s="6" t="inlineStr">
        <is>
          <t xml:space="preserve">  ↳ Aphid</t>
        </is>
      </c>
      <c r="C77" s="6" t="inlineStr">
        <is>
          <t>Armament@SECONDARY</t>
        </is>
      </c>
      <c r="K77" s="5" t="n">
        <v>8000</v>
      </c>
      <c r="L77" s="5" t="n">
        <v>62</v>
      </c>
      <c r="M77" s="5" t="n">
        <v>2</v>
      </c>
      <c r="N77" s="5" t="n">
        <v>4</v>
      </c>
      <c r="O77" s="5" t="n">
        <v>7000</v>
      </c>
      <c r="P77" s="5" t="n">
        <v>1</v>
      </c>
      <c r="Q77">
        <f>L77+IF(M77&gt;1,N(N77)*(M77-1),0)</f>
        <v/>
      </c>
      <c r="R77">
        <f>IFERROR(K77*MAX(M77,1)/Q77*P77,0)</f>
        <v/>
      </c>
      <c r="AA77" s="6" t="inlineStr">
        <is>
          <t>^ShrapnelWeapon, ^ImpactGlow, ^HeavyMissile</t>
        </is>
      </c>
    </row>
    <row r="78">
      <c r="B78" s="6" t="inlineStr">
        <is>
          <t xml:space="preserve">  ↳ AphidCryo</t>
        </is>
      </c>
      <c r="C78" s="6" t="inlineStr">
        <is>
          <t>Armament@SECONDARYUpgrade</t>
        </is>
      </c>
      <c r="K78" s="5" t="n">
        <v>8000</v>
      </c>
      <c r="L78" s="5" t="n">
        <v>62</v>
      </c>
      <c r="M78" s="5" t="n">
        <v>2</v>
      </c>
      <c r="N78" s="5" t="n">
        <v>4</v>
      </c>
      <c r="O78" s="5" t="n">
        <v>7000</v>
      </c>
      <c r="P78" s="5" t="n">
        <v>1</v>
      </c>
      <c r="Q78">
        <f>L78+IF(M78&gt;1,N(N78)*(M78-1),0)</f>
        <v/>
      </c>
      <c r="R78">
        <f>IFERROR(K78*MAX(M78,1)/Q78*P78,0)</f>
        <v/>
      </c>
      <c r="AA78" s="6" t="inlineStr">
        <is>
          <t>^ShrapnelWeapon, ^ImpactGlow, ^HeavyMissile, ^CryoMissileProjectile</t>
        </is>
      </c>
    </row>
    <row r="79">
      <c r="A79" s="3" t="inlineStr">
        <is>
          <t>DEFENSES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>
      <c r="A80" t="inlineStr">
        <is>
          <t>redalert</t>
        </is>
      </c>
      <c r="B80" t="inlineStr">
        <is>
          <t>ra1_allies_alliedaagun</t>
        </is>
      </c>
      <c r="C80" t="inlineStr">
        <is>
          <t>Allied AA Gun</t>
        </is>
      </c>
      <c r="D80" t="inlineStr"/>
      <c r="E80" s="5" t="n">
        <v>62500</v>
      </c>
      <c r="F80" s="5" t="n">
        <v>100</v>
      </c>
      <c r="G80" t="inlineStr">
        <is>
          <t>Concrete</t>
        </is>
      </c>
      <c r="H80" s="5" t="n">
        <v>1</v>
      </c>
      <c r="I80" s="5" t="n">
        <v>1</v>
      </c>
      <c r="J80" s="5" t="n">
        <v>1</v>
      </c>
      <c r="O80">
        <f>MAX(O81)</f>
        <v/>
      </c>
      <c r="R80">
        <f>R81</f>
        <v/>
      </c>
      <c r="S80">
        <f>(E80/100000+F80/100+(O80/1000)*J80/5+R80/200)*200*I80*H80</f>
        <v/>
      </c>
      <c r="T80">
        <f>((E80*F80/25000)+((O80/1000)*J80*R80/2.5))*I80*H80</f>
        <v/>
      </c>
      <c r="U80">
        <f>(E80*F80*(O80/1000)*J80*R80*I80*H80)/12500000</f>
        <v/>
      </c>
      <c r="V80">
        <f>(S80+T80+U80)/3</f>
        <v/>
      </c>
      <c r="W80" s="5" t="n">
        <v>500</v>
      </c>
      <c r="X80">
        <f>IFERROR(V80-W80,"")</f>
        <v/>
      </c>
      <c r="Y80">
        <f>IFERROR(ABS(X80)/MAX(W80,1),"")</f>
        <v/>
      </c>
      <c r="Z80">
        <f>IFERROR((W80-(((E80/100000+F80/100+R80/200)*200*I80*H80)+((E80*F80/25000)*I80*H80))/3)/(((J80/5)*200*I80*H80)+((J80*R80/2.5)*I80*H80)+((E80*F80*J80*R80*I80*H80)/12500000))/3*1000,"")</f>
        <v/>
      </c>
    </row>
    <row r="81">
      <c r="B81" s="6" t="inlineStr">
        <is>
          <t xml:space="preserve">  ↳ zsu_23</t>
        </is>
      </c>
      <c r="C81" s="6" t="inlineStr">
        <is>
          <t>Armament</t>
        </is>
      </c>
      <c r="K81" s="5" t="n">
        <v>4000</v>
      </c>
      <c r="L81" s="5" t="n">
        <v>14</v>
      </c>
      <c r="M81" s="5" t="n">
        <v>2</v>
      </c>
      <c r="N81" s="5" t="n">
        <v>2</v>
      </c>
      <c r="O81" s="5" t="n">
        <v>11412</v>
      </c>
      <c r="P81" s="5" t="n">
        <v>1</v>
      </c>
      <c r="Q81">
        <f>L81+IF(M81&gt;1,N(N81)*(M81-1),0)</f>
        <v/>
      </c>
      <c r="R81">
        <f>IFERROR(K81*MAX(M81,1)/Q81*P81,0)</f>
        <v/>
      </c>
      <c r="AA81" s="6" t="inlineStr">
        <is>
          <t>^FlakWeapon</t>
        </is>
      </c>
    </row>
    <row r="82">
      <c r="A82" t="inlineStr">
        <is>
          <t>redalert</t>
        </is>
      </c>
      <c r="B82" t="inlineStr">
        <is>
          <t>ra1_allies_alliedgunturret</t>
        </is>
      </c>
      <c r="C82" t="inlineStr">
        <is>
          <t>Allied Gun Turret</t>
        </is>
      </c>
      <c r="D82" t="inlineStr"/>
      <c r="E82" s="5" t="n">
        <v>100000</v>
      </c>
      <c r="F82" s="5" t="n">
        <v>100</v>
      </c>
      <c r="G82" t="inlineStr">
        <is>
          <t>Concrete</t>
        </is>
      </c>
      <c r="H82" s="5" t="n">
        <v>1</v>
      </c>
      <c r="I82" s="5" t="n">
        <v>0.35</v>
      </c>
      <c r="J82" s="5" t="n">
        <v>1</v>
      </c>
      <c r="O82">
        <f>MAX(O83)</f>
        <v/>
      </c>
      <c r="R82">
        <f>R83</f>
        <v/>
      </c>
      <c r="S82">
        <f>(E82/100000+F82/100+(O82/1000)*J82/5+R82/200)*200*I82*H82</f>
        <v/>
      </c>
      <c r="T82">
        <f>((E82*F82/25000)+((O82/1000)*J82*R82/2.5))*I82*H82</f>
        <v/>
      </c>
      <c r="U82">
        <f>(E82*F82*(O82/1000)*J82*R82*I82*H82)/12500000</f>
        <v/>
      </c>
      <c r="V82">
        <f>(S82+T82+U82)/3</f>
        <v/>
      </c>
      <c r="W82" s="5" t="n">
        <v>800</v>
      </c>
      <c r="X82">
        <f>IFERROR(V82-W82,"")</f>
        <v/>
      </c>
      <c r="Y82">
        <f>IFERROR(ABS(X82)/MAX(W82,1),"")</f>
        <v/>
      </c>
      <c r="Z82">
        <f>IFERROR((W82-(((E82/100000+F82/100+R82/200)*200*I82*H82)+((E82*F82/25000)*I82*H82))/3)/(((J82/5)*200*I82*H82)+((J82*R82/2.5)*I82*H82)+((E82*F82*J82*R82*I82*H82)/12500000))/3*1000,"")</f>
        <v/>
      </c>
    </row>
    <row r="83">
      <c r="B83" s="6" t="inlineStr">
        <is>
          <t xml:space="preserve">  ↳ RATurretGun</t>
        </is>
      </c>
      <c r="C83" s="6" t="inlineStr">
        <is>
          <t>Armament</t>
        </is>
      </c>
      <c r="K83" s="5" t="n">
        <v>10000</v>
      </c>
      <c r="L83" s="5" t="n">
        <v>40</v>
      </c>
      <c r="M83" s="5" t="n">
        <v>1</v>
      </c>
      <c r="N83" s="5" t="n"/>
      <c r="O83" s="5" t="n">
        <v>7685</v>
      </c>
      <c r="P83" s="5" t="n">
        <v>1</v>
      </c>
      <c r="Q83">
        <f>L83+IF(M83&gt;1,N(N83)*(M83-1),0)</f>
        <v/>
      </c>
      <c r="R83">
        <f>IFERROR(K83*MAX(M83,1)/Q83*P83,0)</f>
        <v/>
      </c>
      <c r="AA83" s="6" t="inlineStr">
        <is>
          <t>^ShrapnelWeapon, ^HeavyCannon</t>
        </is>
      </c>
    </row>
    <row r="84">
      <c r="A84" t="inlineStr">
        <is>
          <t>redalert</t>
        </is>
      </c>
      <c r="B84" t="inlineStr">
        <is>
          <t>ra1_allies_bastionartillerybunker</t>
        </is>
      </c>
      <c r="C84" t="inlineStr">
        <is>
          <t>Bastion Artillery Bunker</t>
        </is>
      </c>
      <c r="D84" t="inlineStr"/>
      <c r="E84" s="5" t="n">
        <v>350000</v>
      </c>
      <c r="F84" s="5" t="n">
        <v>100</v>
      </c>
      <c r="G84" t="inlineStr">
        <is>
          <t>Steel</t>
        </is>
      </c>
      <c r="H84" s="5" t="n">
        <v>1</v>
      </c>
      <c r="I84" s="5" t="n">
        <v>1</v>
      </c>
      <c r="J84" s="5" t="n">
        <v>1</v>
      </c>
      <c r="O84">
        <f>MAX(O85,O86)</f>
        <v/>
      </c>
      <c r="R84">
        <f>R85+R86</f>
        <v/>
      </c>
      <c r="S84">
        <f>(E84/100000+F84/100+(O84/1000)*J84/5+R84/200)*200*I84*H84</f>
        <v/>
      </c>
      <c r="T84">
        <f>((E84*F84/25000)+((O84/1000)*J84*R84/2.5))*I84*H84</f>
        <v/>
      </c>
      <c r="U84">
        <f>(E84*F84*(O84/1000)*J84*R84*I84*H84)/12500000</f>
        <v/>
      </c>
      <c r="V84">
        <f>(S84+T84+U84)/3</f>
        <v/>
      </c>
      <c r="W84" s="5" t="n">
        <v>2000</v>
      </c>
      <c r="X84">
        <f>IFERROR(V84-W84,"")</f>
        <v/>
      </c>
      <c r="Y84">
        <f>IFERROR(ABS(X84)/MAX(W84,1),"")</f>
        <v/>
      </c>
      <c r="Z84">
        <f>IFERROR((W84-(((E84/100000+F84/100+R84/200)*200*I84*H84)+((E84*F84/25000)*I84*H84))/3)/(((J84/5)*200*I84*H84)+((J84*R84/2.5)*I84*H84)+((E84*F84*J84*R84*I84*H84)/12500000))/3*1000,"")</f>
        <v/>
      </c>
    </row>
    <row r="85">
      <c r="B85" s="6" t="inlineStr">
        <is>
          <t xml:space="preserve">  ↳ 155mmBastion</t>
        </is>
      </c>
      <c r="C85" s="6" t="inlineStr">
        <is>
          <t>Armament</t>
        </is>
      </c>
      <c r="K85" s="5" t="n">
        <v>10000</v>
      </c>
      <c r="L85" s="5" t="n">
        <v>80</v>
      </c>
      <c r="M85" s="5" t="n">
        <v>1</v>
      </c>
      <c r="N85" s="5" t="n"/>
      <c r="O85" s="5" t="n">
        <v>10185</v>
      </c>
      <c r="P85" s="5" t="n">
        <v>1</v>
      </c>
      <c r="Q85">
        <f>L85+IF(M85&gt;1,N(N85)*(M85-1),0)</f>
        <v/>
      </c>
      <c r="R85">
        <f>IFERROR(K85*MAX(M85,1)/Q85*P85,0)</f>
        <v/>
      </c>
      <c r="AA85" s="6" t="inlineStr">
        <is>
          <t>^HeavyCannon, ^ShrapnelWeapon, ^Grenade</t>
        </is>
      </c>
    </row>
    <row r="86">
      <c r="B86" s="6" t="inlineStr">
        <is>
          <t xml:space="preserve">  ↳ 155mmBastionCryo</t>
        </is>
      </c>
      <c r="C86" s="6" t="inlineStr">
        <is>
          <t>Armament@Upgrade</t>
        </is>
      </c>
      <c r="K86" s="5" t="n">
        <v>10000</v>
      </c>
      <c r="L86" s="5" t="n">
        <v>80</v>
      </c>
      <c r="M86" s="5" t="n">
        <v>1</v>
      </c>
      <c r="N86" s="5" t="n"/>
      <c r="O86" s="5" t="n">
        <v>10185</v>
      </c>
      <c r="P86" s="5" t="n">
        <v>1</v>
      </c>
      <c r="Q86">
        <f>L86+IF(M86&gt;1,N(N86)*(M86-1),0)</f>
        <v/>
      </c>
      <c r="R86">
        <f>IFERROR(K86*MAX(M86,1)/Q86*P86,0)</f>
        <v/>
      </c>
      <c r="AA86" s="6" t="inlineStr">
        <is>
          <t>^HeavyCannon, ^ShrapnelWeapon, ^Grenade, ^CryoMissileProjectile</t>
        </is>
      </c>
    </row>
    <row r="87">
      <c r="A87" t="inlineStr">
        <is>
          <t>redalert</t>
        </is>
      </c>
      <c r="B87" t="inlineStr">
        <is>
          <t>ra1_allies_camopillbox</t>
        </is>
      </c>
      <c r="C87" t="inlineStr">
        <is>
          <t>Camo Pillbox</t>
        </is>
      </c>
      <c r="D87" t="inlineStr"/>
      <c r="E87" s="5" t="n">
        <v>122500</v>
      </c>
      <c r="F87" s="5" t="n">
        <v>100</v>
      </c>
      <c r="G87" t="inlineStr">
        <is>
          <t>Concrete</t>
        </is>
      </c>
      <c r="H87" s="5" t="n">
        <v>1</v>
      </c>
      <c r="I87" s="5" t="n">
        <v>0.35</v>
      </c>
      <c r="J87" s="5" t="n">
        <v>1.25</v>
      </c>
      <c r="W87" s="5" t="n">
        <v>1300</v>
      </c>
    </row>
    <row r="88">
      <c r="A88" t="inlineStr">
        <is>
          <t>redalert</t>
        </is>
      </c>
      <c r="B88" t="inlineStr">
        <is>
          <t>ra1_allies_chronosphere</t>
        </is>
      </c>
      <c r="C88" t="inlineStr">
        <is>
          <t>Chronosphere</t>
        </is>
      </c>
      <c r="D88" t="inlineStr"/>
      <c r="E88" s="5" t="n">
        <v>1000000</v>
      </c>
      <c r="F88" s="5" t="n">
        <v>100</v>
      </c>
      <c r="G88" t="inlineStr">
        <is>
          <t>Concrete</t>
        </is>
      </c>
      <c r="H88" s="5" t="n">
        <v>1</v>
      </c>
      <c r="I88" s="5" t="n">
        <v>1</v>
      </c>
      <c r="J88" s="5" t="n">
        <v>1</v>
      </c>
      <c r="W88" s="5" t="n">
        <v>10000</v>
      </c>
    </row>
    <row r="89">
      <c r="A89" t="inlineStr">
        <is>
          <t>redalert</t>
        </is>
      </c>
      <c r="B89" t="inlineStr">
        <is>
          <t>ra1_allies_gapgenerator</t>
        </is>
      </c>
      <c r="C89" t="inlineStr">
        <is>
          <t>Gap Generator</t>
        </is>
      </c>
      <c r="D89" t="inlineStr"/>
      <c r="E89" s="5" t="n">
        <v>50000</v>
      </c>
      <c r="F89" s="5" t="n">
        <v>100</v>
      </c>
      <c r="G89" t="inlineStr">
        <is>
          <t>Steel</t>
        </is>
      </c>
      <c r="H89" s="5" t="n">
        <v>1</v>
      </c>
      <c r="I89" s="5" t="n">
        <v>1</v>
      </c>
      <c r="J89" s="5" t="n">
        <v>1</v>
      </c>
      <c r="W89" s="5" t="n">
        <v>5000</v>
      </c>
    </row>
    <row r="90">
      <c r="A90" t="inlineStr">
        <is>
          <t>redalert</t>
        </is>
      </c>
      <c r="B90" t="inlineStr">
        <is>
          <t>ra1_allies_pillbox</t>
        </is>
      </c>
      <c r="C90" t="inlineStr">
        <is>
          <t>Pillbox</t>
        </is>
      </c>
      <c r="D90" t="inlineStr"/>
      <c r="E90" s="5" t="n">
        <v>90000</v>
      </c>
      <c r="F90" s="5" t="n">
        <v>100</v>
      </c>
      <c r="G90" t="inlineStr">
        <is>
          <t>Concrete</t>
        </is>
      </c>
      <c r="H90" s="5" t="n">
        <v>1</v>
      </c>
      <c r="I90" s="5" t="n">
        <v>1</v>
      </c>
      <c r="J90" s="5" t="n">
        <v>1</v>
      </c>
      <c r="W90" s="5" t="n">
        <v>400</v>
      </c>
    </row>
    <row r="91">
      <c r="A91" s="3" t="inlineStr">
        <is>
          <t>BUILDINGS</t>
        </is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  <row r="92">
      <c r="A92" t="inlineStr">
        <is>
          <t>redalert</t>
        </is>
      </c>
      <c r="B92" t="inlineStr">
        <is>
          <t>ra1_allies_alliedbarracks</t>
        </is>
      </c>
      <c r="C92" t="inlineStr">
        <is>
          <t>Allied Barracks</t>
        </is>
      </c>
      <c r="D92" t="inlineStr"/>
      <c r="E92" s="5" t="n">
        <v>200000</v>
      </c>
      <c r="F92" s="5" t="n"/>
      <c r="G92" t="inlineStr">
        <is>
          <t>Wood</t>
        </is>
      </c>
      <c r="H92" s="5" t="n">
        <v>1</v>
      </c>
      <c r="I92" s="5" t="n">
        <v>1</v>
      </c>
      <c r="J92" s="5" t="n">
        <v>1</v>
      </c>
      <c r="W92" s="5" t="n">
        <v>1000</v>
      </c>
    </row>
    <row r="93">
      <c r="A93" t="inlineStr">
        <is>
          <t>redalert</t>
        </is>
      </c>
      <c r="B93" t="inlineStr">
        <is>
          <t>ra1_allies_alliedconstructionyard</t>
        </is>
      </c>
      <c r="C93" t="inlineStr">
        <is>
          <t>Allied Construction Yard</t>
        </is>
      </c>
      <c r="D93" t="inlineStr"/>
      <c r="E93" s="5" t="n">
        <v>1000000</v>
      </c>
      <c r="F93" s="5" t="n"/>
      <c r="G93" t="inlineStr">
        <is>
          <t>Concrete</t>
        </is>
      </c>
      <c r="H93" s="5" t="n">
        <v>1</v>
      </c>
      <c r="I93" s="5" t="n">
        <v>1</v>
      </c>
      <c r="J93" s="5" t="n">
        <v>1</v>
      </c>
      <c r="W93" s="5" t="n">
        <v>5000</v>
      </c>
    </row>
    <row r="94">
      <c r="A94" t="inlineStr">
        <is>
          <t>redalert</t>
        </is>
      </c>
      <c r="B94" t="inlineStr">
        <is>
          <t>ra1_allies_alliedhelipad</t>
        </is>
      </c>
      <c r="C94" t="inlineStr">
        <is>
          <t>Allied Helipad</t>
        </is>
      </c>
      <c r="D94" t="inlineStr"/>
      <c r="E94" s="5" t="n">
        <v>300000</v>
      </c>
      <c r="F94" s="5" t="n"/>
      <c r="G94" t="inlineStr">
        <is>
          <t>Wood</t>
        </is>
      </c>
      <c r="H94" s="5" t="n">
        <v>1</v>
      </c>
      <c r="I94" s="5" t="n">
        <v>1</v>
      </c>
      <c r="J94" s="5" t="n">
        <v>1</v>
      </c>
      <c r="W94" s="5" t="n">
        <v>1500</v>
      </c>
    </row>
    <row r="95">
      <c r="A95" t="inlineStr">
        <is>
          <t>redalert</t>
        </is>
      </c>
      <c r="B95" t="inlineStr">
        <is>
          <t>ra1_allies_alliedorerefinery</t>
        </is>
      </c>
      <c r="C95" t="inlineStr">
        <is>
          <t>Allied Ore Refinery</t>
        </is>
      </c>
      <c r="D95" t="inlineStr"/>
      <c r="E95" s="5" t="n">
        <v>300000</v>
      </c>
      <c r="F95" s="5" t="n"/>
      <c r="G95" t="inlineStr">
        <is>
          <t>Concrete</t>
        </is>
      </c>
      <c r="H95" s="5" t="n">
        <v>1</v>
      </c>
      <c r="I95" s="5" t="n">
        <v>1</v>
      </c>
      <c r="J95" s="5" t="n">
        <v>1</v>
      </c>
      <c r="W95" s="5" t="n">
        <v>3000</v>
      </c>
    </row>
    <row r="96">
      <c r="A96" t="inlineStr">
        <is>
          <t>redalert</t>
        </is>
      </c>
      <c r="B96" t="inlineStr">
        <is>
          <t>ra1_allies_alliedradardome</t>
        </is>
      </c>
      <c r="C96" t="inlineStr">
        <is>
          <t>Allied Radar Dome</t>
        </is>
      </c>
      <c r="D96" t="inlineStr"/>
      <c r="E96" s="5" t="n">
        <v>250000</v>
      </c>
      <c r="F96" s="5" t="n"/>
      <c r="G96" t="inlineStr">
        <is>
          <t>Wood</t>
        </is>
      </c>
      <c r="H96" s="5" t="n">
        <v>1</v>
      </c>
      <c r="I96" s="5" t="n">
        <v>1</v>
      </c>
      <c r="J96" s="5" t="n">
        <v>1</v>
      </c>
      <c r="W96" s="5" t="n">
        <v>2500</v>
      </c>
    </row>
    <row r="97">
      <c r="A97" t="inlineStr">
        <is>
          <t>redalert</t>
        </is>
      </c>
      <c r="B97" t="inlineStr">
        <is>
          <t>ra1_allies_alliedservicedepot</t>
        </is>
      </c>
      <c r="C97" t="inlineStr">
        <is>
          <t>Allied Service Depot</t>
        </is>
      </c>
      <c r="D97" t="inlineStr"/>
      <c r="E97" s="5" t="n">
        <v>250000</v>
      </c>
      <c r="F97" s="5" t="n"/>
      <c r="G97" t="inlineStr">
        <is>
          <t>Concrete</t>
        </is>
      </c>
      <c r="H97" s="5" t="n">
        <v>1</v>
      </c>
      <c r="I97" s="5" t="n">
        <v>1</v>
      </c>
      <c r="J97" s="5" t="n">
        <v>1</v>
      </c>
      <c r="W97" s="5" t="n">
        <v>1000</v>
      </c>
    </row>
    <row r="98">
      <c r="A98" t="inlineStr">
        <is>
          <t>redalert</t>
        </is>
      </c>
      <c r="B98" t="inlineStr">
        <is>
          <t>ra1_allies_alliedtechcenter</t>
        </is>
      </c>
      <c r="C98" t="inlineStr">
        <is>
          <t>Allied Tech Center</t>
        </is>
      </c>
      <c r="D98" t="inlineStr"/>
      <c r="E98" s="5" t="n">
        <v>500000</v>
      </c>
      <c r="F98" s="5" t="n"/>
      <c r="G98" t="inlineStr">
        <is>
          <t>Concrete</t>
        </is>
      </c>
      <c r="H98" s="5" t="n">
        <v>1</v>
      </c>
      <c r="I98" s="5" t="n">
        <v>1</v>
      </c>
      <c r="J98" s="5" t="n">
        <v>1</v>
      </c>
      <c r="W98" s="5" t="n">
        <v>5000</v>
      </c>
    </row>
    <row r="99">
      <c r="A99" t="inlineStr">
        <is>
          <t>redalert</t>
        </is>
      </c>
      <c r="B99" t="inlineStr">
        <is>
          <t>ra1_allies_alliedwarfactory</t>
        </is>
      </c>
      <c r="C99" t="inlineStr">
        <is>
          <t>Allied War Factory</t>
        </is>
      </c>
      <c r="D99" t="inlineStr"/>
      <c r="E99" s="5" t="n">
        <v>400000</v>
      </c>
      <c r="F99" s="5" t="n"/>
      <c r="G99" t="inlineStr">
        <is>
          <t>Concrete</t>
        </is>
      </c>
      <c r="H99" s="5" t="n">
        <v>1</v>
      </c>
      <c r="I99" s="5" t="n">
        <v>1</v>
      </c>
      <c r="J99" s="5" t="n">
        <v>1</v>
      </c>
      <c r="W99" s="5" t="n">
        <v>2000</v>
      </c>
    </row>
    <row r="100">
      <c r="A100" t="inlineStr">
        <is>
          <t>redalert</t>
        </is>
      </c>
      <c r="B100" t="inlineStr">
        <is>
          <t>ra1_allies_reinforcementpad</t>
        </is>
      </c>
      <c r="C100" t="inlineStr">
        <is>
          <t>Reinforcement Pad</t>
        </is>
      </c>
      <c r="D100" t="inlineStr"/>
      <c r="E100" s="5" t="n">
        <v>500000</v>
      </c>
      <c r="F100" s="5" t="n"/>
      <c r="G100" t="inlineStr">
        <is>
          <t>Concrete</t>
        </is>
      </c>
      <c r="H100" s="5" t="n">
        <v>1</v>
      </c>
      <c r="I100" s="5" t="n">
        <v>1</v>
      </c>
      <c r="J100" s="5" t="n">
        <v>1</v>
      </c>
      <c r="W100" s="5" t="n">
        <v>5000</v>
      </c>
    </row>
    <row r="101">
      <c r="A101" s="3" t="inlineStr">
        <is>
          <t>UPGRADES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>
      <c r="A102" t="inlineStr">
        <is>
          <t>redalert</t>
        </is>
      </c>
      <c r="B102" t="inlineStr">
        <is>
          <t>ra1_allies_upgrade_advancedradarsystems</t>
        </is>
      </c>
      <c r="C102" t="inlineStr">
        <is>
          <t>Advanced Radar Systems</t>
        </is>
      </c>
      <c r="D102" t="inlineStr"/>
      <c r="E102" s="5" t="n"/>
      <c r="F102" s="5" t="n"/>
      <c r="H102" s="5" t="n">
        <v>1</v>
      </c>
      <c r="I102" s="5" t="n">
        <v>1</v>
      </c>
      <c r="J102" s="5" t="n">
        <v>1</v>
      </c>
      <c r="W102" s="5" t="n">
        <v>5000</v>
      </c>
    </row>
    <row r="103">
      <c r="A103" t="inlineStr">
        <is>
          <t>redalert</t>
        </is>
      </c>
      <c r="B103" t="inlineStr">
        <is>
          <t>ra1_allies_upgrade_airsuperioritydoctrine</t>
        </is>
      </c>
      <c r="C103" t="inlineStr">
        <is>
          <t>Air Superiority Doctrine</t>
        </is>
      </c>
      <c r="D103" t="inlineStr"/>
      <c r="E103" s="5" t="n"/>
      <c r="F103" s="5" t="n"/>
      <c r="H103" s="5" t="n">
        <v>1</v>
      </c>
      <c r="I103" s="5" t="n">
        <v>1</v>
      </c>
      <c r="J103" s="5" t="n">
        <v>1</v>
      </c>
      <c r="W103" s="5" t="n">
        <v>7500</v>
      </c>
    </row>
    <row r="104">
      <c r="A104" t="inlineStr">
        <is>
          <t>redalert</t>
        </is>
      </c>
      <c r="B104" t="inlineStr">
        <is>
          <t>ra1_allies_upgrade_chronoarmor</t>
        </is>
      </c>
      <c r="C104" t="inlineStr">
        <is>
          <t>Chrono Armor</t>
        </is>
      </c>
      <c r="D104" t="inlineStr"/>
      <c r="E104" s="5" t="n"/>
      <c r="F104" s="5" t="n"/>
      <c r="H104" s="5" t="n">
        <v>1</v>
      </c>
      <c r="I104" s="5" t="n">
        <v>1</v>
      </c>
      <c r="J104" s="5" t="n">
        <v>1</v>
      </c>
      <c r="W104" s="5" t="n">
        <v>7500</v>
      </c>
    </row>
    <row r="105">
      <c r="A105" t="inlineStr">
        <is>
          <t>redalert</t>
        </is>
      </c>
      <c r="B105" t="inlineStr">
        <is>
          <t>ra1_allies_upgrade_cryomissiles</t>
        </is>
      </c>
      <c r="C105" t="inlineStr">
        <is>
          <t>Cryo Missiles</t>
        </is>
      </c>
      <c r="D105" t="inlineStr"/>
      <c r="E105" s="5" t="n"/>
      <c r="F105" s="5" t="n"/>
      <c r="H105" s="5" t="n">
        <v>1</v>
      </c>
      <c r="I105" s="5" t="n">
        <v>1</v>
      </c>
      <c r="J105" s="5" t="n">
        <v>1</v>
      </c>
      <c r="W105" s="5" t="n">
        <v>10000</v>
      </c>
    </row>
    <row r="106">
      <c r="A106" t="inlineStr">
        <is>
          <t>redalert</t>
        </is>
      </c>
      <c r="B106" t="inlineStr">
        <is>
          <t>ra1_allies_upgrade_gpssatellitesupport</t>
        </is>
      </c>
      <c r="C106" t="inlineStr">
        <is>
          <t>GPS Satellite Support</t>
        </is>
      </c>
      <c r="D106" t="inlineStr"/>
      <c r="E106" s="5" t="n"/>
      <c r="F106" s="5" t="n"/>
      <c r="H106" s="5" t="n">
        <v>1</v>
      </c>
      <c r="I106" s="5" t="n">
        <v>1</v>
      </c>
      <c r="J106" s="5" t="n">
        <v>1</v>
      </c>
      <c r="W106" s="5" t="n">
        <v>12500</v>
      </c>
    </row>
    <row r="107">
      <c r="A107" t="inlineStr">
        <is>
          <t>redalert</t>
        </is>
      </c>
      <c r="B107" t="inlineStr">
        <is>
          <t>ra1_allies_upgrade_infantryarmorplating</t>
        </is>
      </c>
      <c r="C107" t="inlineStr">
        <is>
          <t>Infantry Armor Plating</t>
        </is>
      </c>
      <c r="D107" t="inlineStr"/>
      <c r="E107" s="5" t="n"/>
      <c r="F107" s="5" t="n"/>
      <c r="H107" s="5" t="n">
        <v>1</v>
      </c>
      <c r="I107" s="5" t="n">
        <v>1</v>
      </c>
      <c r="J107" s="5" t="n">
        <v>1</v>
      </c>
      <c r="W107" s="5" t="n">
        <v>5000</v>
      </c>
    </row>
    <row r="108">
      <c r="A108" t="inlineStr">
        <is>
          <t>redalert</t>
        </is>
      </c>
      <c r="B108" t="inlineStr">
        <is>
          <t>ra1_allies_upgrade_lasertargetingsystems</t>
        </is>
      </c>
      <c r="C108" t="inlineStr">
        <is>
          <t>Laser Targeting Systems</t>
        </is>
      </c>
      <c r="D108" t="inlineStr"/>
      <c r="E108" s="5" t="n"/>
      <c r="F108" s="5" t="n"/>
      <c r="H108" s="5" t="n">
        <v>1</v>
      </c>
      <c r="I108" s="5" t="n">
        <v>1</v>
      </c>
      <c r="J108" s="5" t="n">
        <v>1</v>
      </c>
      <c r="W108" s="5" t="n">
        <v>7500</v>
      </c>
    </row>
    <row r="109">
      <c r="A109" t="inlineStr">
        <is>
          <t>redalert</t>
        </is>
      </c>
      <c r="B109" t="inlineStr">
        <is>
          <t>ra1_allies_upgrade_reinforcedstructures</t>
        </is>
      </c>
      <c r="C109" t="inlineStr">
        <is>
          <t>Reinforced Structures</t>
        </is>
      </c>
      <c r="D109" t="inlineStr"/>
      <c r="E109" s="5" t="n"/>
      <c r="F109" s="5" t="n"/>
      <c r="H109" s="5" t="n">
        <v>1</v>
      </c>
      <c r="I109" s="5" t="n">
        <v>1</v>
      </c>
      <c r="J109" s="5" t="n">
        <v>1</v>
      </c>
      <c r="W109" s="5" t="n">
        <v>5000</v>
      </c>
    </row>
    <row r="110">
      <c r="A110" s="3" t="inlineStr">
        <is>
          <t>PROMOTIONS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>
      <c r="A111" t="inlineStr">
        <is>
          <t>redalert</t>
        </is>
      </c>
      <c r="B111" t="inlineStr">
        <is>
          <t>ra1_allies_promotion_unlockbastion</t>
        </is>
      </c>
      <c r="C111" t="inlineStr">
        <is>
          <t>Unlock Bastion</t>
        </is>
      </c>
      <c r="D111" t="inlineStr"/>
      <c r="E111" s="5" t="n"/>
      <c r="F111" s="5" t="n"/>
      <c r="H111" s="5" t="n">
        <v>1</v>
      </c>
      <c r="I111" s="5" t="n">
        <v>1</v>
      </c>
      <c r="J111" s="5" t="n">
        <v>1</v>
      </c>
      <c r="W111" s="5" t="n"/>
    </row>
    <row r="112">
      <c r="A112" t="inlineStr">
        <is>
          <t>redalert</t>
        </is>
      </c>
      <c r="B112" t="inlineStr">
        <is>
          <t>ra1_allies_promotion_unlockcamopillbox</t>
        </is>
      </c>
      <c r="C112" t="inlineStr">
        <is>
          <t>Unlock Camo Pillbox</t>
        </is>
      </c>
      <c r="D112" t="inlineStr"/>
      <c r="E112" s="5" t="n"/>
      <c r="F112" s="5" t="n"/>
      <c r="H112" s="5" t="n">
        <v>1</v>
      </c>
      <c r="I112" s="5" t="n">
        <v>1</v>
      </c>
      <c r="J112" s="5" t="n">
        <v>1</v>
      </c>
      <c r="W112" s="5" t="n"/>
    </row>
    <row r="113">
      <c r="A113" t="inlineStr">
        <is>
          <t>redalert</t>
        </is>
      </c>
      <c r="B113" t="inlineStr">
        <is>
          <t>ra1_allies_promotion_unlockchronotank</t>
        </is>
      </c>
      <c r="C113" t="inlineStr">
        <is>
          <t>Unlock Chrono Tank</t>
        </is>
      </c>
      <c r="D113" t="inlineStr"/>
      <c r="E113" s="5" t="n"/>
      <c r="F113" s="5" t="n"/>
      <c r="H113" s="5" t="n">
        <v>1</v>
      </c>
      <c r="I113" s="5" t="n">
        <v>1</v>
      </c>
      <c r="J113" s="5" t="n">
        <v>1</v>
      </c>
      <c r="W113" s="5" t="n"/>
    </row>
    <row r="114">
      <c r="A114" t="inlineStr">
        <is>
          <t>redalert</t>
        </is>
      </c>
      <c r="B114" t="inlineStr">
        <is>
          <t>ra1_allies_promotion_unlockgapgeneratorandradarjammer</t>
        </is>
      </c>
      <c r="C114" t="inlineStr">
        <is>
          <t>Unlock Gap Generator and Radar Jammer</t>
        </is>
      </c>
      <c r="D114" t="inlineStr"/>
      <c r="E114" s="5" t="n"/>
      <c r="F114" s="5" t="n"/>
      <c r="H114" s="5" t="n">
        <v>1</v>
      </c>
      <c r="I114" s="5" t="n">
        <v>1</v>
      </c>
      <c r="J114" s="5" t="n">
        <v>1</v>
      </c>
      <c r="W114" s="5" t="n"/>
    </row>
    <row r="115">
      <c r="A115" t="inlineStr">
        <is>
          <t>redalert</t>
        </is>
      </c>
      <c r="B115" t="inlineStr">
        <is>
          <t>ra1_allies_promotion_unlockmachinegunner</t>
        </is>
      </c>
      <c r="C115" t="inlineStr">
        <is>
          <t>Unlock Machine Gunner</t>
        </is>
      </c>
      <c r="D115" t="inlineStr"/>
      <c r="E115" s="5" t="n"/>
      <c r="F115" s="5" t="n"/>
      <c r="H115" s="5" t="n">
        <v>1</v>
      </c>
      <c r="I115" s="5" t="n">
        <v>1</v>
      </c>
      <c r="J115" s="5" t="n">
        <v>1</v>
      </c>
      <c r="W115" s="5" t="n"/>
    </row>
    <row r="116">
      <c r="A116" t="inlineStr">
        <is>
          <t>redalert</t>
        </is>
      </c>
      <c r="B116" t="inlineStr">
        <is>
          <t>ra1_allies_promotion_unlockphasetransport</t>
        </is>
      </c>
      <c r="C116" t="inlineStr">
        <is>
          <t>Unlock Phase Transport</t>
        </is>
      </c>
      <c r="D116" t="inlineStr"/>
      <c r="E116" s="5" t="n"/>
      <c r="F116" s="5" t="n"/>
      <c r="H116" s="5" t="n">
        <v>1</v>
      </c>
      <c r="I116" s="5" t="n">
        <v>1</v>
      </c>
      <c r="J116" s="5" t="n">
        <v>1</v>
      </c>
      <c r="W116" s="5" t="n"/>
    </row>
    <row r="117">
      <c r="A117" t="inlineStr">
        <is>
          <t>redalert</t>
        </is>
      </c>
      <c r="B117" t="inlineStr">
        <is>
          <t>ra1_allies_promotion_unlockrapierjumpjet</t>
        </is>
      </c>
      <c r="C117" t="inlineStr">
        <is>
          <t>Unlock Rapier Jumpjet</t>
        </is>
      </c>
      <c r="D117" t="inlineStr"/>
      <c r="E117" s="5" t="n"/>
      <c r="F117" s="5" t="n"/>
      <c r="H117" s="5" t="n">
        <v>1</v>
      </c>
      <c r="I117" s="5" t="n">
        <v>1</v>
      </c>
      <c r="J117" s="5" t="n">
        <v>1</v>
      </c>
      <c r="W117" s="5" t="n"/>
    </row>
    <row r="118">
      <c r="A118" t="inlineStr">
        <is>
          <t>redalert</t>
        </is>
      </c>
      <c r="B118" t="inlineStr">
        <is>
          <t>ra1_allies_promotion_unlockreconranger</t>
        </is>
      </c>
      <c r="C118" t="inlineStr">
        <is>
          <t>Unlock Recon Ranger.</t>
        </is>
      </c>
      <c r="D118" t="inlineStr"/>
      <c r="E118" s="5" t="n"/>
      <c r="F118" s="5" t="n"/>
      <c r="H118" s="5" t="n">
        <v>1</v>
      </c>
      <c r="I118" s="5" t="n">
        <v>1</v>
      </c>
      <c r="J118" s="5" t="n">
        <v>1</v>
      </c>
      <c r="W118" s="5" t="n"/>
    </row>
    <row r="119">
      <c r="A119" t="inlineStr">
        <is>
          <t>redalert</t>
        </is>
      </c>
      <c r="B119" t="inlineStr">
        <is>
          <t>ra1_allies_promotion_unlockreinforcementpad</t>
        </is>
      </c>
      <c r="C119" t="inlineStr">
        <is>
          <t>Unlock Reinforcement Pad</t>
        </is>
      </c>
      <c r="D119" t="inlineStr"/>
      <c r="E119" s="5" t="n"/>
      <c r="F119" s="5" t="n"/>
      <c r="H119" s="5" t="n">
        <v>1</v>
      </c>
      <c r="I119" s="5" t="n">
        <v>1</v>
      </c>
      <c r="J119" s="5" t="n">
        <v>1</v>
      </c>
      <c r="W119" s="5" t="n"/>
    </row>
    <row r="120">
      <c r="A120" t="inlineStr">
        <is>
          <t>redalert</t>
        </is>
      </c>
      <c r="B120" t="inlineStr">
        <is>
          <t>ra1_allies_promotion_unlocksheridan</t>
        </is>
      </c>
      <c r="C120" t="inlineStr">
        <is>
          <t>Unlock Sheridan</t>
        </is>
      </c>
      <c r="D120" t="inlineStr"/>
      <c r="E120" s="5" t="n"/>
      <c r="F120" s="5" t="n"/>
      <c r="H120" s="5" t="n">
        <v>1</v>
      </c>
      <c r="I120" s="5" t="n">
        <v>1</v>
      </c>
      <c r="J120" s="5" t="n">
        <v>1</v>
      </c>
      <c r="W120" s="5" t="n"/>
    </row>
    <row r="121">
      <c r="A121" t="inlineStr">
        <is>
          <t>redalert</t>
        </is>
      </c>
      <c r="B121" t="inlineStr">
        <is>
          <t>ra1_allies_promotion_unlocktankdestroyer</t>
        </is>
      </c>
      <c r="C121" t="inlineStr">
        <is>
          <t>Unlock Tank Destroyer</t>
        </is>
      </c>
      <c r="D121" t="inlineStr"/>
      <c r="E121" s="5" t="n"/>
      <c r="F121" s="5" t="n"/>
      <c r="H121" s="5" t="n">
        <v>1</v>
      </c>
      <c r="I121" s="5" t="n">
        <v>1</v>
      </c>
      <c r="J121" s="5" t="n">
        <v>1</v>
      </c>
      <c r="W121" s="5" t="n"/>
    </row>
    <row r="122">
      <c r="A122" t="inlineStr">
        <is>
          <t>redalert</t>
        </is>
      </c>
      <c r="B122" t="inlineStr">
        <is>
          <t>ra1_allies_promotion_unlocktigerheavytank</t>
        </is>
      </c>
      <c r="C122" t="inlineStr">
        <is>
          <t>Unlock Tiger Heavy Tank</t>
        </is>
      </c>
      <c r="D122" t="inlineStr"/>
      <c r="E122" s="5" t="n"/>
      <c r="F122" s="5" t="n"/>
      <c r="H122" s="5" t="n">
        <v>1</v>
      </c>
      <c r="I122" s="5" t="n">
        <v>1</v>
      </c>
      <c r="J122" s="5" t="n">
        <v>1</v>
      </c>
      <c r="W122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123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7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redalert</t>
        </is>
      </c>
      <c r="B3" t="inlineStr">
        <is>
          <t>japan_archermaiden</t>
        </is>
      </c>
      <c r="C3" t="inlineStr">
        <is>
          <t>Archer Maiden</t>
        </is>
      </c>
      <c r="D3" t="inlineStr"/>
      <c r="E3" s="5" t="n">
        <v>20000</v>
      </c>
      <c r="F3" s="5" t="n">
        <v>72</v>
      </c>
      <c r="G3" t="inlineStr">
        <is>
          <t>Flak</t>
        </is>
      </c>
      <c r="H3" s="5" t="n">
        <v>1</v>
      </c>
      <c r="I3" s="5" t="n">
        <v>0.75</v>
      </c>
      <c r="J3" s="5" t="n">
        <v>1</v>
      </c>
      <c r="O3">
        <f>MAX(O4,O6)</f>
        <v/>
      </c>
      <c r="R3">
        <f>R4+R6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500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JapanMaidenBow</t>
        </is>
      </c>
      <c r="C4" s="6" t="inlineStr">
        <is>
          <t>Armament@PRIMARY</t>
        </is>
      </c>
      <c r="K4" s="5" t="n">
        <v>40000</v>
      </c>
      <c r="L4" s="5" t="n">
        <v>100</v>
      </c>
      <c r="M4" s="5" t="n">
        <v>1</v>
      </c>
      <c r="N4" s="5" t="n"/>
      <c r="O4" s="5" t="n">
        <v>7500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^ArrowWeapon</t>
        </is>
      </c>
    </row>
    <row r="5">
      <c r="B5" s="6" t="inlineStr">
        <is>
          <t xml:space="preserve">  ↳ JapanMaidenBow</t>
        </is>
      </c>
      <c r="C5" s="6" t="inlineStr">
        <is>
          <t>Armament@GARRISONED</t>
        </is>
      </c>
      <c r="K5" s="5" t="n">
        <v>40000</v>
      </c>
      <c r="L5" s="5" t="n">
        <v>100</v>
      </c>
      <c r="M5" s="5" t="n">
        <v>1</v>
      </c>
      <c r="N5" s="5" t="n"/>
      <c r="O5" s="5" t="n">
        <v>7500</v>
      </c>
      <c r="P5" s="5" t="n">
        <v>1</v>
      </c>
      <c r="Q5">
        <f>L5+IF(M5&gt;1,N(N5)*(M5-1),0)</f>
        <v/>
      </c>
      <c r="R5">
        <f>IFERROR(K5*MAX(M5,1)/Q5*P5,0)</f>
        <v/>
      </c>
      <c r="AA5" s="6" t="inlineStr">
        <is>
          <t>^ArrowWeapon</t>
        </is>
      </c>
    </row>
    <row r="6">
      <c r="B6" s="6" t="inlineStr">
        <is>
          <t xml:space="preserve">  ↳ JapanMaidenBowEnergized</t>
        </is>
      </c>
      <c r="C6" s="6" t="inlineStr">
        <is>
          <t>Armament@Upgrade</t>
        </is>
      </c>
      <c r="K6" s="5" t="n">
        <v>6000</v>
      </c>
      <c r="L6" s="5" t="n">
        <v>100</v>
      </c>
      <c r="M6" s="5" t="n">
        <v>1</v>
      </c>
      <c r="N6" s="5" t="n"/>
      <c r="O6" s="5" t="n">
        <v>7500</v>
      </c>
      <c r="P6" s="5" t="n">
        <v>1</v>
      </c>
      <c r="Q6">
        <f>L6+IF(M6&gt;1,N(N6)*(M6-1),0)</f>
        <v/>
      </c>
      <c r="R6">
        <f>IFERROR(K6*MAX(M6,1)/Q6*P6,0)</f>
        <v/>
      </c>
      <c r="AA6" s="6" t="inlineStr">
        <is>
          <t>^MediumFlameWeapon, ^MediumChemicalWeapon, ^ShrapnelWeapon, ^MediumMissile, ^TeslaWeapon, ^ArrowWeapon</t>
        </is>
      </c>
    </row>
    <row r="7">
      <c r="B7" s="6" t="inlineStr">
        <is>
          <t xml:space="preserve">  ↳ JapanMaidenBowEnergized</t>
        </is>
      </c>
      <c r="C7" s="6" t="inlineStr">
        <is>
          <t>Armament@UpgradeGARRISONED</t>
        </is>
      </c>
      <c r="K7" s="5" t="n">
        <v>6000</v>
      </c>
      <c r="L7" s="5" t="n">
        <v>100</v>
      </c>
      <c r="M7" s="5" t="n">
        <v>1</v>
      </c>
      <c r="N7" s="5" t="n"/>
      <c r="O7" s="5" t="n">
        <v>7500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^MediumFlameWeapon, ^MediumChemicalWeapon, ^ShrapnelWeapon, ^MediumMissile, ^TeslaWeapon, ^ArrowWeapon</t>
        </is>
      </c>
    </row>
    <row r="8">
      <c r="A8" t="inlineStr">
        <is>
          <t>redalert</t>
        </is>
      </c>
      <c r="B8" t="inlineStr">
        <is>
          <t>japan_exorcist</t>
        </is>
      </c>
      <c r="C8" t="inlineStr">
        <is>
          <t>Exorcist</t>
        </is>
      </c>
      <c r="D8" t="inlineStr"/>
      <c r="E8" s="5" t="n">
        <v>75000</v>
      </c>
      <c r="F8" s="5" t="n">
        <v>60</v>
      </c>
      <c r="G8" t="inlineStr">
        <is>
          <t>Heroic</t>
        </is>
      </c>
      <c r="H8" s="5" t="n">
        <v>0.75</v>
      </c>
      <c r="I8" s="5" t="n">
        <v>1</v>
      </c>
      <c r="J8" s="5" t="n">
        <v>1.25</v>
      </c>
      <c r="O8">
        <f>MAX(O9,O10)</f>
        <v/>
      </c>
      <c r="R8">
        <f>R9+R10</f>
        <v/>
      </c>
      <c r="S8">
        <f>(E8/100000+F8/100+(O8/1000)*J8/5+R8/200)*200*I8*H8</f>
        <v/>
      </c>
      <c r="T8">
        <f>((E8*F8/25000)+((O8/1000)*J8*R8/2.5))*I8*H8</f>
        <v/>
      </c>
      <c r="U8">
        <f>(E8*F8*(O8/1000)*J8*R8*I8*H8)/12500000</f>
        <v/>
      </c>
      <c r="V8">
        <f>(S8+T8+U8)/3</f>
        <v/>
      </c>
      <c r="W8" s="5" t="n">
        <v>3000</v>
      </c>
      <c r="X8">
        <f>IFERROR(V8-W8,"")</f>
        <v/>
      </c>
      <c r="Y8">
        <f>IFERROR(ABS(X8)/MAX(W8,1),"")</f>
        <v/>
      </c>
      <c r="Z8">
        <f>IFERROR((W8-(((E8/100000+F8/100+R8/200)*200*I8*H8)+((E8*F8/25000)*I8*H8))/3)/(((J8/5)*200*I8*H8)+((J8*R8/2.5)*I8*H8)+((E8*F8*J8*R8*I8*H8)/12500000))/3*1000,"")</f>
        <v/>
      </c>
    </row>
    <row r="9">
      <c r="B9" s="6" t="inlineStr">
        <is>
          <t xml:space="preserve">  ↳ Hakureiring</t>
        </is>
      </c>
      <c r="C9" s="6" t="inlineStr">
        <is>
          <t>Armament@PRIMARY</t>
        </is>
      </c>
      <c r="K9" s="5" t="n">
        <v>10000</v>
      </c>
      <c r="L9" s="5" t="n">
        <v>30</v>
      </c>
      <c r="M9" s="5" t="n">
        <v>3</v>
      </c>
      <c r="N9" s="5" t="n">
        <v>10</v>
      </c>
      <c r="O9" s="5" t="n">
        <v>6666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>
        <is>
          <t>^TeslaWeapon, ^MagicWeapon, ^EMPDamage</t>
        </is>
      </c>
    </row>
    <row r="10">
      <c r="B10" s="6" t="inlineStr">
        <is>
          <t xml:space="preserve">  ↳ Hakureiring2</t>
        </is>
      </c>
      <c r="C10" s="6" t="inlineStr">
        <is>
          <t>Armament@Special</t>
        </is>
      </c>
      <c r="K10" s="5" t="n">
        <v>120000</v>
      </c>
      <c r="L10" s="5" t="n">
        <v>100</v>
      </c>
      <c r="M10" s="5" t="n">
        <v>1</v>
      </c>
      <c r="N10" s="5" t="n">
        <v>10</v>
      </c>
      <c r="O10" s="5" t="n">
        <v>6666</v>
      </c>
      <c r="P10" s="5" t="n">
        <v>1</v>
      </c>
      <c r="Q10">
        <f>L10+IF(M10&gt;1,N(N10)*(M10-1),0)</f>
        <v/>
      </c>
      <c r="R10">
        <f>IFERROR(K10*MAX(M10,1)/Q10*P10,0)</f>
        <v/>
      </c>
      <c r="AA10" s="6" t="inlineStr">
        <is>
          <t>^TeslaWeapon, ^MagicWeapon, ^EMPDamage</t>
        </is>
      </c>
    </row>
    <row r="11">
      <c r="B11" s="6" t="inlineStr">
        <is>
          <t xml:space="preserve">  ↳ Hakureiring</t>
        </is>
      </c>
      <c r="C11" s="6" t="inlineStr">
        <is>
          <t>Armament@GARRISONED</t>
        </is>
      </c>
      <c r="K11" s="5" t="n">
        <v>10000</v>
      </c>
      <c r="L11" s="5" t="n">
        <v>30</v>
      </c>
      <c r="M11" s="5" t="n">
        <v>3</v>
      </c>
      <c r="N11" s="5" t="n">
        <v>10</v>
      </c>
      <c r="O11" s="5" t="n">
        <v>6666</v>
      </c>
      <c r="P11" s="5" t="n">
        <v>1</v>
      </c>
      <c r="Q11">
        <f>L11+IF(M11&gt;1,N(N11)*(M11-1),0)</f>
        <v/>
      </c>
      <c r="R11">
        <f>IFERROR(K11*MAX(M11,1)/Q11*P11,0)</f>
        <v/>
      </c>
      <c r="AA11" s="6" t="inlineStr">
        <is>
          <t>^TeslaWeapon, ^MagicWeapon, ^EMPDamage</t>
        </is>
      </c>
    </row>
    <row r="12">
      <c r="B12" s="6" t="inlineStr">
        <is>
          <t xml:space="preserve">  ↳ Hakureiring2</t>
        </is>
      </c>
      <c r="C12" s="6" t="inlineStr">
        <is>
          <t>Armament@GARRISONEDSpecial</t>
        </is>
      </c>
      <c r="K12" s="5" t="n">
        <v>120000</v>
      </c>
      <c r="L12" s="5" t="n">
        <v>100</v>
      </c>
      <c r="M12" s="5" t="n">
        <v>1</v>
      </c>
      <c r="N12" s="5" t="n">
        <v>10</v>
      </c>
      <c r="O12" s="5" t="n">
        <v>6666</v>
      </c>
      <c r="P12" s="5" t="n">
        <v>1</v>
      </c>
      <c r="Q12">
        <f>L12+IF(M12&gt;1,N(N12)*(M12-1),0)</f>
        <v/>
      </c>
      <c r="R12">
        <f>IFERROR(K12*MAX(M12,1)/Q12*P12,0)</f>
        <v/>
      </c>
      <c r="AA12" s="6" t="inlineStr">
        <is>
          <t>^TeslaWeapon, ^MagicWeapon, ^EMPDamage</t>
        </is>
      </c>
    </row>
    <row r="13">
      <c r="A13" t="inlineStr">
        <is>
          <t>redalert</t>
        </is>
      </c>
      <c r="B13" t="inlineStr">
        <is>
          <t>japan_imperialscoutsman</t>
        </is>
      </c>
      <c r="C13" t="inlineStr">
        <is>
          <t>Imperial Scoutsman</t>
        </is>
      </c>
      <c r="D13" t="inlineStr">
        <is>
          <t>scout</t>
        </is>
      </c>
      <c r="E13" s="5" t="n">
        <v>20000</v>
      </c>
      <c r="F13" s="5" t="n">
        <v>60</v>
      </c>
      <c r="G13" t="inlineStr">
        <is>
          <t>None</t>
        </is>
      </c>
      <c r="H13" s="5" t="n">
        <v>1</v>
      </c>
      <c r="I13" s="5" t="n">
        <v>1</v>
      </c>
      <c r="J13" s="5" t="n">
        <v>1</v>
      </c>
      <c r="O13">
        <f>MAX(O14,O16)</f>
        <v/>
      </c>
      <c r="R13">
        <f>R14+R16</f>
        <v/>
      </c>
      <c r="S13">
        <f>(E13/100000+F13/100+(O13/1000)*J13/5+R13/200)*200*I13*H13</f>
        <v/>
      </c>
      <c r="T13">
        <f>((E13*F13/25000)+((O13/1000)*J13*R13/2.5))*I13*H13</f>
        <v/>
      </c>
      <c r="U13">
        <f>(E13*F13*(O13/1000)*J13*R13*I13*H13)/12500000</f>
        <v/>
      </c>
      <c r="V13">
        <f>(S13+T13+U13)/3</f>
        <v/>
      </c>
      <c r="W13" s="5" t="n">
        <v>100</v>
      </c>
      <c r="X13">
        <f>IFERROR(V13-W13,"")</f>
        <v/>
      </c>
      <c r="Y13">
        <f>IFERROR(ABS(X13)/MAX(W13,1),"")</f>
        <v/>
      </c>
      <c r="Z13">
        <f>IFERROR((W13-(((E13/100000+F13/100+R13/200)*200*I13*H13)+((E13*F13/25000)*I13*H13))/3)/(((J13/5)*200*I13*H13)+((J13*R13/2.5)*I13*H13)+((E13*F13*J13*R13*I13*H13)/12500000))/3*1000,"")</f>
        <v/>
      </c>
    </row>
    <row r="14">
      <c r="B14" s="6" t="inlineStr">
        <is>
          <t xml:space="preserve">  ↳ japan_imperialscoutsman_rifle</t>
        </is>
      </c>
      <c r="C14" s="6" t="inlineStr">
        <is>
          <t>Armament@PRIMARY</t>
        </is>
      </c>
      <c r="K14" s="5" t="n">
        <v>4000</v>
      </c>
      <c r="L14" s="5" t="n">
        <v>50</v>
      </c>
      <c r="M14" s="5" t="n">
        <v>1</v>
      </c>
      <c r="N14" s="5" t="n"/>
      <c r="O14" s="5" t="n">
        <v>5000</v>
      </c>
      <c r="P14" s="5" t="n">
        <v>0.75</v>
      </c>
      <c r="Q14">
        <f>L14+IF(M14&gt;1,N(N14)*(M14-1),0)</f>
        <v/>
      </c>
      <c r="R14">
        <f>IFERROR(K14*MAX(M14,1)/Q14*P14,0)</f>
        <v/>
      </c>
      <c r="AA14" s="6" t="inlineStr">
        <is>
          <t>^SmallArms</t>
        </is>
      </c>
    </row>
    <row r="15">
      <c r="B15" s="6" t="inlineStr">
        <is>
          <t xml:space="preserve">  ↳ japan_imperialscoutsman_rifle</t>
        </is>
      </c>
      <c r="C15" s="6" t="inlineStr">
        <is>
          <t>Armament@GARRISONED</t>
        </is>
      </c>
      <c r="K15" s="5" t="n">
        <v>4000</v>
      </c>
      <c r="L15" s="5" t="n">
        <v>50</v>
      </c>
      <c r="M15" s="5" t="n">
        <v>1</v>
      </c>
      <c r="N15" s="5" t="n"/>
      <c r="O15" s="5" t="n">
        <v>5000</v>
      </c>
      <c r="P15" s="5" t="n">
        <v>0.75</v>
      </c>
      <c r="Q15">
        <f>L15+IF(M15&gt;1,N(N15)*(M15-1),0)</f>
        <v/>
      </c>
      <c r="R15">
        <f>IFERROR(K15*MAX(M15,1)/Q15*P15,0)</f>
        <v/>
      </c>
      <c r="AA15" s="6" t="inlineStr">
        <is>
          <t>^SmallArms</t>
        </is>
      </c>
    </row>
    <row r="16">
      <c r="B16" s="6" t="inlineStr">
        <is>
          <t xml:space="preserve">  ↳ japan_imperialscoutsman_rifle_waveforce</t>
        </is>
      </c>
      <c r="C16" s="6" t="inlineStr">
        <is>
          <t>Armament@Upgrade</t>
        </is>
      </c>
      <c r="K16" s="5" t="n">
        <v>4000</v>
      </c>
      <c r="L16" s="5" t="n">
        <v>50</v>
      </c>
      <c r="M16" s="5" t="n">
        <v>1</v>
      </c>
      <c r="N16" s="5" t="n"/>
      <c r="O16" s="5" t="n">
        <v>5000</v>
      </c>
      <c r="P16" s="5" t="n">
        <v>0.75</v>
      </c>
      <c r="Q16">
        <f>L16+IF(M16&gt;1,N(N16)*(M16-1),0)</f>
        <v/>
      </c>
      <c r="R16">
        <f>IFERROR(K16*MAX(M16,1)/Q16*P16,0)</f>
        <v/>
      </c>
      <c r="AA16" s="6" t="inlineStr">
        <is>
          <t>^WaveforceBulletWarhead, ^SmallArms, ^WaveforceBulletProjectile</t>
        </is>
      </c>
    </row>
    <row r="17">
      <c r="B17" s="6" t="inlineStr">
        <is>
          <t xml:space="preserve">  ↳ japan_imperialscoutsman_rifle_waveforce</t>
        </is>
      </c>
      <c r="C17" s="6" t="inlineStr">
        <is>
          <t>Armament@UpgradeGARRISONED</t>
        </is>
      </c>
      <c r="K17" s="5" t="n">
        <v>4000</v>
      </c>
      <c r="L17" s="5" t="n">
        <v>50</v>
      </c>
      <c r="M17" s="5" t="n">
        <v>1</v>
      </c>
      <c r="N17" s="5" t="n"/>
      <c r="O17" s="5" t="n">
        <v>5000</v>
      </c>
      <c r="P17" s="5" t="n">
        <v>0.75</v>
      </c>
      <c r="Q17">
        <f>L17+IF(M17&gt;1,N(N17)*(M17-1),0)</f>
        <v/>
      </c>
      <c r="R17">
        <f>IFERROR(K17*MAX(M17,1)/Q17*P17,0)</f>
        <v/>
      </c>
      <c r="AA17" s="6" t="inlineStr">
        <is>
          <t>^WaveforceBulletWarhead, ^SmallArms, ^WaveforceBulletProjectile</t>
        </is>
      </c>
    </row>
    <row r="18">
      <c r="A18" t="inlineStr">
        <is>
          <t>redalert</t>
        </is>
      </c>
      <c r="B18" t="inlineStr">
        <is>
          <t>japan_japaneseflamethrower</t>
        </is>
      </c>
      <c r="C18" t="inlineStr">
        <is>
          <t>Japanese Flamethrower</t>
        </is>
      </c>
      <c r="D18" t="inlineStr"/>
      <c r="E18" s="5" t="n">
        <v>15000</v>
      </c>
      <c r="F18" s="5" t="n">
        <v>50</v>
      </c>
      <c r="G18" t="inlineStr">
        <is>
          <t>Plate</t>
        </is>
      </c>
      <c r="H18" s="5" t="n">
        <v>1</v>
      </c>
      <c r="I18" s="5" t="n">
        <v>0.4</v>
      </c>
      <c r="J18" s="5" t="n">
        <v>1</v>
      </c>
      <c r="O18">
        <f>MAX(O19,O21)</f>
        <v/>
      </c>
      <c r="R18">
        <f>R19+R21</f>
        <v/>
      </c>
      <c r="S18">
        <f>(E18/100000+F18/100+(O18/1000)*J18/5+R18/200)*200*I18*H18</f>
        <v/>
      </c>
      <c r="T18">
        <f>((E18*F18/25000)+((O18/1000)*J18*R18/2.5))*I18*H18</f>
        <v/>
      </c>
      <c r="U18">
        <f>(E18*F18*(O18/1000)*J18*R18*I18*H18)/12500000</f>
        <v/>
      </c>
      <c r="V18">
        <f>(S18+T18+U18)/3</f>
        <v/>
      </c>
      <c r="W18" s="5" t="n">
        <v>200</v>
      </c>
      <c r="X18">
        <f>IFERROR(V18-W18,"")</f>
        <v/>
      </c>
      <c r="Y18">
        <f>IFERROR(ABS(X18)/MAX(W18,1),"")</f>
        <v/>
      </c>
      <c r="Z18">
        <f>IFERROR((W18-(((E18/100000+F18/100+R18/200)*200*I18*H18)+((E18*F18/25000)*I18*H18))/3)/(((J18/5)*200*I18*H18)+((J18*R18/2.5)*I18*H18)+((E18*F18*J18*R18*I18*H18)/12500000))/3*1000,"")</f>
        <v/>
      </c>
    </row>
    <row r="19">
      <c r="B19" s="6" t="inlineStr">
        <is>
          <t xml:space="preserve">  ↳ Flamer</t>
        </is>
      </c>
      <c r="C19" s="6" t="inlineStr">
        <is>
          <t>Armament</t>
        </is>
      </c>
      <c r="K19" s="5" t="n">
        <v>2000</v>
      </c>
      <c r="L19" s="5" t="n">
        <v>35</v>
      </c>
      <c r="M19" s="5" t="n">
        <v>15</v>
      </c>
      <c r="N19" s="5" t="n">
        <v>1</v>
      </c>
      <c r="O19" s="5" t="n">
        <v>3603</v>
      </c>
      <c r="P19" s="5" t="n">
        <v>1</v>
      </c>
      <c r="Q19">
        <f>L19+IF(M19&gt;1,N(N19)*(M19-1),0)</f>
        <v/>
      </c>
      <c r="R19">
        <f>IFERROR(K19*MAX(M19,1)/Q19*P19,0)</f>
        <v/>
      </c>
      <c r="AA19" s="6" t="inlineStr">
        <is>
          <t>^LightFlameWeapon</t>
        </is>
      </c>
    </row>
    <row r="20">
      <c r="B20" s="6" t="inlineStr">
        <is>
          <t xml:space="preserve">  ↳ Flamer</t>
        </is>
      </c>
      <c r="C20" s="6" t="inlineStr">
        <is>
          <t>Armament@GARRISONED</t>
        </is>
      </c>
      <c r="K20" s="5" t="n">
        <v>2000</v>
      </c>
      <c r="L20" s="5" t="n">
        <v>35</v>
      </c>
      <c r="M20" s="5" t="n">
        <v>15</v>
      </c>
      <c r="N20" s="5" t="n">
        <v>1</v>
      </c>
      <c r="O20" s="5" t="n">
        <v>3603</v>
      </c>
      <c r="P20" s="5" t="n">
        <v>1</v>
      </c>
      <c r="Q20">
        <f>L20+IF(M20&gt;1,N(N20)*(M20-1),0)</f>
        <v/>
      </c>
      <c r="R20">
        <f>IFERROR(K20*MAX(M20,1)/Q20*P20,0)</f>
        <v/>
      </c>
      <c r="AA20" s="6" t="inlineStr">
        <is>
          <t>^LightFlameWeapon</t>
        </is>
      </c>
    </row>
    <row r="21">
      <c r="B21" s="6" t="inlineStr">
        <is>
          <t xml:space="preserve">  ↳ PlasmaFlamer</t>
        </is>
      </c>
      <c r="C21" s="6" t="inlineStr">
        <is>
          <t>Armament@Upgrade</t>
        </is>
      </c>
      <c r="K21" s="5" t="n">
        <v>2000</v>
      </c>
      <c r="L21" s="5" t="n">
        <v>35</v>
      </c>
      <c r="M21" s="5" t="n">
        <v>15</v>
      </c>
      <c r="N21" s="5" t="n">
        <v>1</v>
      </c>
      <c r="O21" s="5" t="n">
        <v>3603</v>
      </c>
      <c r="P21" s="5" t="n">
        <v>1</v>
      </c>
      <c r="Q21">
        <f>L21+IF(M21&gt;1,N(N21)*(M21-1),0)</f>
        <v/>
      </c>
      <c r="R21">
        <f>IFERROR(K21*MAX(M21,1)/Q21*P21,0)</f>
        <v/>
      </c>
      <c r="AA21" s="6" t="inlineStr">
        <is>
          <t>^MediumFlameWeapon, ^MediumChemicalWeapon</t>
        </is>
      </c>
    </row>
    <row r="22">
      <c r="B22" s="6" t="inlineStr">
        <is>
          <t xml:space="preserve">  ↳ PlasmaFlamer</t>
        </is>
      </c>
      <c r="C22" s="6" t="inlineStr">
        <is>
          <t>Armament@UpgradeGARRISONED</t>
        </is>
      </c>
      <c r="K22" s="5" t="n">
        <v>2000</v>
      </c>
      <c r="L22" s="5" t="n">
        <v>35</v>
      </c>
      <c r="M22" s="5" t="n">
        <v>15</v>
      </c>
      <c r="N22" s="5" t="n">
        <v>1</v>
      </c>
      <c r="O22" s="5" t="n">
        <v>3603</v>
      </c>
      <c r="P22" s="5" t="n">
        <v>1</v>
      </c>
      <c r="Q22">
        <f>L22+IF(M22&gt;1,N(N22)*(M22-1),0)</f>
        <v/>
      </c>
      <c r="R22">
        <f>IFERROR(K22*MAX(M22,1)/Q22*P22,0)</f>
        <v/>
      </c>
      <c r="AA22" s="6" t="inlineStr">
        <is>
          <t>^MediumFlameWeapon, ^MediumChemicalWeapon</t>
        </is>
      </c>
    </row>
    <row r="23">
      <c r="A23" t="inlineStr">
        <is>
          <t>redalert</t>
        </is>
      </c>
      <c r="B23" t="inlineStr">
        <is>
          <t>japan_rocketangel</t>
        </is>
      </c>
      <c r="C23" t="inlineStr">
        <is>
          <t>Rocket Angel</t>
        </is>
      </c>
      <c r="D23" t="inlineStr"/>
      <c r="E23" s="5" t="n">
        <v>24000</v>
      </c>
      <c r="F23" s="5" t="n">
        <v>140</v>
      </c>
      <c r="G23" t="inlineStr">
        <is>
          <t>Scout</t>
        </is>
      </c>
      <c r="H23" s="5" t="n">
        <v>0.75</v>
      </c>
      <c r="I23" s="5" t="n">
        <v>1</v>
      </c>
      <c r="J23" s="5" t="n">
        <v>1.25</v>
      </c>
      <c r="O23">
        <f>MAX(O24)</f>
        <v/>
      </c>
      <c r="R23">
        <f>R24</f>
        <v/>
      </c>
      <c r="S23">
        <f>(E23/100000+F23/100+(O23/1000)*J23/5+R23/200)*200*I23*H23</f>
        <v/>
      </c>
      <c r="T23">
        <f>((E23*F23/25000)+((O23/1000)*J23*R23/2.5))*I23*H23</f>
        <v/>
      </c>
      <c r="U23">
        <f>(E23*F23*(O23/1000)*J23*R23*I23*H23)/12500000</f>
        <v/>
      </c>
      <c r="V23">
        <f>(S23+T23+U23)/3</f>
        <v/>
      </c>
      <c r="W23" s="5" t="n">
        <v>900</v>
      </c>
      <c r="X23">
        <f>IFERROR(V23-W23,"")</f>
        <v/>
      </c>
      <c r="Y23">
        <f>IFERROR(ABS(X23)/MAX(W23,1),"")</f>
        <v/>
      </c>
      <c r="Z23">
        <f>IFERROR((W23-(((E23/100000+F23/100+R23/200)*200*I23*H23)+((E23*F23/25000)*I23*H23))/3)/(((J23/5)*200*I23*H23)+((J23*R23/2.5)*I23*H23)+((E23*F23*J23*R23*I23*H23)/12500000))/3*1000,"")</f>
        <v/>
      </c>
    </row>
    <row r="24">
      <c r="B24" s="6" t="inlineStr">
        <is>
          <t xml:space="preserve">  ↳ RocketAngelRockets</t>
        </is>
      </c>
      <c r="C24" s="6" t="inlineStr">
        <is>
          <t>Armament@PRIMARY</t>
        </is>
      </c>
      <c r="K24" s="5" t="n">
        <v>2000</v>
      </c>
      <c r="L24" s="5" t="n">
        <v>34</v>
      </c>
      <c r="M24" s="5" t="n">
        <v>4</v>
      </c>
      <c r="N24" s="5" t="n">
        <v>2</v>
      </c>
      <c r="O24" s="5" t="n">
        <v>4600</v>
      </c>
      <c r="P24" s="5" t="n">
        <v>1</v>
      </c>
      <c r="Q24">
        <f>L24+IF(M24&gt;1,N(N24)*(M24-1),0)</f>
        <v/>
      </c>
      <c r="R24">
        <f>IFERROR(K24*MAX(M24,1)/Q24*P24,0)</f>
        <v/>
      </c>
      <c r="AA24" s="6" t="inlineStr">
        <is>
          <t>^TeslaWeapon, ^HeavyMissile, ^MediumFlameWeapon, ^MediumChemicalWeapon, ^Grenade, ^ArrowWeapon</t>
        </is>
      </c>
    </row>
    <row r="25">
      <c r="A25" t="inlineStr">
        <is>
          <t>redalert</t>
        </is>
      </c>
      <c r="B25" t="inlineStr">
        <is>
          <t>japan_samurai</t>
        </is>
      </c>
      <c r="C25" t="inlineStr">
        <is>
          <t>Samurai</t>
        </is>
      </c>
      <c r="D25" t="inlineStr"/>
      <c r="E25" s="5" t="n">
        <v>35000</v>
      </c>
      <c r="F25" s="5" t="n">
        <v>65</v>
      </c>
      <c r="G25" t="inlineStr">
        <is>
          <t>Plate</t>
        </is>
      </c>
      <c r="H25" s="5" t="n">
        <v>1</v>
      </c>
      <c r="I25" s="5" t="n">
        <v>0.75</v>
      </c>
      <c r="J25" s="5" t="n">
        <v>1</v>
      </c>
      <c r="O25">
        <f>MAX(O26,O28)</f>
        <v/>
      </c>
      <c r="R25">
        <f>R26+R28</f>
        <v/>
      </c>
      <c r="S25">
        <f>(E25/100000+F25/100+(O25/1000)*J25/5+R25/200)*200*I25*H25</f>
        <v/>
      </c>
      <c r="T25">
        <f>((E25*F25/25000)+((O25/1000)*J25*R25/2.5))*I25*H25</f>
        <v/>
      </c>
      <c r="U25">
        <f>(E25*F25*(O25/1000)*J25*R25*I25*H25)/12500000</f>
        <v/>
      </c>
      <c r="V25">
        <f>(S25+T25+U25)/3</f>
        <v/>
      </c>
      <c r="W25" s="5" t="n">
        <v>300</v>
      </c>
      <c r="X25">
        <f>IFERROR(V25-W25,"")</f>
        <v/>
      </c>
      <c r="Y25">
        <f>IFERROR(ABS(X25)/MAX(W25,1),"")</f>
        <v/>
      </c>
      <c r="Z25">
        <f>IFERROR((W25-(((E25/100000+F25/100+R25/200)*200*I25*H25)+((E25*F25/25000)*I25*H25))/3)/(((J25/5)*200*I25*H25)+((J25*R25/2.5)*I25*H25)+((E25*F25*J25*R25*I25*H25)/12500000))/3*1000,"")</f>
        <v/>
      </c>
    </row>
    <row r="26">
      <c r="B26" s="6" t="inlineStr">
        <is>
          <t xml:space="preserve">  ↳ SamuraiBlade</t>
        </is>
      </c>
      <c r="C26" s="6" t="inlineStr">
        <is>
          <t>Armament@PRIMARY</t>
        </is>
      </c>
      <c r="K26" s="5" t="n">
        <v>10000</v>
      </c>
      <c r="L26" s="5" t="n">
        <v>20</v>
      </c>
      <c r="M26" s="5" t="n">
        <v>1</v>
      </c>
      <c r="N26" s="5" t="n"/>
      <c r="O26" s="5" t="n">
        <v>1637</v>
      </c>
      <c r="P26" s="5" t="n">
        <v>1</v>
      </c>
      <c r="Q26">
        <f>L26+IF(M26&gt;1,N(N26)*(M26-1),0)</f>
        <v/>
      </c>
      <c r="R26">
        <f>IFERROR(K26*MAX(M26,1)/Q26*P26,0)</f>
        <v/>
      </c>
      <c r="AA26" s="6" t="inlineStr">
        <is>
          <t>^SwordWeapon</t>
        </is>
      </c>
    </row>
    <row r="27">
      <c r="B27" s="6" t="inlineStr">
        <is>
          <t xml:space="preserve">  ↳ SamuraiBlade</t>
        </is>
      </c>
      <c r="C27" s="6" t="inlineStr">
        <is>
          <t>Armament@GARRISONED</t>
        </is>
      </c>
      <c r="K27" s="5" t="n">
        <v>10000</v>
      </c>
      <c r="L27" s="5" t="n">
        <v>20</v>
      </c>
      <c r="M27" s="5" t="n">
        <v>1</v>
      </c>
      <c r="N27" s="5" t="n"/>
      <c r="O27" s="5" t="n">
        <v>1637</v>
      </c>
      <c r="P27" s="5" t="n">
        <v>1</v>
      </c>
      <c r="Q27">
        <f>L27+IF(M27&gt;1,N(N27)*(M27-1),0)</f>
        <v/>
      </c>
      <c r="R27">
        <f>IFERROR(K27*MAX(M27,1)/Q27*P27,0)</f>
        <v/>
      </c>
      <c r="AA27" s="6" t="inlineStr">
        <is>
          <t>^SwordWeapon</t>
        </is>
      </c>
    </row>
    <row r="28">
      <c r="B28" s="6" t="inlineStr">
        <is>
          <t xml:space="preserve">  ↳ SamuraiBladeCharged</t>
        </is>
      </c>
      <c r="C28" s="6" t="inlineStr">
        <is>
          <t>Armament@Upgrade</t>
        </is>
      </c>
      <c r="K28" s="5" t="n">
        <v>10000</v>
      </c>
      <c r="L28" s="5" t="n">
        <v>20</v>
      </c>
      <c r="M28" s="5" t="n">
        <v>1</v>
      </c>
      <c r="N28" s="5" t="n"/>
      <c r="O28" s="5" t="n">
        <v>1637</v>
      </c>
      <c r="P28" s="5" t="n">
        <v>1</v>
      </c>
      <c r="Q28">
        <f>L28+IF(M28&gt;1,N(N28)*(M28-1),0)</f>
        <v/>
      </c>
      <c r="R28">
        <f>IFERROR(K28*MAX(M28,1)/Q28*P28,0)</f>
        <v/>
      </c>
      <c r="AA28" s="6" t="inlineStr">
        <is>
          <t>^TeslaWeapon, ^SwordWeapon</t>
        </is>
      </c>
    </row>
    <row r="29">
      <c r="B29" s="6" t="inlineStr">
        <is>
          <t xml:space="preserve">  ↳ SamuraiBladeCharged</t>
        </is>
      </c>
      <c r="C29" s="6" t="inlineStr">
        <is>
          <t>Armament@UpgradeGARRISONED</t>
        </is>
      </c>
      <c r="K29" s="5" t="n">
        <v>10000</v>
      </c>
      <c r="L29" s="5" t="n">
        <v>20</v>
      </c>
      <c r="M29" s="5" t="n">
        <v>1</v>
      </c>
      <c r="N29" s="5" t="n"/>
      <c r="O29" s="5" t="n">
        <v>1637</v>
      </c>
      <c r="P29" s="5" t="n">
        <v>1</v>
      </c>
      <c r="Q29">
        <f>L29+IF(M29&gt;1,N(N29)*(M29-1),0)</f>
        <v/>
      </c>
      <c r="R29">
        <f>IFERROR(K29*MAX(M29,1)/Q29*P29,0)</f>
        <v/>
      </c>
      <c r="AA29" s="6" t="inlineStr">
        <is>
          <t>^TeslaWeapon, ^SwordWeapon</t>
        </is>
      </c>
    </row>
    <row r="30">
      <c r="A30" t="inlineStr">
        <is>
          <t>redalert</t>
        </is>
      </c>
      <c r="B30" t="inlineStr">
        <is>
          <t>japan_tankbuster</t>
        </is>
      </c>
      <c r="C30" t="inlineStr">
        <is>
          <t>Tank Buster</t>
        </is>
      </c>
      <c r="D30" t="inlineStr"/>
      <c r="E30" s="5" t="n">
        <v>48000</v>
      </c>
      <c r="F30" s="5" t="n">
        <v>48</v>
      </c>
      <c r="G30" t="inlineStr">
        <is>
          <t>Plate</t>
        </is>
      </c>
      <c r="H30" s="5" t="n">
        <v>1</v>
      </c>
      <c r="I30" s="5" t="n">
        <v>0.8</v>
      </c>
      <c r="J30" s="5" t="n">
        <v>1</v>
      </c>
      <c r="O30">
        <f>MAX(O31,O33)</f>
        <v/>
      </c>
      <c r="R30">
        <f>R31+R33</f>
        <v/>
      </c>
      <c r="S30">
        <f>(E30/100000+F30/100+(O30/1000)*J30/5+R30/200)*200*I30*H30</f>
        <v/>
      </c>
      <c r="T30">
        <f>((E30*F30/25000)+((O30/1000)*J30*R30/2.5))*I30*H30</f>
        <v/>
      </c>
      <c r="U30">
        <f>(E30*F30*(O30/1000)*J30*R30*I30*H30)/12500000</f>
        <v/>
      </c>
      <c r="V30">
        <f>(S30+T30+U30)/3</f>
        <v/>
      </c>
      <c r="W30" s="5" t="n">
        <v>400</v>
      </c>
      <c r="X30">
        <f>IFERROR(V30-W30,"")</f>
        <v/>
      </c>
      <c r="Y30">
        <f>IFERROR(ABS(X30)/MAX(W30,1),"")</f>
        <v/>
      </c>
      <c r="Z30">
        <f>IFERROR((W30-(((E30/100000+F30/100+R30/200)*200*I30*H30)+((E30*F30/25000)*I30*H30))/3)/(((J30/5)*200*I30*H30)+((J30*R30/2.5)*I30*H30)+((E30*F30*J30*R30*I30*H30)/12500000))/3*1000,"")</f>
        <v/>
      </c>
    </row>
    <row r="31">
      <c r="B31" s="6" t="inlineStr">
        <is>
          <t xml:space="preserve">  ↳ TankBusterBeamCannon</t>
        </is>
      </c>
      <c r="C31" s="6" t="inlineStr">
        <is>
          <t>Armament@PRIMARY</t>
        </is>
      </c>
      <c r="K31" s="5" t="n">
        <v>8000</v>
      </c>
      <c r="L31" s="5" t="n">
        <v>96</v>
      </c>
      <c r="M31" s="5" t="n">
        <v>1</v>
      </c>
      <c r="N31" s="5" t="n"/>
      <c r="O31" s="5" t="n">
        <v>5190</v>
      </c>
      <c r="P31" s="5" t="n">
        <v>1</v>
      </c>
      <c r="Q31">
        <f>L31+IF(M31&gt;1,N(N31)*(M31-1),0)</f>
        <v/>
      </c>
      <c r="R31">
        <f>IFERROR(K31*MAX(M31,1)/Q31*P31,0)</f>
        <v/>
      </c>
      <c r="AA31" s="6" t="inlineStr">
        <is>
          <t>^TankDestroyerCannon, ^MediumCannon, ^RailgunWeapon</t>
        </is>
      </c>
    </row>
    <row r="32">
      <c r="B32" s="6" t="inlineStr">
        <is>
          <t xml:space="preserve">  ↳ TankBusterBeamCannon</t>
        </is>
      </c>
      <c r="C32" s="6" t="inlineStr">
        <is>
          <t>Armament@GARRISONED</t>
        </is>
      </c>
      <c r="K32" s="5" t="n">
        <v>8000</v>
      </c>
      <c r="L32" s="5" t="n">
        <v>96</v>
      </c>
      <c r="M32" s="5" t="n">
        <v>1</v>
      </c>
      <c r="N32" s="5" t="n"/>
      <c r="O32" s="5" t="n">
        <v>5190</v>
      </c>
      <c r="P32" s="5" t="n">
        <v>1</v>
      </c>
      <c r="Q32">
        <f>L32+IF(M32&gt;1,N(N32)*(M32-1),0)</f>
        <v/>
      </c>
      <c r="R32">
        <f>IFERROR(K32*MAX(M32,1)/Q32*P32,0)</f>
        <v/>
      </c>
      <c r="AA32" s="6" t="inlineStr">
        <is>
          <t>^TankDestroyerCannon, ^MediumCannon, ^RailgunWeapon</t>
        </is>
      </c>
    </row>
    <row r="33">
      <c r="B33" s="6" t="inlineStr">
        <is>
          <t xml:space="preserve">  ↳ TankBusterBeamCannonCharged</t>
        </is>
      </c>
      <c r="C33" s="6" t="inlineStr">
        <is>
          <t>Armament@Upgrade</t>
        </is>
      </c>
      <c r="K33" s="5" t="n">
        <v>8000</v>
      </c>
      <c r="L33" s="5" t="n">
        <v>96</v>
      </c>
      <c r="M33" s="5" t="n">
        <v>1</v>
      </c>
      <c r="N33" s="5" t="n"/>
      <c r="O33" s="5" t="n">
        <v>5190</v>
      </c>
      <c r="P33" s="5" t="n">
        <v>1</v>
      </c>
      <c r="Q33">
        <f>L33+IF(M33&gt;1,N(N33)*(M33-1),0)</f>
        <v/>
      </c>
      <c r="R33">
        <f>IFERROR(K33*MAX(M33,1)/Q33*P33,0)</f>
        <v/>
      </c>
      <c r="AA33" s="6" t="inlineStr">
        <is>
          <t>^LightFlameWeapon, ^MediumChemicalWeapon, ^HeavyCannon</t>
        </is>
      </c>
    </row>
    <row r="34">
      <c r="B34" s="6" t="inlineStr">
        <is>
          <t xml:space="preserve">  ↳ TankBusterBeamCannonCharged</t>
        </is>
      </c>
      <c r="C34" s="6" t="inlineStr">
        <is>
          <t>Armament@UpgradeGARRISONED</t>
        </is>
      </c>
      <c r="K34" s="5" t="n">
        <v>8000</v>
      </c>
      <c r="L34" s="5" t="n">
        <v>96</v>
      </c>
      <c r="M34" s="5" t="n">
        <v>1</v>
      </c>
      <c r="N34" s="5" t="n"/>
      <c r="O34" s="5" t="n">
        <v>5190</v>
      </c>
      <c r="P34" s="5" t="n">
        <v>1</v>
      </c>
      <c r="Q34">
        <f>L34+IF(M34&gt;1,N(N34)*(M34-1),0)</f>
        <v/>
      </c>
      <c r="R34">
        <f>IFERROR(K34*MAX(M34,1)/Q34*P34,0)</f>
        <v/>
      </c>
      <c r="AA34" s="6" t="inlineStr">
        <is>
          <t>^LightFlameWeapon, ^MediumChemicalWeapon, ^HeavyCannon</t>
        </is>
      </c>
    </row>
    <row r="35">
      <c r="A35" s="3" t="inlineStr">
        <is>
          <t>VEHICLES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</row>
    <row r="36">
      <c r="A36" t="inlineStr">
        <is>
          <t>redalert</t>
        </is>
      </c>
      <c r="B36" t="inlineStr">
        <is>
          <t>japan_armoredcar</t>
        </is>
      </c>
      <c r="C36" t="inlineStr">
        <is>
          <t>Armored Car</t>
        </is>
      </c>
      <c r="D36" t="inlineStr"/>
      <c r="E36" s="5" t="n">
        <v>42500</v>
      </c>
      <c r="F36" s="5" t="n">
        <v>130</v>
      </c>
      <c r="G36" t="inlineStr">
        <is>
          <t>Medium</t>
        </is>
      </c>
      <c r="H36" s="5" t="n">
        <v>1</v>
      </c>
      <c r="I36" s="5" t="n">
        <v>1.25</v>
      </c>
      <c r="J36" s="5" t="n">
        <v>1</v>
      </c>
      <c r="O36">
        <f>MAX(O37,O38,O39,O40)</f>
        <v/>
      </c>
      <c r="R36">
        <f>R37+R38+R39+R40</f>
        <v/>
      </c>
      <c r="S36">
        <f>(E36/100000+F36/100+(O36/1000)*J36/5+R36/200)*200*I36*H36</f>
        <v/>
      </c>
      <c r="T36">
        <f>((E36*F36/25000)+((O36/1000)*J36*R36/2.5))*I36*H36</f>
        <v/>
      </c>
      <c r="U36">
        <f>(E36*F36*(O36/1000)*J36*R36*I36*H36)/12500000</f>
        <v/>
      </c>
      <c r="V36">
        <f>(S36+T36+U36)/3</f>
        <v/>
      </c>
      <c r="W36" s="5" t="n">
        <v>700</v>
      </c>
      <c r="X36">
        <f>IFERROR(V36-W36,"")</f>
        <v/>
      </c>
      <c r="Y36">
        <f>IFERROR(ABS(X36)/MAX(W36,1),"")</f>
        <v/>
      </c>
      <c r="Z36">
        <f>IFERROR((W36-(((E36/100000+F36/100+R36/200)*200*I36*H36)+((E36*F36/25000)*I36*H36))/3)/(((J36/5)*200*I36*H36)+((J36*R36/2.5)*I36*H36)+((E36*F36*J36*R36*I36*H36)/12500000))/3*1000,"")</f>
        <v/>
      </c>
    </row>
    <row r="37">
      <c r="B37" s="6" t="inlineStr">
        <is>
          <t xml:space="preserve">  ↳ ArmoredCarMG</t>
        </is>
      </c>
      <c r="C37" s="6" t="inlineStr">
        <is>
          <t>Armament@AG</t>
        </is>
      </c>
      <c r="K37" s="5" t="n">
        <v>2000</v>
      </c>
      <c r="L37" s="5" t="n">
        <v>8</v>
      </c>
      <c r="M37" s="5" t="n">
        <v>1</v>
      </c>
      <c r="N37" s="5" t="n"/>
      <c r="O37" s="5" t="n">
        <v>5012</v>
      </c>
      <c r="P37" s="5" t="n">
        <v>1</v>
      </c>
      <c r="Q37">
        <f>L37+IF(M37&gt;1,N(N37)*(M37-1),0)</f>
        <v/>
      </c>
      <c r="R37">
        <f>IFERROR(K37*MAX(M37,1)/Q37*P37,0)</f>
        <v/>
      </c>
      <c r="AA37" s="6" t="inlineStr">
        <is>
          <t>^ArrowWeapon, ^TankDestroyerCannon, ^SmallArms, ^Grenade, ^MediumCannon, ^MediumMissile, ^FlakWeapon, ^Chaingun</t>
        </is>
      </c>
    </row>
    <row r="38">
      <c r="B38" s="6" t="inlineStr">
        <is>
          <t xml:space="preserve">  ↳ ArmoredCarMGAA</t>
        </is>
      </c>
      <c r="C38" s="6" t="inlineStr">
        <is>
          <t>Armament@AA</t>
        </is>
      </c>
      <c r="K38" s="5" t="n">
        <v>2000</v>
      </c>
      <c r="L38" s="5" t="n">
        <v>8</v>
      </c>
      <c r="M38" s="5" t="n">
        <v>1</v>
      </c>
      <c r="N38" s="5" t="n"/>
      <c r="O38" s="5" t="n">
        <v>7518</v>
      </c>
      <c r="P38" s="5" t="n">
        <v>1</v>
      </c>
      <c r="Q38">
        <f>L38+IF(M38&gt;1,N(N38)*(M38-1),0)</f>
        <v/>
      </c>
      <c r="R38">
        <f>IFERROR(K38*MAX(M38,1)/Q38*P38,0)</f>
        <v/>
      </c>
      <c r="AA38" s="6" t="inlineStr">
        <is>
          <t>^ArrowWeapon, ^TankDestroyerCannon, ^SmallArms, ^Grenade, ^MediumCannon, ^MediumMissile, ^FlakWeapon, ^Chaingun</t>
        </is>
      </c>
    </row>
    <row r="39">
      <c r="B39" s="6" t="inlineStr">
        <is>
          <t xml:space="preserve">  ↳ ArmoredCarMGWaveforce</t>
        </is>
      </c>
      <c r="C39" s="6" t="inlineStr">
        <is>
          <t>Armament@UpgradeAG</t>
        </is>
      </c>
      <c r="K39" s="5" t="n">
        <v>2000</v>
      </c>
      <c r="L39" s="5" t="n">
        <v>8</v>
      </c>
      <c r="M39" s="5" t="n">
        <v>1</v>
      </c>
      <c r="N39" s="5" t="n"/>
      <c r="O39" s="5" t="n">
        <v>5012</v>
      </c>
      <c r="P39" s="5" t="n">
        <v>1</v>
      </c>
      <c r="Q39">
        <f>L39+IF(M39&gt;1,N(N39)*(M39-1),0)</f>
        <v/>
      </c>
      <c r="R39">
        <f>IFERROR(K39*MAX(M39,1)/Q39*P39,0)</f>
        <v/>
      </c>
      <c r="AA39" s="6" t="inlineStr">
        <is>
          <t>^HeavyAAWeapon, ^WaveforceBulletWarhead, ^ArrowWeapon, ^TankDestroyerCannon, ^SmallArms, ^Grenade, ^MediumCannon, ^MediumMissile, ^FlakWeapon, ^Chaingun, ^WaveforceBulletProjectile</t>
        </is>
      </c>
    </row>
    <row r="40">
      <c r="B40" s="6" t="inlineStr">
        <is>
          <t xml:space="preserve">  ↳ ArmoredCarMGAAWaveforce</t>
        </is>
      </c>
      <c r="C40" s="6" t="inlineStr">
        <is>
          <t>Armament@UpgradeAA</t>
        </is>
      </c>
      <c r="K40" s="5" t="n">
        <v>2000</v>
      </c>
      <c r="L40" s="5" t="n">
        <v>8</v>
      </c>
      <c r="M40" s="5" t="n">
        <v>1</v>
      </c>
      <c r="N40" s="5" t="n"/>
      <c r="O40" s="5" t="n">
        <v>7518</v>
      </c>
      <c r="P40" s="5" t="n">
        <v>1</v>
      </c>
      <c r="Q40">
        <f>L40+IF(M40&gt;1,N(N40)*(M40-1),0)</f>
        <v/>
      </c>
      <c r="R40">
        <f>IFERROR(K40*MAX(M40,1)/Q40*P40,0)</f>
        <v/>
      </c>
      <c r="AA40" s="6" t="inlineStr">
        <is>
          <t>^HeavyAAWeapon, ^WaveforceBulletWarhead, ^ArrowWeapon, ^TankDestroyerCannon, ^SmallArms, ^Grenade, ^MediumCannon, ^MediumMissile, ^FlakWeapon, ^Chaingun, ^WaveforceBulletProjectile</t>
        </is>
      </c>
    </row>
    <row r="41">
      <c r="A41" t="inlineStr">
        <is>
          <t>redalert</t>
        </is>
      </c>
      <c r="B41" t="inlineStr">
        <is>
          <t>japan_ballista</t>
        </is>
      </c>
      <c r="C41" t="inlineStr">
        <is>
          <t>Ballista</t>
        </is>
      </c>
      <c r="D41" t="inlineStr"/>
      <c r="E41" s="5" t="n">
        <v>65000</v>
      </c>
      <c r="F41" s="5" t="n">
        <v>65</v>
      </c>
      <c r="G41" t="inlineStr">
        <is>
          <t>Medium</t>
        </is>
      </c>
      <c r="H41" s="5" t="n">
        <v>1</v>
      </c>
      <c r="I41" s="5" t="n">
        <v>1</v>
      </c>
      <c r="J41" s="5" t="n">
        <v>1</v>
      </c>
      <c r="O41">
        <f>MAX(O42,O43)</f>
        <v/>
      </c>
      <c r="R41">
        <f>R42+R43</f>
        <v/>
      </c>
      <c r="S41">
        <f>(E41/100000+F41/100+(O41/1000)*J41/5+R41/200)*200*I41*H41</f>
        <v/>
      </c>
      <c r="T41">
        <f>((E41*F41/25000)+((O41/1000)*J41*R41/2.5))*I41*H41</f>
        <v/>
      </c>
      <c r="U41">
        <f>(E41*F41*(O41/1000)*J41*R41*I41*H41)/12500000</f>
        <v/>
      </c>
      <c r="V41">
        <f>(S41+T41+U41)/3</f>
        <v/>
      </c>
      <c r="W41" s="5" t="n">
        <v>1150</v>
      </c>
      <c r="X41">
        <f>IFERROR(V41-W41,"")</f>
        <v/>
      </c>
      <c r="Y41">
        <f>IFERROR(ABS(X41)/MAX(W41,1),"")</f>
        <v/>
      </c>
      <c r="Z41">
        <f>IFERROR((W41-(((E41/100000+F41/100+R41/200)*200*I41*H41)+((E41*F41/25000)*I41*H41))/3)/(((J41/5)*200*I41*H41)+((J41*R41/2.5)*I41*H41)+((E41*F41*J41*R41*I41*H41)/12500000))/3*1000,"")</f>
        <v/>
      </c>
    </row>
    <row r="42">
      <c r="B42" s="6" t="inlineStr">
        <is>
          <t xml:space="preserve">  ↳ BallistaMultiShot</t>
        </is>
      </c>
      <c r="C42" s="6" t="inlineStr">
        <is>
          <t>Armament@PRIMARY</t>
        </is>
      </c>
      <c r="K42" s="5" t="n">
        <v>10000</v>
      </c>
      <c r="L42" s="5" t="n">
        <v>176</v>
      </c>
      <c r="M42" s="5" t="n">
        <v>5</v>
      </c>
      <c r="N42" s="5" t="n">
        <v>6</v>
      </c>
      <c r="O42" s="5" t="n">
        <v>13515</v>
      </c>
      <c r="P42" s="5" t="n">
        <v>1</v>
      </c>
      <c r="Q42">
        <f>L42+IF(M42&gt;1,N(N42)*(M42-1),0)</f>
        <v/>
      </c>
      <c r="R42">
        <f>IFERROR(K42*MAX(M42,1)/Q42*P42,0)</f>
        <v/>
      </c>
      <c r="AA42" s="6" t="inlineStr">
        <is>
          <t>^Grenade, ^LightFlameWeapon, ^LightChemicalWeapon, ^ArrowWeapon</t>
        </is>
      </c>
    </row>
    <row r="43">
      <c r="B43" s="6" t="inlineStr">
        <is>
          <t xml:space="preserve">  ↳ BallistaMultiShotEnergized</t>
        </is>
      </c>
      <c r="C43" s="6" t="inlineStr">
        <is>
          <t>Armament@Upgrade</t>
        </is>
      </c>
      <c r="K43" s="5" t="n">
        <v>10000</v>
      </c>
      <c r="L43" s="5" t="n">
        <v>176</v>
      </c>
      <c r="M43" s="5" t="n">
        <v>5</v>
      </c>
      <c r="N43" s="5" t="n">
        <v>6</v>
      </c>
      <c r="O43" s="5" t="n">
        <v>13515</v>
      </c>
      <c r="P43" s="5" t="n">
        <v>1</v>
      </c>
      <c r="Q43">
        <f>L43+IF(M43&gt;1,N(N43)*(M43-1),0)</f>
        <v/>
      </c>
      <c r="R43">
        <f>IFERROR(K43*MAX(M43,1)/Q43*P43,0)</f>
        <v/>
      </c>
      <c r="AA43" s="6" t="inlineStr">
        <is>
          <t>^TeslaWeapon, ^MediumFlameWeapon, ^MediumChemicalWeapon, ^ArrowWeapon</t>
        </is>
      </c>
    </row>
    <row r="44">
      <c r="A44" t="inlineStr">
        <is>
          <t>redalert</t>
        </is>
      </c>
      <c r="B44" t="inlineStr">
        <is>
          <t>japan_chihaheavytank</t>
        </is>
      </c>
      <c r="C44" t="inlineStr">
        <is>
          <t>Chi-Ha Heavy Tank</t>
        </is>
      </c>
      <c r="D44" t="inlineStr"/>
      <c r="E44" s="5" t="n">
        <v>130000</v>
      </c>
      <c r="F44" s="5" t="n">
        <v>85</v>
      </c>
      <c r="G44" t="inlineStr">
        <is>
          <t>Heavy</t>
        </is>
      </c>
      <c r="H44" s="5" t="n">
        <v>1</v>
      </c>
      <c r="I44" s="5" t="n">
        <v>1</v>
      </c>
      <c r="J44" s="5" t="n">
        <v>1</v>
      </c>
      <c r="O44">
        <f>MAX(O45,O46)</f>
        <v/>
      </c>
      <c r="R44">
        <f>R45+R46</f>
        <v/>
      </c>
      <c r="S44">
        <f>(E44/100000+F44/100+(O44/1000)*J44/5+R44/200)*200*I44*H44</f>
        <v/>
      </c>
      <c r="T44">
        <f>((E44*F44/25000)+((O44/1000)*J44*R44/2.5))*I44*H44</f>
        <v/>
      </c>
      <c r="U44">
        <f>(E44*F44*(O44/1000)*J44*R44*I44*H44)/12500000</f>
        <v/>
      </c>
      <c r="V44">
        <f>(S44+T44+U44)/3</f>
        <v/>
      </c>
      <c r="W44" s="5" t="n">
        <v>1200</v>
      </c>
      <c r="X44">
        <f>IFERROR(V44-W44,"")</f>
        <v/>
      </c>
      <c r="Y44">
        <f>IFERROR(ABS(X44)/MAX(W44,1),"")</f>
        <v/>
      </c>
      <c r="Z44">
        <f>IFERROR((W44-(((E44/100000+F44/100+R44/200)*200*I44*H44)+((E44*F44/25000)*I44*H44))/3)/(((J44/5)*200*I44*H44)+((J44*R44/2.5)*I44*H44)+((E44*F44*J44*R44*I44*H44)/12500000))/3*1000,"")</f>
        <v/>
      </c>
    </row>
    <row r="45">
      <c r="B45" s="6" t="inlineStr">
        <is>
          <t xml:space="preserve">  ↳ Type97Cannon</t>
        </is>
      </c>
      <c r="C45" s="6" t="inlineStr">
        <is>
          <t>Armament</t>
        </is>
      </c>
      <c r="K45" s="5" t="n">
        <v>6000</v>
      </c>
      <c r="L45" s="5" t="n">
        <v>56</v>
      </c>
      <c r="M45" s="5" t="n">
        <v>1</v>
      </c>
      <c r="N45" s="5" t="n"/>
      <c r="O45" s="5" t="n">
        <v>5692</v>
      </c>
      <c r="P45" s="5" t="n">
        <v>1</v>
      </c>
      <c r="Q45">
        <f>L45+IF(M45&gt;1,N(N45)*(M45-1),0)</f>
        <v/>
      </c>
      <c r="R45">
        <f>IFERROR(K45*MAX(M45,1)/Q45*P45,0)</f>
        <v/>
      </c>
      <c r="AA45" s="6" t="inlineStr">
        <is>
          <t>^HeavyCannon, ^MediumCannon</t>
        </is>
      </c>
    </row>
    <row r="46">
      <c r="B46" s="6" t="inlineStr">
        <is>
          <t xml:space="preserve">  ↳ Type97PlasmaCannon</t>
        </is>
      </c>
      <c r="C46" s="6" t="inlineStr">
        <is>
          <t>Armament@Upgrade</t>
        </is>
      </c>
      <c r="K46" s="5" t="n">
        <v>4000</v>
      </c>
      <c r="L46" s="5" t="n">
        <v>56</v>
      </c>
      <c r="M46" s="5" t="n">
        <v>1</v>
      </c>
      <c r="N46" s="5" t="n"/>
      <c r="O46" s="5" t="n">
        <v>5692</v>
      </c>
      <c r="P46" s="5" t="n">
        <v>1</v>
      </c>
      <c r="Q46">
        <f>L46+IF(M46&gt;1,N(N46)*(M46-1),0)</f>
        <v/>
      </c>
      <c r="R46">
        <f>IFERROR(K46*MAX(M46,1)/Q46*P46,0)</f>
        <v/>
      </c>
      <c r="AA46" s="6" t="inlineStr">
        <is>
          <t>^TeslaWeapon, ^RailgunWeapon, ^HeavyCannon</t>
        </is>
      </c>
    </row>
    <row r="47">
      <c r="A47" t="inlineStr">
        <is>
          <t>redalert</t>
        </is>
      </c>
      <c r="B47" t="inlineStr">
        <is>
          <t>japan_coreairfield</t>
        </is>
      </c>
      <c r="C47" t="inlineStr">
        <is>
          <t>Core (Airfield)</t>
        </is>
      </c>
      <c r="D47" t="inlineStr"/>
      <c r="E47" s="5" t="n">
        <v>50000</v>
      </c>
      <c r="F47" s="5" t="n">
        <v>75</v>
      </c>
      <c r="G47" t="inlineStr">
        <is>
          <t>Light</t>
        </is>
      </c>
      <c r="H47" s="5" t="n">
        <v>1</v>
      </c>
      <c r="I47" s="5" t="n">
        <v>1</v>
      </c>
      <c r="J47" s="5" t="n">
        <v>1</v>
      </c>
      <c r="W47" s="5" t="n">
        <v>1500</v>
      </c>
    </row>
    <row r="48">
      <c r="A48" t="inlineStr">
        <is>
          <t>redalert</t>
        </is>
      </c>
      <c r="B48" t="inlineStr">
        <is>
          <t>japan_corebarracks</t>
        </is>
      </c>
      <c r="C48" t="inlineStr">
        <is>
          <t>Core (Barracks)</t>
        </is>
      </c>
      <c r="D48" t="inlineStr"/>
      <c r="E48" s="5" t="n">
        <v>50000</v>
      </c>
      <c r="F48" s="5" t="n">
        <v>75</v>
      </c>
      <c r="G48" t="inlineStr">
        <is>
          <t>Light</t>
        </is>
      </c>
      <c r="H48" s="5" t="n">
        <v>1</v>
      </c>
      <c r="I48" s="5" t="n">
        <v>1</v>
      </c>
      <c r="J48" s="5" t="n">
        <v>1</v>
      </c>
      <c r="W48" s="5" t="n">
        <v>1000</v>
      </c>
    </row>
    <row r="49">
      <c r="A49" t="inlineStr">
        <is>
          <t>redalert</t>
        </is>
      </c>
      <c r="B49" t="inlineStr">
        <is>
          <t>japan_corepowerplant</t>
        </is>
      </c>
      <c r="C49" t="inlineStr">
        <is>
          <t>Core (Power Plant)</t>
        </is>
      </c>
      <c r="D49" t="inlineStr"/>
      <c r="E49" s="5" t="n">
        <v>50000</v>
      </c>
      <c r="F49" s="5" t="n">
        <v>75</v>
      </c>
      <c r="G49" t="inlineStr">
        <is>
          <t>Light</t>
        </is>
      </c>
      <c r="H49" s="5" t="n">
        <v>1</v>
      </c>
      <c r="I49" s="5" t="n">
        <v>1</v>
      </c>
      <c r="J49" s="5" t="n">
        <v>1</v>
      </c>
      <c r="W49" s="5" t="n">
        <v>750</v>
      </c>
    </row>
    <row r="50">
      <c r="A50" t="inlineStr">
        <is>
          <t>redalert</t>
        </is>
      </c>
      <c r="B50" t="inlineStr">
        <is>
          <t>japan_coreradar</t>
        </is>
      </c>
      <c r="C50" t="inlineStr">
        <is>
          <t>Core (Radar)</t>
        </is>
      </c>
      <c r="D50" t="inlineStr"/>
      <c r="E50" s="5" t="n">
        <v>50000</v>
      </c>
      <c r="F50" s="5" t="n">
        <v>75</v>
      </c>
      <c r="G50" t="inlineStr">
        <is>
          <t>Light</t>
        </is>
      </c>
      <c r="H50" s="5" t="n">
        <v>1</v>
      </c>
      <c r="I50" s="5" t="n">
        <v>1</v>
      </c>
      <c r="J50" s="5" t="n">
        <v>1</v>
      </c>
      <c r="W50" s="5" t="n">
        <v>2500</v>
      </c>
    </row>
    <row r="51">
      <c r="A51" t="inlineStr">
        <is>
          <t>redalert</t>
        </is>
      </c>
      <c r="B51" t="inlineStr">
        <is>
          <t>japan_corerefinery</t>
        </is>
      </c>
      <c r="C51" t="inlineStr">
        <is>
          <t>Core (Refinery)</t>
        </is>
      </c>
      <c r="D51" t="inlineStr"/>
      <c r="E51" s="5" t="n">
        <v>50000</v>
      </c>
      <c r="F51" s="5" t="n">
        <v>75</v>
      </c>
      <c r="G51" t="inlineStr">
        <is>
          <t>Light</t>
        </is>
      </c>
      <c r="H51" s="5" t="n">
        <v>1</v>
      </c>
      <c r="I51" s="5" t="n">
        <v>1</v>
      </c>
      <c r="J51" s="5" t="n">
        <v>1</v>
      </c>
      <c r="W51" s="5" t="n">
        <v>3000</v>
      </c>
    </row>
    <row r="52">
      <c r="A52" t="inlineStr">
        <is>
          <t>redalert</t>
        </is>
      </c>
      <c r="B52" t="inlineStr">
        <is>
          <t>japan_coreservicedepot</t>
        </is>
      </c>
      <c r="C52" t="inlineStr">
        <is>
          <t>Core (Service Depot)</t>
        </is>
      </c>
      <c r="D52" t="inlineStr"/>
      <c r="E52" s="5" t="n">
        <v>50000</v>
      </c>
      <c r="F52" s="5" t="n">
        <v>75</v>
      </c>
      <c r="G52" t="inlineStr">
        <is>
          <t>Light</t>
        </is>
      </c>
      <c r="H52" s="5" t="n">
        <v>1</v>
      </c>
      <c r="I52" s="5" t="n">
        <v>1</v>
      </c>
      <c r="J52" s="5" t="n">
        <v>1</v>
      </c>
      <c r="W52" s="5" t="n">
        <v>1000</v>
      </c>
    </row>
    <row r="53">
      <c r="A53" t="inlineStr">
        <is>
          <t>redalert</t>
        </is>
      </c>
      <c r="B53" t="inlineStr">
        <is>
          <t>japan_coretechcenter</t>
        </is>
      </c>
      <c r="C53" t="inlineStr">
        <is>
          <t>Core (Tech Center)</t>
        </is>
      </c>
      <c r="D53" t="inlineStr"/>
      <c r="E53" s="5" t="n">
        <v>50000</v>
      </c>
      <c r="F53" s="5" t="n">
        <v>75</v>
      </c>
      <c r="G53" t="inlineStr">
        <is>
          <t>Light</t>
        </is>
      </c>
      <c r="H53" s="5" t="n">
        <v>1</v>
      </c>
      <c r="I53" s="5" t="n">
        <v>1</v>
      </c>
      <c r="J53" s="5" t="n">
        <v>1</v>
      </c>
      <c r="W53" s="5" t="n">
        <v>5000</v>
      </c>
    </row>
    <row r="54">
      <c r="A54" t="inlineStr">
        <is>
          <t>redalert</t>
        </is>
      </c>
      <c r="B54" t="inlineStr">
        <is>
          <t>japan_corewarfactory</t>
        </is>
      </c>
      <c r="C54" t="inlineStr">
        <is>
          <t>Core (War Factory)</t>
        </is>
      </c>
      <c r="D54" t="inlineStr"/>
      <c r="E54" s="5" t="n">
        <v>50000</v>
      </c>
      <c r="F54" s="5" t="n">
        <v>75</v>
      </c>
      <c r="G54" t="inlineStr">
        <is>
          <t>Light</t>
        </is>
      </c>
      <c r="H54" s="5" t="n">
        <v>1</v>
      </c>
      <c r="I54" s="5" t="n">
        <v>1</v>
      </c>
      <c r="J54" s="5" t="n">
        <v>1</v>
      </c>
      <c r="W54" s="5" t="n">
        <v>2000</v>
      </c>
    </row>
    <row r="55">
      <c r="A55" t="inlineStr">
        <is>
          <t>redalert</t>
        </is>
      </c>
      <c r="B55" t="inlineStr">
        <is>
          <t>japan_exorcistoitank</t>
        </is>
      </c>
      <c r="C55" t="inlineStr">
        <is>
          <t>Exorcist O-I Tank</t>
        </is>
      </c>
      <c r="D55" t="inlineStr"/>
      <c r="E55" s="5" t="n">
        <v>750000</v>
      </c>
      <c r="F55" s="5" t="n">
        <v>50</v>
      </c>
      <c r="G55" t="inlineStr">
        <is>
          <t>Superheavy</t>
        </is>
      </c>
      <c r="H55" s="5" t="n">
        <v>0.75</v>
      </c>
      <c r="I55" s="5" t="n">
        <v>0.4</v>
      </c>
      <c r="J55" s="5" t="n">
        <v>1.25</v>
      </c>
      <c r="O55">
        <f>MAX(O56,O57,O58,O59,O60,O61,O62,O63,O64,O65,O66,O67)</f>
        <v/>
      </c>
      <c r="R55">
        <f>R56+R57+R58+R59+R60+R61+R62+R63+R64+R65+R66+R67</f>
        <v/>
      </c>
      <c r="S55">
        <f>(E55/100000+F55/100+(O55/1000)*J55/5+R55/200)*200*I55*H55</f>
        <v/>
      </c>
      <c r="T55">
        <f>((E55*F55/25000)+((O55/1000)*J55*R55/2.5))*I55*H55</f>
        <v/>
      </c>
      <c r="U55">
        <f>(E55*F55*(O55/1000)*J55*R55*I55*H55)/12500000</f>
        <v/>
      </c>
      <c r="V55">
        <f>(S55+T55+U55)/3</f>
        <v/>
      </c>
      <c r="W55" s="5" t="n">
        <v>10000</v>
      </c>
      <c r="X55">
        <f>IFERROR(V55-W55,"")</f>
        <v/>
      </c>
      <c r="Y55">
        <f>IFERROR(ABS(X55)/MAX(W55,1),"")</f>
        <v/>
      </c>
      <c r="Z55">
        <f>IFERROR((W55-(((E55/100000+F55/100+R55/200)*200*I55*H55)+((E55*F55/25000)*I55*H55))/3)/(((J55/5)*200*I55*H55)+((J55*R55/2.5)*I55*H55)+((E55*F55*J55*R55*I55*H55)/12500000))/3*1000,"")</f>
        <v/>
      </c>
    </row>
    <row r="56">
      <c r="B56" s="6" t="inlineStr">
        <is>
          <t xml:space="preserve">  ↳ OIHakureiring</t>
        </is>
      </c>
      <c r="C56" s="6" t="inlineStr">
        <is>
          <t>Armament@MAIN</t>
        </is>
      </c>
      <c r="K56" s="5" t="n">
        <v>10000</v>
      </c>
      <c r="L56" s="5" t="n">
        <v>30</v>
      </c>
      <c r="M56" s="5" t="n">
        <v>3</v>
      </c>
      <c r="N56" s="5" t="n">
        <v>10</v>
      </c>
      <c r="O56" s="5" t="n">
        <v>5394</v>
      </c>
      <c r="P56" s="5" t="n">
        <v>1</v>
      </c>
      <c r="Q56">
        <f>L56+IF(M56&gt;1,N(N56)*(M56-1),0)</f>
        <v/>
      </c>
      <c r="R56">
        <f>IFERROR(K56*MAX(M56,1)/Q56*P56,0)</f>
        <v/>
      </c>
      <c r="AA56" s="6" t="inlineStr">
        <is>
          <t>^TeslaWeapon, ^MagicWeapon, ^EMPDamage</t>
        </is>
      </c>
    </row>
    <row r="57">
      <c r="B57" s="6" t="inlineStr">
        <is>
          <t xml:space="preserve">  ↳ OIHakureiring2</t>
        </is>
      </c>
      <c r="C57" s="6" t="inlineStr">
        <is>
          <t>Armament@AntiEpic</t>
        </is>
      </c>
      <c r="K57" s="5" t="n">
        <v>120000</v>
      </c>
      <c r="L57" s="5" t="n">
        <v>100</v>
      </c>
      <c r="M57" s="5" t="n">
        <v>1</v>
      </c>
      <c r="N57" s="5" t="n">
        <v>10</v>
      </c>
      <c r="O57" s="5" t="n">
        <v>5394</v>
      </c>
      <c r="P57" s="5" t="n">
        <v>1</v>
      </c>
      <c r="Q57">
        <f>L57+IF(M57&gt;1,N(N57)*(M57-1),0)</f>
        <v/>
      </c>
      <c r="R57">
        <f>IFERROR(K57*MAX(M57,1)/Q57*P57,0)</f>
        <v/>
      </c>
      <c r="AA57" s="6" t="inlineStr">
        <is>
          <t>^TeslaWeapon, ^MagicWeapon, ^EMPDamage</t>
        </is>
      </c>
    </row>
    <row r="58">
      <c r="B58" s="6" t="inlineStr">
        <is>
          <t xml:space="preserve">  ↳ OISmallCannon</t>
        </is>
      </c>
      <c r="C58" s="6" t="inlineStr">
        <is>
          <t>Armament@PRIMARY</t>
        </is>
      </c>
      <c r="K58" s="5" t="n">
        <v>8000</v>
      </c>
      <c r="L58" s="5" t="n">
        <v>45</v>
      </c>
      <c r="M58" s="5" t="n">
        <v>1</v>
      </c>
      <c r="N58" s="5" t="n"/>
      <c r="O58" s="5" t="n">
        <v>5394</v>
      </c>
      <c r="P58" s="5" t="n">
        <v>1</v>
      </c>
      <c r="Q58">
        <f>L58+IF(M58&gt;1,N(N58)*(M58-1),0)</f>
        <v/>
      </c>
      <c r="R58">
        <f>IFERROR(K58*MAX(M58,1)/Q58*P58,0)</f>
        <v/>
      </c>
      <c r="AA58" s="6" t="inlineStr">
        <is>
          <t>^MediumCannon</t>
        </is>
      </c>
    </row>
    <row r="59">
      <c r="B59" s="6" t="inlineStr">
        <is>
          <t xml:space="preserve">  ↳ OISmallCannon</t>
        </is>
      </c>
      <c r="C59" s="6" t="inlineStr">
        <is>
          <t>Armament@SECONDARY</t>
        </is>
      </c>
      <c r="K59" s="5" t="n">
        <v>8000</v>
      </c>
      <c r="L59" s="5" t="n">
        <v>45</v>
      </c>
      <c r="M59" s="5" t="n">
        <v>1</v>
      </c>
      <c r="N59" s="5" t="n"/>
      <c r="O59" s="5" t="n">
        <v>5394</v>
      </c>
      <c r="P59" s="5" t="n">
        <v>1</v>
      </c>
      <c r="Q59">
        <f>L59+IF(M59&gt;1,N(N59)*(M59-1),0)</f>
        <v/>
      </c>
      <c r="R59">
        <f>IFERROR(K59*MAX(M59,1)/Q59*P59,0)</f>
        <v/>
      </c>
      <c r="AA59" s="6" t="inlineStr">
        <is>
          <t>^MediumCannon</t>
        </is>
      </c>
    </row>
    <row r="60">
      <c r="B60" s="6" t="inlineStr">
        <is>
          <t xml:space="preserve">  ↳ OISmallCannon</t>
        </is>
      </c>
      <c r="C60" s="6" t="inlineStr">
        <is>
          <t>Armament@Back</t>
        </is>
      </c>
      <c r="K60" s="5" t="n">
        <v>8000</v>
      </c>
      <c r="L60" s="5" t="n">
        <v>45</v>
      </c>
      <c r="M60" s="5" t="n">
        <v>1</v>
      </c>
      <c r="N60" s="5" t="n"/>
      <c r="O60" s="5" t="n">
        <v>5394</v>
      </c>
      <c r="P60" s="5" t="n">
        <v>1</v>
      </c>
      <c r="Q60">
        <f>L60+IF(M60&gt;1,N(N60)*(M60-1),0)</f>
        <v/>
      </c>
      <c r="R60">
        <f>IFERROR(K60*MAX(M60,1)/Q60*P60,0)</f>
        <v/>
      </c>
      <c r="AA60" s="6" t="inlineStr">
        <is>
          <t>^MediumCannon</t>
        </is>
      </c>
    </row>
    <row r="61">
      <c r="B61" s="6" t="inlineStr">
        <is>
          <t xml:space="preserve">  ↳ OISmallPlasmaCannon</t>
        </is>
      </c>
      <c r="C61" s="6" t="inlineStr">
        <is>
          <t>Armament@UpgradePRIMARY</t>
        </is>
      </c>
      <c r="K61" s="5" t="n">
        <v>2000</v>
      </c>
      <c r="L61" s="5" t="n">
        <v>45</v>
      </c>
      <c r="M61" s="5" t="n">
        <v>1</v>
      </c>
      <c r="N61" s="5" t="n"/>
      <c r="O61" s="5" t="n">
        <v>5394</v>
      </c>
      <c r="P61" s="5" t="n">
        <v>1</v>
      </c>
      <c r="Q61">
        <f>L61+IF(M61&gt;1,N(N61)*(M61-1),0)</f>
        <v/>
      </c>
      <c r="R61">
        <f>IFERROR(K61*MAX(M61,1)/Q61*P61,0)</f>
        <v/>
      </c>
      <c r="AA61" s="6" t="inlineStr">
        <is>
          <t>^HeavyChemicalWeapon, ^TeslaWeapon, ^RailgunWeapon, ^HeavyCannon</t>
        </is>
      </c>
    </row>
    <row r="62">
      <c r="B62" s="6" t="inlineStr">
        <is>
          <t xml:space="preserve">  ↳ OISmallPlasmaCannon</t>
        </is>
      </c>
      <c r="C62" s="6" t="inlineStr">
        <is>
          <t>Armament@UpgradeSECONDARY</t>
        </is>
      </c>
      <c r="K62" s="5" t="n">
        <v>2000</v>
      </c>
      <c r="L62" s="5" t="n">
        <v>45</v>
      </c>
      <c r="M62" s="5" t="n">
        <v>1</v>
      </c>
      <c r="N62" s="5" t="n"/>
      <c r="O62" s="5" t="n">
        <v>5394</v>
      </c>
      <c r="P62" s="5" t="n">
        <v>1</v>
      </c>
      <c r="Q62">
        <f>L62+IF(M62&gt;1,N(N62)*(M62-1),0)</f>
        <v/>
      </c>
      <c r="R62">
        <f>IFERROR(K62*MAX(M62,1)/Q62*P62,0)</f>
        <v/>
      </c>
      <c r="AA62" s="6" t="inlineStr">
        <is>
          <t>^HeavyChemicalWeapon, ^TeslaWeapon, ^RailgunWeapon, ^HeavyCannon</t>
        </is>
      </c>
    </row>
    <row r="63">
      <c r="B63" s="6" t="inlineStr">
        <is>
          <t xml:space="preserve">  ↳ OISmallPlasmaCannon</t>
        </is>
      </c>
      <c r="C63" s="6" t="inlineStr">
        <is>
          <t>Armament@UpgradeBack</t>
        </is>
      </c>
      <c r="K63" s="5" t="n">
        <v>2000</v>
      </c>
      <c r="L63" s="5" t="n">
        <v>45</v>
      </c>
      <c r="M63" s="5" t="n">
        <v>1</v>
      </c>
      <c r="N63" s="5" t="n"/>
      <c r="O63" s="5" t="n">
        <v>5394</v>
      </c>
      <c r="P63" s="5" t="n">
        <v>1</v>
      </c>
      <c r="Q63">
        <f>L63+IF(M63&gt;1,N(N63)*(M63-1),0)</f>
        <v/>
      </c>
      <c r="R63">
        <f>IFERROR(K63*MAX(M63,1)/Q63*P63,0)</f>
        <v/>
      </c>
      <c r="AA63" s="6" t="inlineStr">
        <is>
          <t>^HeavyChemicalWeapon, ^TeslaWeapon, ^RailgunWeapon, ^HeavyCannon</t>
        </is>
      </c>
    </row>
    <row r="64">
      <c r="B64" s="6" t="inlineStr">
        <is>
          <t xml:space="preserve">  ↳ OIFlamer</t>
        </is>
      </c>
      <c r="C64" s="6" t="inlineStr">
        <is>
          <t>Armament@PRIMARYFlame</t>
        </is>
      </c>
      <c r="K64" s="5" t="n">
        <v>2000</v>
      </c>
      <c r="L64" s="5" t="n">
        <v>60</v>
      </c>
      <c r="M64" s="5" t="n">
        <v>20</v>
      </c>
      <c r="N64" s="5" t="n">
        <v>1</v>
      </c>
      <c r="O64" s="5" t="n">
        <v>5394</v>
      </c>
      <c r="P64" s="5" t="n">
        <v>1</v>
      </c>
      <c r="Q64">
        <f>L64+IF(M64&gt;1,N(N64)*(M64-1),0)</f>
        <v/>
      </c>
      <c r="R64">
        <f>IFERROR(K64*MAX(M64,1)/Q64*P64,0)</f>
        <v/>
      </c>
      <c r="AA64" s="6" t="inlineStr">
        <is>
          <t>^MediumFlameWeapon</t>
        </is>
      </c>
    </row>
    <row r="65">
      <c r="B65" s="6" t="inlineStr">
        <is>
          <t xml:space="preserve">  ↳ OIFlamer</t>
        </is>
      </c>
      <c r="C65" s="6" t="inlineStr">
        <is>
          <t>Armament@SECONDARYFlame</t>
        </is>
      </c>
      <c r="K65" s="5" t="n">
        <v>2000</v>
      </c>
      <c r="L65" s="5" t="n">
        <v>60</v>
      </c>
      <c r="M65" s="5" t="n">
        <v>20</v>
      </c>
      <c r="N65" s="5" t="n">
        <v>1</v>
      </c>
      <c r="O65" s="5" t="n">
        <v>5394</v>
      </c>
      <c r="P65" s="5" t="n">
        <v>1</v>
      </c>
      <c r="Q65">
        <f>L65+IF(M65&gt;1,N(N65)*(M65-1),0)</f>
        <v/>
      </c>
      <c r="R65">
        <f>IFERROR(K65*MAX(M65,1)/Q65*P65,0)</f>
        <v/>
      </c>
      <c r="AA65" s="6" t="inlineStr">
        <is>
          <t>^MediumFlameWeapon</t>
        </is>
      </c>
    </row>
    <row r="66">
      <c r="B66" s="6" t="inlineStr">
        <is>
          <t xml:space="preserve">  ↳ OIPlasmaFlamer</t>
        </is>
      </c>
      <c r="C66" s="6" t="inlineStr">
        <is>
          <t>Armament@UpgradePRIMARYFlame</t>
        </is>
      </c>
      <c r="K66" s="5" t="n">
        <v>2000</v>
      </c>
      <c r="L66" s="5" t="n">
        <v>60</v>
      </c>
      <c r="M66" s="5" t="n">
        <v>20</v>
      </c>
      <c r="N66" s="5" t="n">
        <v>1</v>
      </c>
      <c r="O66" s="5" t="n">
        <v>5394</v>
      </c>
      <c r="P66" s="5" t="n">
        <v>1</v>
      </c>
      <c r="Q66">
        <f>L66+IF(M66&gt;1,N(N66)*(M66-1),0)</f>
        <v/>
      </c>
      <c r="R66">
        <f>IFERROR(K66*MAX(M66,1)/Q66*P66,0)</f>
        <v/>
      </c>
      <c r="AA66" s="6" t="inlineStr">
        <is>
          <t>^HeavyChemicalWeapon, ^HeavyFlameWeapon</t>
        </is>
      </c>
    </row>
    <row r="67">
      <c r="B67" s="6" t="inlineStr">
        <is>
          <t xml:space="preserve">  ↳ OIPlasmaFlamer</t>
        </is>
      </c>
      <c r="C67" s="6" t="inlineStr">
        <is>
          <t>Armament@UpgradeSECONDARYFlame</t>
        </is>
      </c>
      <c r="K67" s="5" t="n">
        <v>2000</v>
      </c>
      <c r="L67" s="5" t="n">
        <v>60</v>
      </c>
      <c r="M67" s="5" t="n">
        <v>20</v>
      </c>
      <c r="N67" s="5" t="n">
        <v>1</v>
      </c>
      <c r="O67" s="5" t="n">
        <v>5394</v>
      </c>
      <c r="P67" s="5" t="n">
        <v>1</v>
      </c>
      <c r="Q67">
        <f>L67+IF(M67&gt;1,N(N67)*(M67-1),0)</f>
        <v/>
      </c>
      <c r="R67">
        <f>IFERROR(K67*MAX(M67,1)/Q67*P67,0)</f>
        <v/>
      </c>
      <c r="AA67" s="6" t="inlineStr">
        <is>
          <t>^HeavyChemicalWeapon, ^HeavyFlameWeapon</t>
        </is>
      </c>
    </row>
    <row r="68">
      <c r="A68" t="inlineStr">
        <is>
          <t>redalert</t>
        </is>
      </c>
      <c r="B68" t="inlineStr">
        <is>
          <t>japan_grenadebuggy</t>
        </is>
      </c>
      <c r="C68" t="inlineStr">
        <is>
          <t>Grenade Buggy</t>
        </is>
      </c>
      <c r="D68" t="inlineStr"/>
      <c r="E68" s="5" t="n">
        <v>60000</v>
      </c>
      <c r="F68" s="5" t="n">
        <v>120</v>
      </c>
      <c r="G68" t="inlineStr">
        <is>
          <t>Scout</t>
        </is>
      </c>
      <c r="H68" s="5" t="n">
        <v>1</v>
      </c>
      <c r="I68" s="5" t="n">
        <v>0.5</v>
      </c>
      <c r="J68" s="5" t="n">
        <v>1</v>
      </c>
      <c r="O68">
        <f>MAX(O69,O70)</f>
        <v/>
      </c>
      <c r="R68">
        <f>R69+R70</f>
        <v/>
      </c>
      <c r="S68">
        <f>(E68/100000+F68/100+(O68/1000)*J68/5+R68/200)*200*I68*H68</f>
        <v/>
      </c>
      <c r="T68">
        <f>((E68*F68/25000)+((O68/1000)*J68*R68/2.5))*I68*H68</f>
        <v/>
      </c>
      <c r="U68">
        <f>(E68*F68*(O68/1000)*J68*R68*I68*H68)/12500000</f>
        <v/>
      </c>
      <c r="V68">
        <f>(S68+T68+U68)/3</f>
        <v/>
      </c>
      <c r="W68" s="5" t="n">
        <v>900</v>
      </c>
      <c r="X68">
        <f>IFERROR(V68-W68,"")</f>
        <v/>
      </c>
      <c r="Y68">
        <f>IFERROR(ABS(X68)/MAX(W68,1),"")</f>
        <v/>
      </c>
      <c r="Z68">
        <f>IFERROR((W68-(((E68/100000+F68/100+R68/200)*200*I68*H68)+((E68*F68/25000)*I68*H68))/3)/(((J68/5)*200*I68*H68)+((J68*R68/2.5)*I68*H68)+((E68*F68*J68*R68*I68*H68)/12500000))/3*1000,"")</f>
        <v/>
      </c>
    </row>
    <row r="69">
      <c r="B69" s="6" t="inlineStr">
        <is>
          <t xml:space="preserve">  ↳ BuggyGrenade</t>
        </is>
      </c>
      <c r="C69" s="6" t="inlineStr">
        <is>
          <t>Armament</t>
        </is>
      </c>
      <c r="K69" s="5" t="n">
        <v>60000</v>
      </c>
      <c r="L69" s="5" t="n">
        <v>60</v>
      </c>
      <c r="M69" s="5" t="n">
        <v>1</v>
      </c>
      <c r="N69" s="5" t="n"/>
      <c r="O69" s="5" t="n">
        <v>5184</v>
      </c>
      <c r="P69" s="5" t="n">
        <v>1</v>
      </c>
      <c r="Q69">
        <f>L69+IF(M69&gt;1,N(N69)*(M69-1),0)</f>
        <v/>
      </c>
      <c r="R69">
        <f>IFERROR(K69*MAX(M69,1)/Q69*P69,0)</f>
        <v/>
      </c>
      <c r="AA69" s="6" t="inlineStr">
        <is>
          <t>^Grenade</t>
        </is>
      </c>
    </row>
    <row r="70">
      <c r="B70" s="6" t="inlineStr">
        <is>
          <t xml:space="preserve">  ↳ BuggyPlasmaGrenade</t>
        </is>
      </c>
      <c r="C70" s="6" t="inlineStr">
        <is>
          <t>Armament@Upgrade</t>
        </is>
      </c>
      <c r="K70" s="5" t="n">
        <v>20000</v>
      </c>
      <c r="L70" s="5" t="n">
        <v>60</v>
      </c>
      <c r="M70" s="5" t="n">
        <v>1</v>
      </c>
      <c r="N70" s="5" t="n"/>
      <c r="O70" s="5" t="n">
        <v>5184</v>
      </c>
      <c r="P70" s="5" t="n">
        <v>1</v>
      </c>
      <c r="Q70">
        <f>L70+IF(M70&gt;1,N(N70)*(M70-1),0)</f>
        <v/>
      </c>
      <c r="R70">
        <f>IFERROR(K70*MAX(M70,1)/Q70*P70,0)</f>
        <v/>
      </c>
      <c r="AA70" s="6" t="inlineStr">
        <is>
          <t>^HeavyBomb, ^ShrapnelWeapon, ^Grenade</t>
        </is>
      </c>
    </row>
    <row r="71">
      <c r="A71" t="inlineStr">
        <is>
          <t>redalert</t>
        </is>
      </c>
      <c r="B71" t="inlineStr">
        <is>
          <t>japan_hovercraftflametank</t>
        </is>
      </c>
      <c r="C71" t="inlineStr">
        <is>
          <t>Hovercraft Flametank</t>
        </is>
      </c>
      <c r="D71" t="inlineStr"/>
      <c r="E71" s="5" t="n">
        <v>120000</v>
      </c>
      <c r="F71" s="5" t="n">
        <v>90</v>
      </c>
      <c r="G71" t="inlineStr">
        <is>
          <t>Medium</t>
        </is>
      </c>
      <c r="H71" s="5" t="n">
        <v>0.75</v>
      </c>
      <c r="I71" s="5" t="n">
        <v>1</v>
      </c>
      <c r="J71" s="5" t="n">
        <v>1</v>
      </c>
      <c r="O71">
        <f>MAX(O72,O73)</f>
        <v/>
      </c>
      <c r="R71">
        <f>R72+R73</f>
        <v/>
      </c>
      <c r="S71">
        <f>(E71/100000+F71/100+(O71/1000)*J71/5+R71/200)*200*I71*H71</f>
        <v/>
      </c>
      <c r="T71">
        <f>((E71*F71/25000)+((O71/1000)*J71*R71/2.5))*I71*H71</f>
        <v/>
      </c>
      <c r="U71">
        <f>(E71*F71*(O71/1000)*J71*R71*I71*H71)/12500000</f>
        <v/>
      </c>
      <c r="V71">
        <f>(S71+T71+U71)/3</f>
        <v/>
      </c>
      <c r="W71" s="5" t="n">
        <v>1700</v>
      </c>
      <c r="X71">
        <f>IFERROR(V71-W71,"")</f>
        <v/>
      </c>
      <c r="Y71">
        <f>IFERROR(ABS(X71)/MAX(W71,1),"")</f>
        <v/>
      </c>
      <c r="Z71">
        <f>IFERROR((W71-(((E71/100000+F71/100+R71/200)*200*I71*H71)+((E71*F71/25000)*I71*H71))/3)/(((J71/5)*200*I71*H71)+((J71*R71/2.5)*I71*H71)+((E71*F71*J71*R71*I71*H71)/12500000))/3*1000,"")</f>
        <v/>
      </c>
    </row>
    <row r="72">
      <c r="B72" s="6" t="inlineStr">
        <is>
          <t xml:space="preserve">  ↳ HeavyFlamer</t>
        </is>
      </c>
      <c r="C72" s="6" t="inlineStr">
        <is>
          <t>Armament</t>
        </is>
      </c>
      <c r="K72" s="5" t="n">
        <v>2000</v>
      </c>
      <c r="L72" s="5" t="n">
        <v>60</v>
      </c>
      <c r="M72" s="5" t="n">
        <v>30</v>
      </c>
      <c r="N72" s="5" t="n">
        <v>1</v>
      </c>
      <c r="O72" s="5" t="n">
        <v>6000</v>
      </c>
      <c r="P72" s="5" t="n">
        <v>1</v>
      </c>
      <c r="Q72">
        <f>L72+IF(M72&gt;1,N(N72)*(M72-1),0)</f>
        <v/>
      </c>
      <c r="R72">
        <f>IFERROR(K72*MAX(M72,1)/Q72*P72,0)</f>
        <v/>
      </c>
      <c r="AA72" s="6" t="inlineStr">
        <is>
          <t>^MediumFlameWeapon</t>
        </is>
      </c>
    </row>
    <row r="73">
      <c r="B73" s="6" t="inlineStr">
        <is>
          <t xml:space="preserve">  ↳ HeavyPlasmaFlamer</t>
        </is>
      </c>
      <c r="C73" s="6" t="inlineStr">
        <is>
          <t>Armament@Upgrade</t>
        </is>
      </c>
      <c r="K73" s="5" t="n">
        <v>2000</v>
      </c>
      <c r="L73" s="5" t="n">
        <v>60</v>
      </c>
      <c r="M73" s="5" t="n">
        <v>30</v>
      </c>
      <c r="N73" s="5" t="n">
        <v>1</v>
      </c>
      <c r="O73" s="5" t="n">
        <v>6000</v>
      </c>
      <c r="P73" s="5" t="n">
        <v>1</v>
      </c>
      <c r="Q73">
        <f>L73+IF(M73&gt;1,N(N73)*(M73-1),0)</f>
        <v/>
      </c>
      <c r="R73">
        <f>IFERROR(K73*MAX(M73,1)/Q73*P73,0)</f>
        <v/>
      </c>
      <c r="AA73" s="6" t="inlineStr">
        <is>
          <t>^HeavyChemicalWeapon, ^HeavyFlameWeapon</t>
        </is>
      </c>
    </row>
    <row r="74">
      <c r="A74" t="inlineStr">
        <is>
          <t>redalert</t>
        </is>
      </c>
      <c r="B74" t="inlineStr">
        <is>
          <t>japan_hovercrafttransport</t>
        </is>
      </c>
      <c r="C74" t="inlineStr">
        <is>
          <t>Hovercraft Transport</t>
        </is>
      </c>
      <c r="D74" t="inlineStr"/>
      <c r="E74" s="5" t="n">
        <v>65000</v>
      </c>
      <c r="F74" s="5" t="n">
        <v>130</v>
      </c>
      <c r="G74" t="inlineStr">
        <is>
          <t>Medium</t>
        </is>
      </c>
      <c r="H74" s="5" t="n">
        <v>1</v>
      </c>
      <c r="I74" s="5" t="n">
        <v>1</v>
      </c>
      <c r="J74" s="5" t="n">
        <v>1</v>
      </c>
      <c r="O74">
        <f>MAX(O75,O76,O77,O78,O79,O80)</f>
        <v/>
      </c>
      <c r="R74">
        <f>R75+R76+R77+R78+R79+R80</f>
        <v/>
      </c>
      <c r="S74">
        <f>(E74/100000+F74/100+(O74/1000)*J74/5+R74/200)*200*I74*H74</f>
        <v/>
      </c>
      <c r="T74">
        <f>((E74*F74/25000)+((O74/1000)*J74*R74/2.5))*I74*H74</f>
        <v/>
      </c>
      <c r="U74">
        <f>(E74*F74*(O74/1000)*J74*R74*I74*H74)/12500000</f>
        <v/>
      </c>
      <c r="V74">
        <f>(S74+T74+U74)/3</f>
        <v/>
      </c>
      <c r="W74" s="5" t="n">
        <v>1500</v>
      </c>
      <c r="X74">
        <f>IFERROR(V74-W74,"")</f>
        <v/>
      </c>
      <c r="Y74">
        <f>IFERROR(ABS(X74)/MAX(W74,1),"")</f>
        <v/>
      </c>
      <c r="Z74">
        <f>IFERROR((W74-(((E74/100000+F74/100+R74/200)*200*I74*H74)+((E74*F74/25000)*I74*H74))/3)/(((J74/5)*200*I74*H74)+((J74*R74/2.5)*I74*H74)+((E74*F74*J74*R74*I74*H74)/12500000))/3*1000,"")</f>
        <v/>
      </c>
    </row>
    <row r="75">
      <c r="B75" s="6" t="inlineStr">
        <is>
          <t xml:space="preserve">  ↳ HovercraftCannon</t>
        </is>
      </c>
      <c r="C75" s="6" t="inlineStr">
        <is>
          <t>Armament@cannon</t>
        </is>
      </c>
      <c r="K75" s="5" t="n">
        <v>2000</v>
      </c>
      <c r="L75" s="5" t="n">
        <v>25</v>
      </c>
      <c r="M75" s="5" t="n">
        <v>1</v>
      </c>
      <c r="N75" s="5" t="n"/>
      <c r="O75" s="5" t="n">
        <v>4876</v>
      </c>
      <c r="P75" s="5" t="n">
        <v>1</v>
      </c>
      <c r="Q75">
        <f>L75+IF(M75&gt;1,N(N75)*(M75-1),0)</f>
        <v/>
      </c>
      <c r="R75">
        <f>IFERROR(K75*MAX(M75,1)/Q75*P75,0)</f>
        <v/>
      </c>
      <c r="AA75" s="6" t="inlineStr">
        <is>
          <t>^SmallArms, ^Chaingun, ^Grenade, ^ShrapnelWeapon, ^TankDestroyerCannon, ^MediumCannon</t>
        </is>
      </c>
    </row>
    <row r="76">
      <c r="B76" s="6" t="inlineStr">
        <is>
          <t xml:space="preserve">  ↳ HovercraftPlasmaCannon</t>
        </is>
      </c>
      <c r="C76" s="6" t="inlineStr">
        <is>
          <t>Armament@Upgrade</t>
        </is>
      </c>
      <c r="K76" s="5" t="n">
        <v>2000</v>
      </c>
      <c r="L76" s="5" t="n">
        <v>25</v>
      </c>
      <c r="M76" s="5" t="n">
        <v>1</v>
      </c>
      <c r="N76" s="5" t="n"/>
      <c r="O76" s="5" t="n">
        <v>4876</v>
      </c>
      <c r="P76" s="5" t="n">
        <v>1</v>
      </c>
      <c r="Q76">
        <f>L76+IF(M76&gt;1,N(N76)*(M76-1),0)</f>
        <v/>
      </c>
      <c r="R76">
        <f>IFERROR(K76*MAX(M76,1)/Q76*P76,0)</f>
        <v/>
      </c>
      <c r="AA76" s="6" t="inlineStr">
        <is>
          <t>^TeslaWeapon, ^HeavyBomb, ^HeavyCannon, ^SmallArms, ^Chaingun, ^Grenade, ^ShrapnelWeapon, ^TankDestroyerCannon, ^MediumCannon</t>
        </is>
      </c>
    </row>
    <row r="77">
      <c r="B77" s="6" t="inlineStr">
        <is>
          <t xml:space="preserve">  ↳ JapaneseHovercraftFlak</t>
        </is>
      </c>
      <c r="C77" s="6" t="inlineStr">
        <is>
          <t>Armament@flak</t>
        </is>
      </c>
      <c r="K77" s="5" t="n">
        <v>2000</v>
      </c>
      <c r="L77" s="5" t="n">
        <v>8</v>
      </c>
      <c r="M77" s="5" t="n">
        <v>1</v>
      </c>
      <c r="N77" s="5" t="n"/>
      <c r="O77" s="5" t="n">
        <v>4876</v>
      </c>
      <c r="P77" s="5" t="n">
        <v>1</v>
      </c>
      <c r="Q77">
        <f>L77+IF(M77&gt;1,N(N77)*(M77-1),0)</f>
        <v/>
      </c>
      <c r="R77">
        <f>IFERROR(K77*MAX(M77,1)/Q77*P77,0)</f>
        <v/>
      </c>
      <c r="AA77" s="6" t="inlineStr">
        <is>
          <t>^SmallArms, ^FlakWeapon</t>
        </is>
      </c>
    </row>
    <row r="78">
      <c r="B78" s="6" t="inlineStr">
        <is>
          <t xml:space="preserve">  ↳ JapaneseHovercraftFlakWaveforce</t>
        </is>
      </c>
      <c r="C78" s="6" t="inlineStr">
        <is>
          <t>Armament@Upgradeflak</t>
        </is>
      </c>
      <c r="K78" s="5" t="n">
        <v>2000</v>
      </c>
      <c r="L78" s="5" t="n">
        <v>8</v>
      </c>
      <c r="M78" s="5" t="n">
        <v>1</v>
      </c>
      <c r="N78" s="5" t="n"/>
      <c r="O78" s="5" t="n">
        <v>4876</v>
      </c>
      <c r="P78" s="5" t="n">
        <v>1</v>
      </c>
      <c r="Q78">
        <f>L78+IF(M78&gt;1,N(N78)*(M78-1),0)</f>
        <v/>
      </c>
      <c r="R78">
        <f>IFERROR(K78*MAX(M78,1)/Q78*P78,0)</f>
        <v/>
      </c>
      <c r="AA78" s="6" t="inlineStr">
        <is>
          <t>^WaveforceBulletWarhead, ^SmallArms, ^FlakWeapon, ^WaveforceBulletProjectile</t>
        </is>
      </c>
    </row>
    <row r="79">
      <c r="B79" s="6" t="inlineStr">
        <is>
          <t xml:space="preserve">  ↳ JapaneseHovercraftFlakAA</t>
        </is>
      </c>
      <c r="C79" s="6" t="inlineStr">
        <is>
          <t>Armament@AA</t>
        </is>
      </c>
      <c r="K79" s="5" t="n">
        <v>2000</v>
      </c>
      <c r="L79" s="5" t="n">
        <v>8</v>
      </c>
      <c r="M79" s="5" t="n">
        <v>1</v>
      </c>
      <c r="N79" s="5" t="n"/>
      <c r="O79" s="5" t="n">
        <v>7314</v>
      </c>
      <c r="P79" s="5" t="n">
        <v>1</v>
      </c>
      <c r="Q79">
        <f>L79+IF(M79&gt;1,N(N79)*(M79-1),0)</f>
        <v/>
      </c>
      <c r="R79">
        <f>IFERROR(K79*MAX(M79,1)/Q79*P79,0)</f>
        <v/>
      </c>
      <c r="AA79" s="6" t="inlineStr">
        <is>
          <t>^SmallArms, ^FlakWeapon</t>
        </is>
      </c>
    </row>
    <row r="80">
      <c r="B80" s="6" t="inlineStr">
        <is>
          <t xml:space="preserve">  ↳ JapaneseHovercraftFlakAAkWaveforce</t>
        </is>
      </c>
      <c r="C80" s="6" t="inlineStr">
        <is>
          <t>Armament@UpgradeAA</t>
        </is>
      </c>
      <c r="K80" s="5" t="n">
        <v>2000</v>
      </c>
      <c r="L80" s="5" t="n">
        <v>8</v>
      </c>
      <c r="M80" s="5" t="n">
        <v>1</v>
      </c>
      <c r="N80" s="5" t="n"/>
      <c r="O80" s="5" t="n">
        <v>7314</v>
      </c>
      <c r="P80" s="5" t="n">
        <v>1</v>
      </c>
      <c r="Q80">
        <f>L80+IF(M80&gt;1,N(N80)*(M80-1),0)</f>
        <v/>
      </c>
      <c r="R80">
        <f>IFERROR(K80*MAX(M80,1)/Q80*P80,0)</f>
        <v/>
      </c>
      <c r="AA80" s="6" t="inlineStr">
        <is>
          <t>^WaveforceBulletWarhead, ^SmallArms, ^FlakWeapon, ^WaveforceBulletProjectile</t>
        </is>
      </c>
    </row>
    <row r="81">
      <c r="A81" t="inlineStr">
        <is>
          <t>redalert</t>
        </is>
      </c>
      <c r="B81" t="inlineStr">
        <is>
          <t>japan_igomediumtank</t>
        </is>
      </c>
      <c r="C81" t="inlineStr">
        <is>
          <t>I-Go Medium Tank</t>
        </is>
      </c>
      <c r="D81" t="inlineStr"/>
      <c r="E81" s="5" t="n">
        <v>110000</v>
      </c>
      <c r="F81" s="5" t="n">
        <v>90</v>
      </c>
      <c r="G81" t="inlineStr">
        <is>
          <t>Medium</t>
        </is>
      </c>
      <c r="H81" s="5" t="n">
        <v>1</v>
      </c>
      <c r="I81" s="5" t="n">
        <v>1</v>
      </c>
      <c r="J81" s="5" t="n">
        <v>1</v>
      </c>
      <c r="O81">
        <f>MAX(O82,O83)</f>
        <v/>
      </c>
      <c r="R81">
        <f>R82+R83</f>
        <v/>
      </c>
      <c r="S81">
        <f>(E81/100000+F81/100+(O81/1000)*J81/5+R81/200)*200*I81*H81</f>
        <v/>
      </c>
      <c r="T81">
        <f>((E81*F81/25000)+((O81/1000)*J81*R81/2.5))*I81*H81</f>
        <v/>
      </c>
      <c r="U81">
        <f>(E81*F81*(O81/1000)*J81*R81*I81*H81)/12500000</f>
        <v/>
      </c>
      <c r="V81">
        <f>(S81+T81+U81)/3</f>
        <v/>
      </c>
      <c r="W81" s="5" t="n">
        <v>800</v>
      </c>
      <c r="X81">
        <f>IFERROR(V81-W81,"")</f>
        <v/>
      </c>
      <c r="Y81">
        <f>IFERROR(ABS(X81)/MAX(W81,1),"")</f>
        <v/>
      </c>
      <c r="Z81">
        <f>IFERROR((W81-(((E81/100000+F81/100+R81/200)*200*I81*H81)+((E81*F81/25000)*I81*H81))/3)/(((J81/5)*200*I81*H81)+((J81*R81/2.5)*I81*H81)+((E81*F81*J81*R81*I81*H81)/12500000))/3*1000,"")</f>
        <v/>
      </c>
    </row>
    <row r="82">
      <c r="B82" s="6" t="inlineStr">
        <is>
          <t xml:space="preserve">  ↳ Type89Cannon</t>
        </is>
      </c>
      <c r="C82" s="6" t="inlineStr">
        <is>
          <t>Armament</t>
        </is>
      </c>
      <c r="K82" s="5" t="n">
        <v>10000</v>
      </c>
      <c r="L82" s="5" t="n">
        <v>52</v>
      </c>
      <c r="M82" s="5" t="n">
        <v>1</v>
      </c>
      <c r="N82" s="5" t="n"/>
      <c r="O82" s="5" t="n">
        <v>5243</v>
      </c>
      <c r="P82" s="5" t="n">
        <v>1</v>
      </c>
      <c r="Q82">
        <f>L82+IF(M82&gt;1,N(N82)*(M82-1),0)</f>
        <v/>
      </c>
      <c r="R82">
        <f>IFERROR(K82*MAX(M82,1)/Q82*P82,0)</f>
        <v/>
      </c>
      <c r="AA82" s="6" t="inlineStr">
        <is>
          <t>^MediumCannon</t>
        </is>
      </c>
    </row>
    <row r="83">
      <c r="B83" s="6" t="inlineStr">
        <is>
          <t xml:space="preserve">  ↳ Type89PlasmaCannon</t>
        </is>
      </c>
      <c r="C83" s="6" t="inlineStr">
        <is>
          <t>Armament@Upgrade</t>
        </is>
      </c>
      <c r="K83" s="5" t="n">
        <v>4000</v>
      </c>
      <c r="L83" s="5" t="n">
        <v>52</v>
      </c>
      <c r="M83" s="5" t="n">
        <v>1</v>
      </c>
      <c r="N83" s="5" t="n"/>
      <c r="O83" s="5" t="n">
        <v>5243</v>
      </c>
      <c r="P83" s="5" t="n">
        <v>1</v>
      </c>
      <c r="Q83">
        <f>L83+IF(M83&gt;1,N(N83)*(M83-1),0)</f>
        <v/>
      </c>
      <c r="R83">
        <f>IFERROR(K83*MAX(M83,1)/Q83*P83,0)</f>
        <v/>
      </c>
      <c r="AA83" s="6" t="inlineStr">
        <is>
          <t>^TeslaWeapon, ^TankDestroyerCannon, ^HeavyCannon</t>
        </is>
      </c>
    </row>
    <row r="84">
      <c r="A84" t="inlineStr">
        <is>
          <t>redalert</t>
        </is>
      </c>
      <c r="B84" t="inlineStr">
        <is>
          <t>japan_japanesemobileconstructionvehicle</t>
        </is>
      </c>
      <c r="C84" t="inlineStr">
        <is>
          <t>Japanese Mobile Construction Vehicle</t>
        </is>
      </c>
      <c r="D84" t="inlineStr"/>
      <c r="E84" s="5" t="n">
        <v>300000</v>
      </c>
      <c r="F84" s="5" t="n">
        <v>75</v>
      </c>
      <c r="G84" t="inlineStr">
        <is>
          <t>Medium</t>
        </is>
      </c>
      <c r="H84" s="5" t="n">
        <v>1</v>
      </c>
      <c r="I84" s="5" t="n">
        <v>1</v>
      </c>
      <c r="J84" s="5" t="n">
        <v>1</v>
      </c>
      <c r="W84" s="5" t="n">
        <v>5000</v>
      </c>
    </row>
    <row r="85">
      <c r="A85" t="inlineStr">
        <is>
          <t>redalert</t>
        </is>
      </c>
      <c r="B85" t="inlineStr">
        <is>
          <t>japan_japaneseoretruck</t>
        </is>
      </c>
      <c r="C85" t="inlineStr">
        <is>
          <t>Japanese Ore Truck</t>
        </is>
      </c>
      <c r="D85" t="inlineStr"/>
      <c r="E85" s="5" t="n">
        <v>75000</v>
      </c>
      <c r="F85" s="5" t="n">
        <v>120</v>
      </c>
      <c r="G85" t="inlineStr">
        <is>
          <t>Light</t>
        </is>
      </c>
      <c r="H85" s="5" t="n">
        <v>1</v>
      </c>
      <c r="I85" s="5" t="n">
        <v>1</v>
      </c>
      <c r="J85" s="5" t="n">
        <v>1</v>
      </c>
      <c r="W85" s="5" t="n">
        <v>1000</v>
      </c>
    </row>
    <row r="86">
      <c r="A86" t="inlineStr">
        <is>
          <t>redalert</t>
        </is>
      </c>
      <c r="B86" t="inlineStr">
        <is>
          <t>japan_nanodronebuggy</t>
        </is>
      </c>
      <c r="C86" t="inlineStr">
        <is>
          <t>Nanodrone Buggy</t>
        </is>
      </c>
      <c r="D86" t="inlineStr"/>
      <c r="E86" s="5" t="n">
        <v>37500</v>
      </c>
      <c r="F86" s="5" t="n">
        <v>77</v>
      </c>
      <c r="G86" t="inlineStr">
        <is>
          <t>Light</t>
        </is>
      </c>
      <c r="H86" s="5" t="n">
        <v>1</v>
      </c>
      <c r="I86" s="5" t="n">
        <v>1</v>
      </c>
      <c r="J86" s="5" t="n">
        <v>1.25</v>
      </c>
      <c r="O86">
        <f>MAX(O87)</f>
        <v/>
      </c>
      <c r="R86">
        <f>R87</f>
        <v/>
      </c>
      <c r="S86">
        <f>(E86/100000+F86/100+(O86/1000)*J86/5+R86/200)*200*I86*H86</f>
        <v/>
      </c>
      <c r="T86">
        <f>((E86*F86/25000)+((O86/1000)*J86*R86/2.5))*I86*H86</f>
        <v/>
      </c>
      <c r="U86">
        <f>(E86*F86*(O86/1000)*J86*R86*I86*H86)/12500000</f>
        <v/>
      </c>
      <c r="V86">
        <f>(S86+T86+U86)/3</f>
        <v/>
      </c>
      <c r="W86" s="5" t="n">
        <v>1200</v>
      </c>
      <c r="X86">
        <f>IFERROR(V86-W86,"")</f>
        <v/>
      </c>
      <c r="Y86">
        <f>IFERROR(ABS(X86)/MAX(W86,1),"")</f>
        <v/>
      </c>
      <c r="Z86">
        <f>IFERROR((W86-(((E86/100000+F86/100+R86/200)*200*I86*H86)+((E86*F86/25000)*I86*H86))/3)/(((J86/5)*200*I86*H86)+((J86*R86/2.5)*I86*H86)+((E86*F86*J86*R86*I86*H86)/12500000))/3*1000,"")</f>
        <v/>
      </c>
    </row>
    <row r="87">
      <c r="B87" s="6" t="inlineStr">
        <is>
          <t xml:space="preserve">  ↳ NanoArtilleryAG</t>
        </is>
      </c>
      <c r="C87" s="6" t="inlineStr">
        <is>
          <t>Armament</t>
        </is>
      </c>
      <c r="K87" s="5" t="n">
        <v>7777</v>
      </c>
      <c r="L87" s="5" t="n">
        <v>77</v>
      </c>
      <c r="M87" s="5" t="n">
        <v>1</v>
      </c>
      <c r="N87" s="5" t="n"/>
      <c r="O87" s="5" t="n">
        <v>7777</v>
      </c>
      <c r="P87" s="5" t="n">
        <v>1</v>
      </c>
      <c r="Q87">
        <f>L87+IF(M87&gt;1,N(N87)*(M87-1),0)</f>
        <v/>
      </c>
      <c r="R87">
        <f>IFERROR(K87*MAX(M87,1)/Q87*P87,0)</f>
        <v/>
      </c>
      <c r="AA87" s="6" t="inlineStr">
        <is>
          <t>^HeavyCannon, ^ShrapnelWeapon, ^Grenade</t>
        </is>
      </c>
    </row>
    <row r="88">
      <c r="A88" t="inlineStr">
        <is>
          <t>redalert</t>
        </is>
      </c>
      <c r="B88" t="inlineStr">
        <is>
          <t>japan_oitank</t>
        </is>
      </c>
      <c r="C88" t="inlineStr">
        <is>
          <t>O-I Tank</t>
        </is>
      </c>
      <c r="D88" t="inlineStr"/>
      <c r="E88" s="5" t="n">
        <v>650000</v>
      </c>
      <c r="F88" s="5" t="n">
        <v>50</v>
      </c>
      <c r="G88" t="inlineStr">
        <is>
          <t>Superheavy</t>
        </is>
      </c>
      <c r="H88" s="5" t="n">
        <v>0.75</v>
      </c>
      <c r="I88" s="5" t="n">
        <v>1</v>
      </c>
      <c r="J88" s="5" t="n">
        <v>1</v>
      </c>
      <c r="O88">
        <f>MAX(O89,O90,O91,O92,O93,O94,O95,O96,O97,O98,O99,O100)</f>
        <v/>
      </c>
      <c r="R88">
        <f>R89+R90+R91+R92+R93+R94+R95+R96+R97+R98+R99+R100</f>
        <v/>
      </c>
      <c r="S88">
        <f>(E88/100000+F88/100+(O88/1000)*J88/5+R88/200)*200*I88*H88</f>
        <v/>
      </c>
      <c r="T88">
        <f>((E88*F88/25000)+((O88/1000)*J88*R88/2.5))*I88*H88</f>
        <v/>
      </c>
      <c r="U88">
        <f>(E88*F88*(O88/1000)*J88*R88*I88*H88)/12500000</f>
        <v/>
      </c>
      <c r="V88">
        <f>(S88+T88+U88)/3</f>
        <v/>
      </c>
      <c r="W88" s="5" t="n">
        <v>7000</v>
      </c>
      <c r="X88">
        <f>IFERROR(V88-W88,"")</f>
        <v/>
      </c>
      <c r="Y88">
        <f>IFERROR(ABS(X88)/MAX(W88,1),"")</f>
        <v/>
      </c>
      <c r="Z88">
        <f>IFERROR((W88-(((E88/100000+F88/100+R88/200)*200*I88*H88)+((E88*F88/25000)*I88*H88))/3)/(((J88/5)*200*I88*H88)+((J88*R88/2.5)*I88*H88)+((E88*F88*J88*R88*I88*H88)/12500000))/3*1000,"")</f>
        <v/>
      </c>
    </row>
    <row r="89">
      <c r="B89" s="6" t="inlineStr">
        <is>
          <t xml:space="preserve">  ↳ OIBigCannon</t>
        </is>
      </c>
      <c r="C89" s="6" t="inlineStr">
        <is>
          <t>Armament@MAIN</t>
        </is>
      </c>
      <c r="K89" s="5" t="n">
        <v>24000</v>
      </c>
      <c r="L89" s="5" t="n">
        <v>55</v>
      </c>
      <c r="M89" s="5" t="n">
        <v>1</v>
      </c>
      <c r="N89" s="5" t="n"/>
      <c r="O89" s="5" t="n">
        <v>5394</v>
      </c>
      <c r="P89" s="5" t="n">
        <v>1</v>
      </c>
      <c r="Q89">
        <f>L89+IF(M89&gt;1,N(N89)*(M89-1),0)</f>
        <v/>
      </c>
      <c r="R89">
        <f>IFERROR(K89*MAX(M89,1)/Q89*P89,0)</f>
        <v/>
      </c>
      <c r="AA89" s="6" t="inlineStr">
        <is>
          <t>^HeavyCannon</t>
        </is>
      </c>
    </row>
    <row r="90">
      <c r="B90" s="6" t="inlineStr">
        <is>
          <t xml:space="preserve">  ↳ OIBigPlasmaCannon</t>
        </is>
      </c>
      <c r="C90" s="6" t="inlineStr">
        <is>
          <t>Armament@Upgrade</t>
        </is>
      </c>
      <c r="K90" s="5" t="n">
        <v>8000</v>
      </c>
      <c r="L90" s="5" t="n">
        <v>55</v>
      </c>
      <c r="M90" s="5" t="n">
        <v>1</v>
      </c>
      <c r="N90" s="5" t="n"/>
      <c r="O90" s="5" t="n">
        <v>5394</v>
      </c>
      <c r="P90" s="5" t="n">
        <v>1</v>
      </c>
      <c r="Q90">
        <f>L90+IF(M90&gt;1,N(N90)*(M90-1),0)</f>
        <v/>
      </c>
      <c r="R90">
        <f>IFERROR(K90*MAX(M90,1)/Q90*P90,0)</f>
        <v/>
      </c>
      <c r="AA90" s="6" t="inlineStr">
        <is>
          <t>^TeslaWeapon, ^RailgunWeapon, ^HeavyCannon</t>
        </is>
      </c>
    </row>
    <row r="91">
      <c r="B91" s="6" t="inlineStr">
        <is>
          <t xml:space="preserve">  ↳ OISmallCannon</t>
        </is>
      </c>
      <c r="C91" s="6" t="inlineStr">
        <is>
          <t>Armament@PRIMARY</t>
        </is>
      </c>
      <c r="K91" s="5" t="n">
        <v>8000</v>
      </c>
      <c r="L91" s="5" t="n">
        <v>45</v>
      </c>
      <c r="M91" s="5" t="n">
        <v>1</v>
      </c>
      <c r="N91" s="5" t="n"/>
      <c r="O91" s="5" t="n">
        <v>5394</v>
      </c>
      <c r="P91" s="5" t="n">
        <v>1</v>
      </c>
      <c r="Q91">
        <f>L91+IF(M91&gt;1,N(N91)*(M91-1),0)</f>
        <v/>
      </c>
      <c r="R91">
        <f>IFERROR(K91*MAX(M91,1)/Q91*P91,0)</f>
        <v/>
      </c>
      <c r="AA91" s="6" t="inlineStr">
        <is>
          <t>^MediumCannon</t>
        </is>
      </c>
    </row>
    <row r="92">
      <c r="B92" s="6" t="inlineStr">
        <is>
          <t xml:space="preserve">  ↳ OISmallCannon</t>
        </is>
      </c>
      <c r="C92" s="6" t="inlineStr">
        <is>
          <t>Armament@SECONDARY</t>
        </is>
      </c>
      <c r="K92" s="5" t="n">
        <v>8000</v>
      </c>
      <c r="L92" s="5" t="n">
        <v>45</v>
      </c>
      <c r="M92" s="5" t="n">
        <v>1</v>
      </c>
      <c r="N92" s="5" t="n"/>
      <c r="O92" s="5" t="n">
        <v>5394</v>
      </c>
      <c r="P92" s="5" t="n">
        <v>1</v>
      </c>
      <c r="Q92">
        <f>L92+IF(M92&gt;1,N(N92)*(M92-1),0)</f>
        <v/>
      </c>
      <c r="R92">
        <f>IFERROR(K92*MAX(M92,1)/Q92*P92,0)</f>
        <v/>
      </c>
      <c r="AA92" s="6" t="inlineStr">
        <is>
          <t>^MediumCannon</t>
        </is>
      </c>
    </row>
    <row r="93">
      <c r="B93" s="6" t="inlineStr">
        <is>
          <t xml:space="preserve">  ↳ OISmallCannon</t>
        </is>
      </c>
      <c r="C93" s="6" t="inlineStr">
        <is>
          <t>Armament@Back</t>
        </is>
      </c>
      <c r="K93" s="5" t="n">
        <v>8000</v>
      </c>
      <c r="L93" s="5" t="n">
        <v>45</v>
      </c>
      <c r="M93" s="5" t="n">
        <v>1</v>
      </c>
      <c r="N93" s="5" t="n"/>
      <c r="O93" s="5" t="n">
        <v>5394</v>
      </c>
      <c r="P93" s="5" t="n">
        <v>1</v>
      </c>
      <c r="Q93">
        <f>L93+IF(M93&gt;1,N(N93)*(M93-1),0)</f>
        <v/>
      </c>
      <c r="R93">
        <f>IFERROR(K93*MAX(M93,1)/Q93*P93,0)</f>
        <v/>
      </c>
      <c r="AA93" s="6" t="inlineStr">
        <is>
          <t>^MediumCannon</t>
        </is>
      </c>
    </row>
    <row r="94">
      <c r="B94" s="6" t="inlineStr">
        <is>
          <t xml:space="preserve">  ↳ OISmallPlasmaCannon</t>
        </is>
      </c>
      <c r="C94" s="6" t="inlineStr">
        <is>
          <t>Armament@UpgradePRIMARY</t>
        </is>
      </c>
      <c r="K94" s="5" t="n">
        <v>2000</v>
      </c>
      <c r="L94" s="5" t="n">
        <v>45</v>
      </c>
      <c r="M94" s="5" t="n">
        <v>1</v>
      </c>
      <c r="N94" s="5" t="n"/>
      <c r="O94" s="5" t="n">
        <v>5394</v>
      </c>
      <c r="P94" s="5" t="n">
        <v>1</v>
      </c>
      <c r="Q94">
        <f>L94+IF(M94&gt;1,N(N94)*(M94-1),0)</f>
        <v/>
      </c>
      <c r="R94">
        <f>IFERROR(K94*MAX(M94,1)/Q94*P94,0)</f>
        <v/>
      </c>
      <c r="AA94" s="6" t="inlineStr">
        <is>
          <t>^HeavyChemicalWeapon, ^TeslaWeapon, ^RailgunWeapon, ^HeavyCannon</t>
        </is>
      </c>
    </row>
    <row r="95">
      <c r="B95" s="6" t="inlineStr">
        <is>
          <t xml:space="preserve">  ↳ OISmallPlasmaCannon</t>
        </is>
      </c>
      <c r="C95" s="6" t="inlineStr">
        <is>
          <t>Armament@UpgradeSECONDARY</t>
        </is>
      </c>
      <c r="K95" s="5" t="n">
        <v>2000</v>
      </c>
      <c r="L95" s="5" t="n">
        <v>45</v>
      </c>
      <c r="M95" s="5" t="n">
        <v>1</v>
      </c>
      <c r="N95" s="5" t="n"/>
      <c r="O95" s="5" t="n">
        <v>5394</v>
      </c>
      <c r="P95" s="5" t="n">
        <v>1</v>
      </c>
      <c r="Q95">
        <f>L95+IF(M95&gt;1,N(N95)*(M95-1),0)</f>
        <v/>
      </c>
      <c r="R95">
        <f>IFERROR(K95*MAX(M95,1)/Q95*P95,0)</f>
        <v/>
      </c>
      <c r="AA95" s="6" t="inlineStr">
        <is>
          <t>^HeavyChemicalWeapon, ^TeslaWeapon, ^RailgunWeapon, ^HeavyCannon</t>
        </is>
      </c>
    </row>
    <row r="96">
      <c r="B96" s="6" t="inlineStr">
        <is>
          <t xml:space="preserve">  ↳ OISmallPlasmaCannon</t>
        </is>
      </c>
      <c r="C96" s="6" t="inlineStr">
        <is>
          <t>Armament@UpgradeBack</t>
        </is>
      </c>
      <c r="K96" s="5" t="n">
        <v>2000</v>
      </c>
      <c r="L96" s="5" t="n">
        <v>45</v>
      </c>
      <c r="M96" s="5" t="n">
        <v>1</v>
      </c>
      <c r="N96" s="5" t="n"/>
      <c r="O96" s="5" t="n">
        <v>5394</v>
      </c>
      <c r="P96" s="5" t="n">
        <v>1</v>
      </c>
      <c r="Q96">
        <f>L96+IF(M96&gt;1,N(N96)*(M96-1),0)</f>
        <v/>
      </c>
      <c r="R96">
        <f>IFERROR(K96*MAX(M96,1)/Q96*P96,0)</f>
        <v/>
      </c>
      <c r="AA96" s="6" t="inlineStr">
        <is>
          <t>^HeavyChemicalWeapon, ^TeslaWeapon, ^RailgunWeapon, ^HeavyCannon</t>
        </is>
      </c>
    </row>
    <row r="97">
      <c r="B97" s="6" t="inlineStr">
        <is>
          <t xml:space="preserve">  ↳ OIFlamer</t>
        </is>
      </c>
      <c r="C97" s="6" t="inlineStr">
        <is>
          <t>Armament@PRIMARYFlame</t>
        </is>
      </c>
      <c r="K97" s="5" t="n">
        <v>2000</v>
      </c>
      <c r="L97" s="5" t="n">
        <v>60</v>
      </c>
      <c r="M97" s="5" t="n">
        <v>20</v>
      </c>
      <c r="N97" s="5" t="n">
        <v>1</v>
      </c>
      <c r="O97" s="5" t="n">
        <v>5394</v>
      </c>
      <c r="P97" s="5" t="n">
        <v>1</v>
      </c>
      <c r="Q97">
        <f>L97+IF(M97&gt;1,N(N97)*(M97-1),0)</f>
        <v/>
      </c>
      <c r="R97">
        <f>IFERROR(K97*MAX(M97,1)/Q97*P97,0)</f>
        <v/>
      </c>
      <c r="AA97" s="6" t="inlineStr">
        <is>
          <t>^MediumFlameWeapon</t>
        </is>
      </c>
    </row>
    <row r="98">
      <c r="B98" s="6" t="inlineStr">
        <is>
          <t xml:space="preserve">  ↳ OIFlamer</t>
        </is>
      </c>
      <c r="C98" s="6" t="inlineStr">
        <is>
          <t>Armament@SECONDARYFlame</t>
        </is>
      </c>
      <c r="K98" s="5" t="n">
        <v>2000</v>
      </c>
      <c r="L98" s="5" t="n">
        <v>60</v>
      </c>
      <c r="M98" s="5" t="n">
        <v>20</v>
      </c>
      <c r="N98" s="5" t="n">
        <v>1</v>
      </c>
      <c r="O98" s="5" t="n">
        <v>5394</v>
      </c>
      <c r="P98" s="5" t="n">
        <v>1</v>
      </c>
      <c r="Q98">
        <f>L98+IF(M98&gt;1,N(N98)*(M98-1),0)</f>
        <v/>
      </c>
      <c r="R98">
        <f>IFERROR(K98*MAX(M98,1)/Q98*P98,0)</f>
        <v/>
      </c>
      <c r="AA98" s="6" t="inlineStr">
        <is>
          <t>^MediumFlameWeapon</t>
        </is>
      </c>
    </row>
    <row r="99">
      <c r="B99" s="6" t="inlineStr">
        <is>
          <t xml:space="preserve">  ↳ OIPlasmaFlamer</t>
        </is>
      </c>
      <c r="C99" s="6" t="inlineStr">
        <is>
          <t>Armament@UpgradePRIMARYFlame</t>
        </is>
      </c>
      <c r="K99" s="5" t="n">
        <v>2000</v>
      </c>
      <c r="L99" s="5" t="n">
        <v>60</v>
      </c>
      <c r="M99" s="5" t="n">
        <v>20</v>
      </c>
      <c r="N99" s="5" t="n">
        <v>1</v>
      </c>
      <c r="O99" s="5" t="n">
        <v>5394</v>
      </c>
      <c r="P99" s="5" t="n">
        <v>1</v>
      </c>
      <c r="Q99">
        <f>L99+IF(M99&gt;1,N(N99)*(M99-1),0)</f>
        <v/>
      </c>
      <c r="R99">
        <f>IFERROR(K99*MAX(M99,1)/Q99*P99,0)</f>
        <v/>
      </c>
      <c r="AA99" s="6" t="inlineStr">
        <is>
          <t>^HeavyChemicalWeapon, ^HeavyFlameWeapon</t>
        </is>
      </c>
    </row>
    <row r="100">
      <c r="B100" s="6" t="inlineStr">
        <is>
          <t xml:space="preserve">  ↳ OIPlasmaFlamer</t>
        </is>
      </c>
      <c r="C100" s="6" t="inlineStr">
        <is>
          <t>Armament@UpgradeSECONDARYFlame</t>
        </is>
      </c>
      <c r="K100" s="5" t="n">
        <v>2000</v>
      </c>
      <c r="L100" s="5" t="n">
        <v>60</v>
      </c>
      <c r="M100" s="5" t="n">
        <v>20</v>
      </c>
      <c r="N100" s="5" t="n">
        <v>1</v>
      </c>
      <c r="O100" s="5" t="n">
        <v>5394</v>
      </c>
      <c r="P100" s="5" t="n">
        <v>1</v>
      </c>
      <c r="Q100">
        <f>L100+IF(M100&gt;1,N(N100)*(M100-1),0)</f>
        <v/>
      </c>
      <c r="R100">
        <f>IFERROR(K100*MAX(M100,1)/Q100*P100,0)</f>
        <v/>
      </c>
      <c r="AA100" s="6" t="inlineStr">
        <is>
          <t>^HeavyChemicalWeapon, ^HeavyFlameWeapon</t>
        </is>
      </c>
    </row>
    <row r="101">
      <c r="A101" t="inlineStr">
        <is>
          <t>redalert</t>
        </is>
      </c>
      <c r="B101" t="inlineStr">
        <is>
          <t>japan_scoutcar</t>
        </is>
      </c>
      <c r="C101" t="inlineStr">
        <is>
          <t>Scout Car</t>
        </is>
      </c>
      <c r="D101" t="inlineStr"/>
      <c r="E101" s="5" t="n">
        <v>25000</v>
      </c>
      <c r="F101" s="5" t="n">
        <v>160</v>
      </c>
      <c r="G101" t="inlineStr">
        <is>
          <t>Scout</t>
        </is>
      </c>
      <c r="H101" s="5" t="n">
        <v>1</v>
      </c>
      <c r="I101" s="5" t="n">
        <v>0.333</v>
      </c>
      <c r="J101" s="5" t="n">
        <v>1</v>
      </c>
      <c r="O101">
        <f>MAX(O102,O103)</f>
        <v/>
      </c>
      <c r="R101">
        <f>R102+R103</f>
        <v/>
      </c>
      <c r="S101">
        <f>(E101/100000+F101/100+(O101/1000)*J101/5+R101/200)*200*I101*H101</f>
        <v/>
      </c>
      <c r="T101">
        <f>((E101*F101/25000)+((O101/1000)*J101*R101/2.5))*I101*H101</f>
        <v/>
      </c>
      <c r="U101">
        <f>(E101*F101*(O101/1000)*J101*R101*I101*H101)/12500000</f>
        <v/>
      </c>
      <c r="V101">
        <f>(S101+T101+U101)/3</f>
        <v/>
      </c>
      <c r="W101" s="5" t="n">
        <v>300</v>
      </c>
      <c r="X101">
        <f>IFERROR(V101-W101,"")</f>
        <v/>
      </c>
      <c r="Y101">
        <f>IFERROR(ABS(X101)/MAX(W101,1),"")</f>
        <v/>
      </c>
      <c r="Z101">
        <f>IFERROR((W101-(((E101/100000+F101/100+R101/200)*200*I101*H101)+((E101*F101/25000)*I101*H101))/3)/(((J101/5)*200*I101*H101)+((J101*R101/2.5)*I101*H101)+((E101*F101*J101*R101*I101*H101)/12500000))/3*1000,"")</f>
        <v/>
      </c>
    </row>
    <row r="102">
      <c r="B102" s="6" t="inlineStr">
        <is>
          <t xml:space="preserve">  ↳ M60mgJapan</t>
        </is>
      </c>
      <c r="C102" s="6" t="inlineStr">
        <is>
          <t>Armament</t>
        </is>
      </c>
      <c r="K102" s="5" t="n">
        <v>4000</v>
      </c>
      <c r="L102" s="5" t="n">
        <v>15</v>
      </c>
      <c r="M102" s="5" t="n">
        <v>5</v>
      </c>
      <c r="N102" s="5" t="n">
        <v>5</v>
      </c>
      <c r="O102" s="5" t="n">
        <v>5004</v>
      </c>
      <c r="P102" s="5" t="n">
        <v>1</v>
      </c>
      <c r="Q102">
        <f>L102+IF(M102&gt;1,N(N102)*(M102-1),0)</f>
        <v/>
      </c>
      <c r="R102">
        <f>IFERROR(K102*MAX(M102,1)/Q102*P102,0)</f>
        <v/>
      </c>
      <c r="AA102" s="6" t="inlineStr">
        <is>
          <t>^SmallArms</t>
        </is>
      </c>
    </row>
    <row r="103">
      <c r="B103" s="6" t="inlineStr">
        <is>
          <t xml:space="preserve">  ↳ M60mgWaveforce</t>
        </is>
      </c>
      <c r="C103" s="6" t="inlineStr">
        <is>
          <t>Armament@Upgrade</t>
        </is>
      </c>
      <c r="K103" s="5" t="n">
        <v>2000</v>
      </c>
      <c r="L103" s="5" t="n">
        <v>15</v>
      </c>
      <c r="M103" s="5" t="n">
        <v>5</v>
      </c>
      <c r="N103" s="5" t="n">
        <v>5</v>
      </c>
      <c r="O103" s="5" t="n">
        <v>5004</v>
      </c>
      <c r="P103" s="5" t="n">
        <v>1</v>
      </c>
      <c r="Q103">
        <f>L103+IF(M103&gt;1,N(N103)*(M103-1),0)</f>
        <v/>
      </c>
      <c r="R103">
        <f>IFERROR(K103*MAX(M103,1)/Q103*P103,0)</f>
        <v/>
      </c>
      <c r="AA103" s="6" t="inlineStr">
        <is>
          <t>^WaveforceBulletWarhead, ^SmallArms, ^WaveforceBulletProjectile</t>
        </is>
      </c>
    </row>
    <row r="104">
      <c r="A104" t="inlineStr">
        <is>
          <t>redalert</t>
        </is>
      </c>
      <c r="B104" t="inlineStr">
        <is>
          <t>japan_shogunexecutioner</t>
        </is>
      </c>
      <c r="C104" t="inlineStr">
        <is>
          <t>Shogun Executioner</t>
        </is>
      </c>
      <c r="D104" t="inlineStr"/>
      <c r="E104" s="5" t="n">
        <v>3000000</v>
      </c>
      <c r="F104" s="5" t="n">
        <v>65</v>
      </c>
      <c r="G104" t="inlineStr">
        <is>
          <t>Superheavy</t>
        </is>
      </c>
      <c r="H104" s="5" t="n">
        <v>0.75</v>
      </c>
      <c r="I104" s="5" t="n">
        <v>0.4</v>
      </c>
      <c r="J104" s="5" t="n">
        <v>1.25</v>
      </c>
      <c r="O104">
        <f>MAX(O105)</f>
        <v/>
      </c>
      <c r="R104">
        <f>R105</f>
        <v/>
      </c>
      <c r="S104">
        <f>(E104/100000+F104/100+(O104/1000)*J104/5+R104/200)*200*I104*H104</f>
        <v/>
      </c>
      <c r="T104">
        <f>((E104*F104/25000)+((O104/1000)*J104*R104/2.5))*I104*H104</f>
        <v/>
      </c>
      <c r="U104">
        <f>(E104*F104*(O104/1000)*J104*R104*I104*H104)/12500000</f>
        <v/>
      </c>
      <c r="V104">
        <f>(S104+T104+U104)/3</f>
        <v/>
      </c>
      <c r="W104" s="5" t="n">
        <v>10000</v>
      </c>
      <c r="X104">
        <f>IFERROR(V104-W104,"")</f>
        <v/>
      </c>
      <c r="Y104">
        <f>IFERROR(ABS(X104)/MAX(W104,1),"")</f>
        <v/>
      </c>
      <c r="Z104">
        <f>IFERROR((W104-(((E104/100000+F104/100+R104/200)*200*I104*H104)+((E104*F104/25000)*I104*H104))/3)/(((J104/5)*200*I104*H104)+((J104*R104/2.5)*I104*H104)+((E104*F104*J104*R104*I104*H104)/12500000))/3*1000,"")</f>
        <v/>
      </c>
    </row>
    <row r="105">
      <c r="B105" s="6" t="inlineStr">
        <is>
          <t xml:space="preserve">  ↳ ExecutionerSword</t>
        </is>
      </c>
      <c r="C105" s="6" t="inlineStr">
        <is>
          <t>Armament</t>
        </is>
      </c>
      <c r="K105" s="5" t="n">
        <v>600000</v>
      </c>
      <c r="L105" s="5" t="n">
        <v>300</v>
      </c>
      <c r="M105" s="5" t="n">
        <v>1</v>
      </c>
      <c r="N105" s="5" t="n"/>
      <c r="O105" s="5" t="n">
        <v>3000</v>
      </c>
      <c r="P105" s="5" t="n">
        <v>1</v>
      </c>
      <c r="Q105">
        <f>L105+IF(M105&gt;1,N(N105)*(M105-1),0)</f>
        <v/>
      </c>
      <c r="R105">
        <f>IFERROR(K105*MAX(M105,1)/Q105*P105,0)</f>
        <v/>
      </c>
      <c r="AA105" s="6" t="inlineStr">
        <is>
          <t>^SwordWeapon</t>
        </is>
      </c>
    </row>
    <row r="106">
      <c r="A106" t="inlineStr">
        <is>
          <t>redalert</t>
        </is>
      </c>
      <c r="B106" t="inlineStr">
        <is>
          <t>japan_shrine_minitank</t>
        </is>
      </c>
      <c r="C106" t="inlineStr">
        <is>
          <t>Shrine Minitank</t>
        </is>
      </c>
      <c r="D106" t="inlineStr"/>
      <c r="E106" s="5" t="n">
        <v>60000</v>
      </c>
      <c r="F106" s="5" t="n">
        <v>120</v>
      </c>
      <c r="G106" t="inlineStr">
        <is>
          <t>Medium</t>
        </is>
      </c>
      <c r="H106" s="5" t="n">
        <v>1</v>
      </c>
      <c r="I106" s="5" t="n">
        <v>1</v>
      </c>
      <c r="J106" s="5" t="n">
        <v>1</v>
      </c>
      <c r="O106">
        <f>MAX(O107)</f>
        <v/>
      </c>
      <c r="R106">
        <f>R107</f>
        <v/>
      </c>
      <c r="S106">
        <f>(E106/100000+F106/100+(O106/1000)*J106/5+R106/200)*200*I106*H106</f>
        <v/>
      </c>
      <c r="T106">
        <f>((E106*F106/25000)+((O106/1000)*J106*R106/2.5))*I106*H106</f>
        <v/>
      </c>
      <c r="U106">
        <f>(E106*F106*(O106/1000)*J106*R106*I106*H106)/12500000</f>
        <v/>
      </c>
      <c r="V106">
        <f>(S106+T106+U106)/3</f>
        <v/>
      </c>
      <c r="W106" s="5" t="n">
        <v>1600</v>
      </c>
      <c r="X106">
        <f>IFERROR(V106-W106,"")</f>
        <v/>
      </c>
      <c r="Y106">
        <f>IFERROR(ABS(X106)/MAX(W106,1),"")</f>
        <v/>
      </c>
      <c r="Z106">
        <f>IFERROR((W106-(((E106/100000+F106/100+R106/200)*200*I106*H106)+((E106*F106/25000)*I106*H106))/3)/(((J106/5)*200*I106*H106)+((J106*R106/2.5)*I106*H106)+((E106*F106*J106*R106*I106*H106)/12500000))/3*1000,"")</f>
        <v/>
      </c>
    </row>
    <row r="107">
      <c r="B107" s="6" t="inlineStr">
        <is>
          <t xml:space="preserve">  ↳ ShrineTankCannon</t>
        </is>
      </c>
      <c r="C107" s="6" t="inlineStr">
        <is>
          <t>Armament</t>
        </is>
      </c>
      <c r="K107" s="5" t="n">
        <v>4000</v>
      </c>
      <c r="L107" s="5" t="n">
        <v>50</v>
      </c>
      <c r="M107" s="5" t="n">
        <v>1</v>
      </c>
      <c r="N107" s="5" t="n"/>
      <c r="O107" s="5" t="n">
        <v>6370</v>
      </c>
      <c r="P107" s="5" t="n">
        <v>1</v>
      </c>
      <c r="Q107">
        <f>L107+IF(M107&gt;1,N(N107)*(M107-1),0)</f>
        <v/>
      </c>
      <c r="R107">
        <f>IFERROR(K107*MAX(M107,1)/Q107*P107,0)</f>
        <v/>
      </c>
      <c r="AA107" s="6" t="inlineStr">
        <is>
          <t>^TeslaWeapon, ^RailgunWeapon, ^MagicWeapon, ^MediumCannon, ^MediumChemicalWeapon, ^MediumFlameWeapon</t>
        </is>
      </c>
    </row>
    <row r="108">
      <c r="A108" t="inlineStr">
        <is>
          <t>redalert</t>
        </is>
      </c>
      <c r="B108" t="inlineStr">
        <is>
          <t>japan_waveforceartillery</t>
        </is>
      </c>
      <c r="C108" t="inlineStr">
        <is>
          <t>Waveforce Artillery</t>
        </is>
      </c>
      <c r="D108" t="inlineStr"/>
      <c r="E108" s="5" t="n">
        <v>50000</v>
      </c>
      <c r="F108" s="5" t="n">
        <v>55</v>
      </c>
      <c r="G108" t="inlineStr">
        <is>
          <t>Light</t>
        </is>
      </c>
      <c r="H108" s="5" t="n">
        <v>0.75</v>
      </c>
      <c r="I108" s="5" t="n">
        <v>1</v>
      </c>
      <c r="J108" s="5" t="n">
        <v>1.25</v>
      </c>
      <c r="O108">
        <f>MAX(O109)</f>
        <v/>
      </c>
      <c r="R108">
        <f>R109</f>
        <v/>
      </c>
      <c r="S108">
        <f>(E108/100000+F108/100+(O108/1000)*J108/5+R108/200)*200*I108*H108</f>
        <v/>
      </c>
      <c r="T108">
        <f>((E108*F108/25000)+((O108/1000)*J108*R108/2.5))*I108*H108</f>
        <v/>
      </c>
      <c r="U108">
        <f>(E108*F108*(O108/1000)*J108*R108*I108*H108)/12500000</f>
        <v/>
      </c>
      <c r="V108">
        <f>(S108+T108+U108)/3</f>
        <v/>
      </c>
      <c r="W108" s="5" t="n">
        <v>2500</v>
      </c>
      <c r="X108">
        <f>IFERROR(V108-W108,"")</f>
        <v/>
      </c>
      <c r="Y108">
        <f>IFERROR(ABS(X108)/MAX(W108,1),"")</f>
        <v/>
      </c>
      <c r="Z108">
        <f>IFERROR((W108-(((E108/100000+F108/100+R108/200)*200*I108*H108)+((E108*F108/25000)*I108*H108))/3)/(((J108/5)*200*I108*H108)+((J108*R108/2.5)*I108*H108)+((E108*F108*J108*R108*I108*H108)/12500000))/3*1000,"")</f>
        <v/>
      </c>
    </row>
    <row r="109">
      <c r="B109" s="6" t="inlineStr">
        <is>
          <t xml:space="preserve">  ↳ WaveArtilleryShell</t>
        </is>
      </c>
      <c r="C109" s="6" t="inlineStr">
        <is>
          <t>Armament@AG</t>
        </is>
      </c>
      <c r="K109" s="5" t="n"/>
      <c r="L109" s="5" t="n">
        <v>111</v>
      </c>
      <c r="M109" s="5" t="n">
        <v>1</v>
      </c>
      <c r="N109" s="5" t="n"/>
      <c r="O109" s="5" t="n">
        <v>11111</v>
      </c>
      <c r="P109" s="5" t="n">
        <v>1</v>
      </c>
      <c r="Q109">
        <f>L109+IF(M109&gt;1,N(N109)*(M109-1),0)</f>
        <v/>
      </c>
      <c r="R109">
        <f>IFERROR(K109*MAX(M109,1)/Q109*P109,0)</f>
        <v/>
      </c>
      <c r="AA109" s="6" t="inlineStr"/>
    </row>
    <row r="110">
      <c r="A110" t="inlineStr">
        <is>
          <t>redalert</t>
        </is>
      </c>
      <c r="B110" t="inlineStr">
        <is>
          <t>japan_waveforcetank</t>
        </is>
      </c>
      <c r="C110" t="inlineStr">
        <is>
          <t>Waveforce Tank</t>
        </is>
      </c>
      <c r="D110" t="inlineStr"/>
      <c r="E110" s="5" t="n">
        <v>60000</v>
      </c>
      <c r="F110" s="5" t="n">
        <v>60</v>
      </c>
      <c r="G110" t="inlineStr">
        <is>
          <t>Medium</t>
        </is>
      </c>
      <c r="H110" s="5" t="n">
        <v>1</v>
      </c>
      <c r="I110" s="5" t="n">
        <v>1</v>
      </c>
      <c r="J110" s="5" t="n">
        <v>1</v>
      </c>
      <c r="O110">
        <f>MAX(O111,O112,O113,O114)</f>
        <v/>
      </c>
      <c r="R110">
        <f>R111+R112+R113+R114</f>
        <v/>
      </c>
      <c r="S110">
        <f>(E110/100000+F110/100+(O110/1000)*J110/5+R110/200)*200*I110*H110</f>
        <v/>
      </c>
      <c r="T110">
        <f>((E110*F110/25000)+((O110/1000)*J110*R110/2.5))*I110*H110</f>
        <v/>
      </c>
      <c r="U110">
        <f>(E110*F110*(O110/1000)*J110*R110*I110*H110)/12500000</f>
        <v/>
      </c>
      <c r="V110">
        <f>(S110+T110+U110)/3</f>
        <v/>
      </c>
      <c r="W110" s="5" t="n">
        <v>1800</v>
      </c>
      <c r="X110">
        <f>IFERROR(V110-W110,"")</f>
        <v/>
      </c>
      <c r="Y110">
        <f>IFERROR(ABS(X110)/MAX(W110,1),"")</f>
        <v/>
      </c>
      <c r="Z110">
        <f>IFERROR((W110-(((E110/100000+F110/100+R110/200)*200*I110*H110)+((E110*F110/25000)*I110*H110))/3)/(((J110/5)*200*I110*H110)+((J110*R110/2.5)*I110*H110)+((E110*F110*J110*R110*I110*H110)/12500000))/3*1000,"")</f>
        <v/>
      </c>
    </row>
    <row r="111">
      <c r="B111" s="6" t="inlineStr">
        <is>
          <t xml:space="preserve">  ↳ WaveforceCannon</t>
        </is>
      </c>
      <c r="C111" s="6" t="inlineStr">
        <is>
          <t>Armament</t>
        </is>
      </c>
      <c r="K111" s="5" t="n">
        <v>10000</v>
      </c>
      <c r="L111" s="5" t="n">
        <v>60</v>
      </c>
      <c r="M111" s="5" t="n">
        <v>1</v>
      </c>
      <c r="N111" s="5" t="n"/>
      <c r="O111" s="5" t="n">
        <v>9343</v>
      </c>
      <c r="P111" s="5" t="n">
        <v>1</v>
      </c>
      <c r="Q111">
        <f>L111+IF(M111&gt;1,N(N111)*(M111-1),0)</f>
        <v/>
      </c>
      <c r="R111">
        <f>IFERROR(K111*MAX(M111,1)/Q111*P111,0)</f>
        <v/>
      </c>
      <c r="AA111" s="6" t="inlineStr">
        <is>
          <t>^HeavyMissile, ^RailgunWeapon</t>
        </is>
      </c>
    </row>
    <row r="112">
      <c r="B112" s="6" t="inlineStr">
        <is>
          <t xml:space="preserve">  ↳ WaveforceCannonChargedLaser</t>
        </is>
      </c>
      <c r="C112" s="6" t="inlineStr">
        <is>
          <t>Armament@Upgrade1</t>
        </is>
      </c>
      <c r="K112" s="5" t="n">
        <v>10000</v>
      </c>
      <c r="L112" s="5" t="n">
        <v>120</v>
      </c>
      <c r="M112" s="5" t="n">
        <v>1</v>
      </c>
      <c r="N112" s="5" t="n"/>
      <c r="O112" s="5" t="n">
        <v>9343</v>
      </c>
      <c r="P112" s="5" t="n">
        <v>1</v>
      </c>
      <c r="Q112">
        <f>L112+IF(M112&gt;1,N(N112)*(M112-1),0)</f>
        <v/>
      </c>
      <c r="R112">
        <f>IFERROR(K112*MAX(M112,1)/Q112*P112,0)</f>
        <v/>
      </c>
      <c r="AA112" s="6" t="inlineStr">
        <is>
          <t>^HeavyMissile, ^RailgunWeapon</t>
        </is>
      </c>
    </row>
    <row r="113">
      <c r="B113" s="6" t="inlineStr">
        <is>
          <t xml:space="preserve">  ↳ WaveforceCannonDistortedBeam1</t>
        </is>
      </c>
      <c r="C113" s="6" t="inlineStr">
        <is>
          <t>Armament@Upgrade2</t>
        </is>
      </c>
      <c r="K113" s="5" t="n">
        <v>10000</v>
      </c>
      <c r="L113" s="5" t="n">
        <v>120</v>
      </c>
      <c r="M113" s="5" t="n">
        <v>1</v>
      </c>
      <c r="N113" s="5" t="n"/>
      <c r="O113" s="5" t="n">
        <v>9343</v>
      </c>
      <c r="P113" s="5" t="n">
        <v>1</v>
      </c>
      <c r="Q113">
        <f>L113+IF(M113&gt;1,N(N113)*(M113-1),0)</f>
        <v/>
      </c>
      <c r="R113">
        <f>IFERROR(K113*MAX(M113,1)/Q113*P113,0)</f>
        <v/>
      </c>
      <c r="AA113" s="6" t="inlineStr">
        <is>
          <t>^TeslaWeapon, ^HeavyCannon</t>
        </is>
      </c>
    </row>
    <row r="114">
      <c r="B114" s="6" t="inlineStr">
        <is>
          <t xml:space="preserve">  ↳ WaveforceCannonDistortedBeam2</t>
        </is>
      </c>
      <c r="C114" s="6" t="inlineStr">
        <is>
          <t>Armament@Upgrade3</t>
        </is>
      </c>
      <c r="K114" s="5" t="n">
        <v>10000</v>
      </c>
      <c r="L114" s="5" t="n">
        <v>120</v>
      </c>
      <c r="M114" s="5" t="n">
        <v>1</v>
      </c>
      <c r="N114" s="5" t="n"/>
      <c r="O114" s="5" t="n">
        <v>9343</v>
      </c>
      <c r="P114" s="5" t="n">
        <v>1</v>
      </c>
      <c r="Q114">
        <f>L114+IF(M114&gt;1,N(N114)*(M114-1),0)</f>
        <v/>
      </c>
      <c r="R114">
        <f>IFERROR(K114*MAX(M114,1)/Q114*P114,0)</f>
        <v/>
      </c>
      <c r="AA114" s="6" t="inlineStr">
        <is>
          <t>^HeavyChemicalWeapon, ^HeavyFlameWeapon</t>
        </is>
      </c>
    </row>
    <row r="115">
      <c r="A115" s="3" t="inlineStr">
        <is>
          <t>AIRCRAFT</t>
        </is>
      </c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>
      <c r="A116" t="inlineStr">
        <is>
          <t>redalert</t>
        </is>
      </c>
      <c r="B116" t="inlineStr">
        <is>
          <t>japan_japanesebomber</t>
        </is>
      </c>
      <c r="C116" t="inlineStr">
        <is>
          <t>Japanese Bomber</t>
        </is>
      </c>
      <c r="D116" t="inlineStr"/>
      <c r="E116" s="5" t="n">
        <v>122500</v>
      </c>
      <c r="F116" s="5" t="n">
        <v>165</v>
      </c>
      <c r="G116" t="inlineStr">
        <is>
          <t>Bomber</t>
        </is>
      </c>
      <c r="H116" s="5" t="n">
        <v>0.75</v>
      </c>
      <c r="I116" s="5" t="n">
        <v>1</v>
      </c>
      <c r="J116" s="5" t="n">
        <v>1</v>
      </c>
      <c r="O116">
        <f>MAX(O117,O118,O119,O120)</f>
        <v/>
      </c>
      <c r="R116">
        <f>R117+R118+R119+R120</f>
        <v/>
      </c>
      <c r="S116">
        <f>(E116/100000+F116/100+(O116/1000)*J116/5+R116/200)*200*I116*H116</f>
        <v/>
      </c>
      <c r="T116">
        <f>((E116*F116/25000)+((O116/1000)*J116*R116/2.5))*I116*H116</f>
        <v/>
      </c>
      <c r="U116">
        <f>(E116*F116*(O116/1000)*J116*R116*I116*H116)/12500000</f>
        <v/>
      </c>
      <c r="V116">
        <f>(S116+T116+U116)/3</f>
        <v/>
      </c>
      <c r="W116" s="5" t="n">
        <v>1500</v>
      </c>
      <c r="X116">
        <f>IFERROR(V116-W116,"")</f>
        <v/>
      </c>
      <c r="Y116">
        <f>IFERROR(ABS(X116)/MAX(W116,1),"")</f>
        <v/>
      </c>
      <c r="Z116">
        <f>IFERROR((W116-(((E116/100000+F116/100+R116/200)*200*I116*H116)+((E116*F116/25000)*I116*H116))/3)/(((J116/5)*200*I116*H116)+((J116*R116/2.5)*I116*H116)+((E116*F116*J116*R116*I116*H116)/12500000))/3*1000,"")</f>
        <v/>
      </c>
    </row>
    <row r="117">
      <c r="B117" s="6" t="inlineStr">
        <is>
          <t xml:space="preserve">  ↳ ZeroFighterChainGun</t>
        </is>
      </c>
      <c r="C117" s="6" t="inlineStr">
        <is>
          <t>Armament@Guns</t>
        </is>
      </c>
      <c r="K117" s="5" t="n">
        <v>6000</v>
      </c>
      <c r="L117" s="5" t="n">
        <v>92</v>
      </c>
      <c r="M117" s="5" t="n">
        <v>12</v>
      </c>
      <c r="N117" s="5" t="n">
        <v>4</v>
      </c>
      <c r="O117" s="5" t="n">
        <v>6615</v>
      </c>
      <c r="P117" s="5" t="n">
        <v>1</v>
      </c>
      <c r="Q117">
        <f>L117+IF(M117&gt;1,N(N117)*(M117-1),0)</f>
        <v/>
      </c>
      <c r="R117">
        <f>IFERROR(K117*MAX(M117,1)/Q117*P117,0)</f>
        <v/>
      </c>
      <c r="AA117" s="6" t="inlineStr">
        <is>
          <t>^Chaingun</t>
        </is>
      </c>
    </row>
    <row r="118">
      <c r="B118" s="6" t="inlineStr">
        <is>
          <t xml:space="preserve">  ↳ ZeroFighterChainGunWaveforce</t>
        </is>
      </c>
      <c r="C118" s="6" t="inlineStr">
        <is>
          <t>Armament@UpgradeGuns</t>
        </is>
      </c>
      <c r="K118" s="5" t="n">
        <v>4000</v>
      </c>
      <c r="L118" s="5" t="n">
        <v>92</v>
      </c>
      <c r="M118" s="5" t="n">
        <v>12</v>
      </c>
      <c r="N118" s="5" t="n">
        <v>4</v>
      </c>
      <c r="O118" s="5" t="n">
        <v>6615</v>
      </c>
      <c r="P118" s="5" t="n">
        <v>1</v>
      </c>
      <c r="Q118">
        <f>L118+IF(M118&gt;1,N(N118)*(M118-1),0)</f>
        <v/>
      </c>
      <c r="R118">
        <f>IFERROR(K118*MAX(M118,1)/Q118*P118,0)</f>
        <v/>
      </c>
      <c r="AA118" s="6" t="inlineStr">
        <is>
          <t>^WaveforceBulletWarhead, ^Grenade, ^Chaingun, ^WaveforceBulletProjectile</t>
        </is>
      </c>
    </row>
    <row r="119">
      <c r="B119" s="6" t="inlineStr">
        <is>
          <t xml:space="preserve">  ↳ JapaneseHeavyBomb</t>
        </is>
      </c>
      <c r="C119" s="6" t="inlineStr">
        <is>
          <t>Armament@Bombs</t>
        </is>
      </c>
      <c r="K119" s="5" t="n">
        <v>20000</v>
      </c>
      <c r="L119" s="5" t="n">
        <v>100</v>
      </c>
      <c r="M119" s="5" t="n">
        <v>4</v>
      </c>
      <c r="N119" s="5" t="n">
        <v>3</v>
      </c>
      <c r="O119" s="5" t="n">
        <v>6000</v>
      </c>
      <c r="P119" s="5" t="n">
        <v>1</v>
      </c>
      <c r="Q119">
        <f>L119+IF(M119&gt;1,N(N119)*(M119-1),0)</f>
        <v/>
      </c>
      <c r="R119">
        <f>IFERROR(K119*MAX(M119,1)/Q119*P119,0)</f>
        <v/>
      </c>
      <c r="AA119" s="6" t="inlineStr">
        <is>
          <t>^HeavyBomb, ^ImpactGlow</t>
        </is>
      </c>
    </row>
    <row r="120">
      <c r="B120" s="6" t="inlineStr">
        <is>
          <t xml:space="preserve">  ↳ JapanesePlasmaBomb</t>
        </is>
      </c>
      <c r="C120" s="6" t="inlineStr">
        <is>
          <t>Armament@UpgradeBombs</t>
        </is>
      </c>
      <c r="K120" s="5" t="n">
        <v>10000</v>
      </c>
      <c r="L120" s="5" t="n">
        <v>100</v>
      </c>
      <c r="M120" s="5" t="n">
        <v>4</v>
      </c>
      <c r="N120" s="5" t="n">
        <v>5</v>
      </c>
      <c r="O120" s="5" t="n">
        <v>6000</v>
      </c>
      <c r="P120" s="5" t="n">
        <v>1</v>
      </c>
      <c r="Q120">
        <f>L120+IF(M120&gt;1,N(N120)*(M120-1),0)</f>
        <v/>
      </c>
      <c r="R120">
        <f>IFERROR(K120*MAX(M120,1)/Q120*P120,0)</f>
        <v/>
      </c>
      <c r="AA120" s="6" t="inlineStr">
        <is>
          <t>^HeavyChemicalWeapon, ^HeavyFlameWeapon, ^HeavyBomb</t>
        </is>
      </c>
    </row>
    <row r="121">
      <c r="A121" t="inlineStr">
        <is>
          <t>redalert</t>
        </is>
      </c>
      <c r="B121" t="inlineStr">
        <is>
          <t>japan_skyhawk</t>
        </is>
      </c>
      <c r="C121" t="inlineStr">
        <is>
          <t>Sky Hawk</t>
        </is>
      </c>
      <c r="D121" t="inlineStr"/>
      <c r="E121" s="5" t="n">
        <v>75000</v>
      </c>
      <c r="F121" s="5" t="n">
        <v>125</v>
      </c>
      <c r="G121" t="inlineStr">
        <is>
          <t>Helicopter</t>
        </is>
      </c>
      <c r="H121" s="5" t="n">
        <v>0.75</v>
      </c>
      <c r="I121" s="5" t="n">
        <v>1</v>
      </c>
      <c r="J121" s="5" t="n">
        <v>1.25</v>
      </c>
      <c r="O121">
        <f>MAX(O122,O123,O124,O125,O126,O127)</f>
        <v/>
      </c>
      <c r="R121">
        <f>R122+R123+R124+R125+R126+R127</f>
        <v/>
      </c>
      <c r="S121">
        <f>(E121/100000+F121/100+(O121/1000)*J121/5+R121/200)*200*I121*H121</f>
        <v/>
      </c>
      <c r="T121">
        <f>((E121*F121/25000)+((O121/1000)*J121*R121/2.5))*I121*H121</f>
        <v/>
      </c>
      <c r="U121">
        <f>(E121*F121*(O121/1000)*J121*R121*I121*H121)/12500000</f>
        <v/>
      </c>
      <c r="V121">
        <f>(S121+T121+U121)/3</f>
        <v/>
      </c>
      <c r="W121" s="5" t="n">
        <v>2000</v>
      </c>
      <c r="X121">
        <f>IFERROR(V121-W121,"")</f>
        <v/>
      </c>
      <c r="Y121">
        <f>IFERROR(ABS(X121)/MAX(W121,1),"")</f>
        <v/>
      </c>
      <c r="Z121">
        <f>IFERROR((W121-(((E121/100000+F121/100+R121/200)*200*I121*H121)+((E121*F121/25000)*I121*H121))/3)/(((J121/5)*200*I121*H121)+((J121*R121/2.5)*I121*H121)+((E121*F121*J121*R121*I121*H121)/12500000))/3*1000,"")</f>
        <v/>
      </c>
    </row>
    <row r="122">
      <c r="B122" s="6" t="inlineStr">
        <is>
          <t xml:space="preserve">  ↳ JHindArrows</t>
        </is>
      </c>
      <c r="C122" s="6" t="inlineStr">
        <is>
          <t>Armament@Missiles</t>
        </is>
      </c>
      <c r="K122" s="5" t="n">
        <v>32000</v>
      </c>
      <c r="L122" s="5" t="n">
        <v>128</v>
      </c>
      <c r="M122" s="5" t="n">
        <v>1</v>
      </c>
      <c r="N122" s="5" t="n"/>
      <c r="O122" s="5" t="n">
        <v>3053</v>
      </c>
      <c r="P122" s="5" t="n">
        <v>1</v>
      </c>
      <c r="Q122">
        <f>L122+IF(M122&gt;1,N(N122)*(M122-1),0)</f>
        <v/>
      </c>
      <c r="R122">
        <f>IFERROR(K122*MAX(M122,1)/Q122*P122,0)</f>
        <v/>
      </c>
      <c r="AA122" s="6" t="inlineStr">
        <is>
          <t>^MediumMissile, ^ArrowWeapon</t>
        </is>
      </c>
    </row>
    <row r="123">
      <c r="B123" s="6" t="inlineStr">
        <is>
          <t xml:space="preserve">  ↳ JHindArrowsEnergized</t>
        </is>
      </c>
      <c r="C123" s="6" t="inlineStr">
        <is>
          <t>Armament@MissilesUpgrade</t>
        </is>
      </c>
      <c r="K123" s="5" t="n">
        <v>16000</v>
      </c>
      <c r="L123" s="5" t="n">
        <v>128</v>
      </c>
      <c r="M123" s="5" t="n">
        <v>1</v>
      </c>
      <c r="N123" s="5" t="n"/>
      <c r="O123" s="5" t="n">
        <v>3053</v>
      </c>
      <c r="P123" s="5" t="n">
        <v>1</v>
      </c>
      <c r="Q123">
        <f>L123+IF(M123&gt;1,N(N123)*(M123-1),0)</f>
        <v/>
      </c>
      <c r="R123">
        <f>IFERROR(K123*MAX(M123,1)/Q123*P123,0)</f>
        <v/>
      </c>
      <c r="AA123" s="6" t="inlineStr">
        <is>
          <t>^MediumFlameWeapon, ^TeslaWeapon, ^MediumMissile, ^ArrowWeapon</t>
        </is>
      </c>
    </row>
    <row r="124">
      <c r="B124" s="6" t="inlineStr">
        <is>
          <t xml:space="preserve">  ↳ JHindCannon</t>
        </is>
      </c>
      <c r="C124" s="6" t="inlineStr">
        <is>
          <t>Armament@Cannon</t>
        </is>
      </c>
      <c r="K124" s="5" t="n">
        <v>8000</v>
      </c>
      <c r="L124" s="5" t="n">
        <v>32</v>
      </c>
      <c r="M124" s="5" t="n">
        <v>1</v>
      </c>
      <c r="N124" s="5" t="n"/>
      <c r="O124" s="5" t="n">
        <v>3053</v>
      </c>
      <c r="P124" s="5" t="n">
        <v>1</v>
      </c>
      <c r="Q124">
        <f>L124+IF(M124&gt;1,N(N124)*(M124-1),0)</f>
        <v/>
      </c>
      <c r="R124">
        <f>IFERROR(K124*MAX(M124,1)/Q124*P124,0)</f>
        <v/>
      </c>
      <c r="AA124" s="6" t="inlineStr">
        <is>
          <t>^ShrapnelWeapon, ^TankDestroyerCannon</t>
        </is>
      </c>
    </row>
    <row r="125">
      <c r="B125" s="6" t="inlineStr">
        <is>
          <t xml:space="preserve">  ↳ JHindPlasmaCannon</t>
        </is>
      </c>
      <c r="C125" s="6" t="inlineStr">
        <is>
          <t>Armament@CannonUpgrade</t>
        </is>
      </c>
      <c r="K125" s="5" t="n">
        <v>4000</v>
      </c>
      <c r="L125" s="5" t="n">
        <v>32</v>
      </c>
      <c r="M125" s="5" t="n">
        <v>1</v>
      </c>
      <c r="N125" s="5" t="n"/>
      <c r="O125" s="5" t="n">
        <v>3053</v>
      </c>
      <c r="P125" s="5" t="n">
        <v>1</v>
      </c>
      <c r="Q125">
        <f>L125+IF(M125&gt;1,N(N125)*(M125-1),0)</f>
        <v/>
      </c>
      <c r="R125">
        <f>IFERROR(K125*MAX(M125,1)/Q125*P125,0)</f>
        <v/>
      </c>
      <c r="AA125" s="6" t="inlineStr">
        <is>
          <t>^TeslaWeapon, ^MediumMissile, ^ShrapnelWeapon, ^TankDestroyerCannon</t>
        </is>
      </c>
    </row>
    <row r="126">
      <c r="B126" s="6" t="inlineStr">
        <is>
          <t xml:space="preserve">  ↳ JHindChainGun</t>
        </is>
      </c>
      <c r="C126" s="6" t="inlineStr">
        <is>
          <t>Armament@ChainGun</t>
        </is>
      </c>
      <c r="K126" s="5" t="n">
        <v>2000</v>
      </c>
      <c r="L126" s="5" t="n">
        <v>8</v>
      </c>
      <c r="M126" s="5" t="n">
        <v>1</v>
      </c>
      <c r="N126" s="5" t="n"/>
      <c r="O126" s="5" t="n">
        <v>3053</v>
      </c>
      <c r="P126" s="5" t="n">
        <v>1</v>
      </c>
      <c r="Q126">
        <f>L126+IF(M126&gt;1,N(N126)*(M126-1),0)</f>
        <v/>
      </c>
      <c r="R126">
        <f>IFERROR(K126*MAX(M126,1)/Q126*P126,0)</f>
        <v/>
      </c>
      <c r="AA126" s="6" t="inlineStr">
        <is>
          <t>^Grenade, ^Chaingun</t>
        </is>
      </c>
    </row>
    <row r="127">
      <c r="B127" s="6" t="inlineStr">
        <is>
          <t xml:space="preserve">  ↳ JHindChainGunWaveforce</t>
        </is>
      </c>
      <c r="C127" s="6" t="inlineStr">
        <is>
          <t>Armament@ChainGunUpgrade</t>
        </is>
      </c>
      <c r="K127" s="5" t="n">
        <v>2000</v>
      </c>
      <c r="L127" s="5" t="n">
        <v>8</v>
      </c>
      <c r="M127" s="5" t="n">
        <v>1</v>
      </c>
      <c r="N127" s="5" t="n"/>
      <c r="O127" s="5" t="n">
        <v>3053</v>
      </c>
      <c r="P127" s="5" t="n">
        <v>1</v>
      </c>
      <c r="Q127">
        <f>L127+IF(M127&gt;1,N(N127)*(M127-1),0)</f>
        <v/>
      </c>
      <c r="R127">
        <f>IFERROR(K127*MAX(M127,1)/Q127*P127,0)</f>
        <v/>
      </c>
      <c r="AA127" s="6" t="inlineStr">
        <is>
          <t>^WaveforceBulletWarhead, ^Grenade, ^Chaingun, ^WaveforceBulletProjectile</t>
        </is>
      </c>
    </row>
    <row r="128">
      <c r="A128" t="inlineStr">
        <is>
          <t>redalert</t>
        </is>
      </c>
      <c r="B128" t="inlineStr">
        <is>
          <t>japan_zerofighter</t>
        </is>
      </c>
      <c r="C128" t="inlineStr">
        <is>
          <t>Zero Fighter</t>
        </is>
      </c>
      <c r="D128" t="inlineStr"/>
      <c r="E128" s="5" t="n">
        <v>30000</v>
      </c>
      <c r="F128" s="5" t="n">
        <v>175</v>
      </c>
      <c r="G128" t="inlineStr">
        <is>
          <t>Fighter</t>
        </is>
      </c>
      <c r="H128" s="5" t="n">
        <v>1</v>
      </c>
      <c r="I128" s="5" t="n">
        <v>1</v>
      </c>
      <c r="J128" s="5" t="n">
        <v>1</v>
      </c>
      <c r="O128">
        <f>MAX(O129,O130,O131,O132)</f>
        <v/>
      </c>
      <c r="R128">
        <f>R129+R130+R131+R132</f>
        <v/>
      </c>
      <c r="S128">
        <f>(E128/100000+F128/100+(O128/1000)*J128/5+R128/200)*200*I128*H128</f>
        <v/>
      </c>
      <c r="T128">
        <f>((E128*F128/25000)+((O128/1000)*J128*R128/2.5))*I128*H128</f>
        <v/>
      </c>
      <c r="U128">
        <f>(E128*F128*(O128/1000)*J128*R128*I128*H128)/12500000</f>
        <v/>
      </c>
      <c r="V128">
        <f>(S128+T128+U128)/3</f>
        <v/>
      </c>
      <c r="W128" s="5" t="n">
        <v>1200</v>
      </c>
      <c r="X128">
        <f>IFERROR(V128-W128,"")</f>
        <v/>
      </c>
      <c r="Y128">
        <f>IFERROR(ABS(X128)/MAX(W128,1),"")</f>
        <v/>
      </c>
      <c r="Z128">
        <f>IFERROR((W128-(((E128/100000+F128/100+R128/200)*200*I128*H128)+((E128*F128/25000)*I128*H128))/3)/(((J128/5)*200*I128*H128)+((J128*R128/2.5)*I128*H128)+((E128*F128*J128*R128*I128*H128)/12500000))/3*1000,"")</f>
        <v/>
      </c>
    </row>
    <row r="129">
      <c r="B129" s="6" t="inlineStr">
        <is>
          <t xml:space="preserve">  ↳ ZeroFighterArrows</t>
        </is>
      </c>
      <c r="C129" s="6" t="inlineStr">
        <is>
          <t>Armament@Missiles</t>
        </is>
      </c>
      <c r="K129" s="5" t="n">
        <v>18000</v>
      </c>
      <c r="L129" s="5" t="n">
        <v>110</v>
      </c>
      <c r="M129" s="5" t="n">
        <v>2</v>
      </c>
      <c r="N129" s="5" t="n">
        <v>9</v>
      </c>
      <c r="O129" s="5" t="n">
        <v>6615</v>
      </c>
      <c r="P129" s="5" t="n">
        <v>1</v>
      </c>
      <c r="Q129">
        <f>L129+IF(M129&gt;1,N(N129)*(M129-1),0)</f>
        <v/>
      </c>
      <c r="R129">
        <f>IFERROR(K129*MAX(M129,1)/Q129*P129,0)</f>
        <v/>
      </c>
      <c r="AA129" s="6" t="inlineStr">
        <is>
          <t>^MediumMissile, ^ArrowWeapon</t>
        </is>
      </c>
    </row>
    <row r="130">
      <c r="B130" s="6" t="inlineStr">
        <is>
          <t xml:space="preserve">  ↳ ZeroFighterArrowsEnergized</t>
        </is>
      </c>
      <c r="C130" s="6" t="inlineStr">
        <is>
          <t>Armament@MissilesUpgrade</t>
        </is>
      </c>
      <c r="K130" s="5" t="n">
        <v>8000</v>
      </c>
      <c r="L130" s="5" t="n">
        <v>110</v>
      </c>
      <c r="M130" s="5" t="n">
        <v>2</v>
      </c>
      <c r="N130" s="5" t="n">
        <v>9</v>
      </c>
      <c r="O130" s="5" t="n">
        <v>6615</v>
      </c>
      <c r="P130" s="5" t="n">
        <v>1</v>
      </c>
      <c r="Q130">
        <f>L130+IF(M130&gt;1,N(N130)*(M130-1),0)</f>
        <v/>
      </c>
      <c r="R130">
        <f>IFERROR(K130*MAX(M130,1)/Q130*P130,0)</f>
        <v/>
      </c>
      <c r="AA130" s="6" t="inlineStr">
        <is>
          <t>^MediumFlameWeapon, ^TeslaWeapon, ^MediumMissile, ^ArrowWeapon</t>
        </is>
      </c>
    </row>
    <row r="131">
      <c r="B131" s="6" t="inlineStr">
        <is>
          <t xml:space="preserve">  ↳ ZeroFighterChainGun</t>
        </is>
      </c>
      <c r="C131" s="6" t="inlineStr">
        <is>
          <t>Armament@PRIMARY</t>
        </is>
      </c>
      <c r="K131" s="5" t="n">
        <v>6000</v>
      </c>
      <c r="L131" s="5" t="n">
        <v>92</v>
      </c>
      <c r="M131" s="5" t="n">
        <v>12</v>
      </c>
      <c r="N131" s="5" t="n">
        <v>4</v>
      </c>
      <c r="O131" s="5" t="n">
        <v>6615</v>
      </c>
      <c r="P131" s="5" t="n">
        <v>1</v>
      </c>
      <c r="Q131">
        <f>L131+IF(M131&gt;1,N(N131)*(M131-1),0)</f>
        <v/>
      </c>
      <c r="R131">
        <f>IFERROR(K131*MAX(M131,1)/Q131*P131,0)</f>
        <v/>
      </c>
      <c r="AA131" s="6" t="inlineStr">
        <is>
          <t>^Chaingun</t>
        </is>
      </c>
    </row>
    <row r="132">
      <c r="B132" s="6" t="inlineStr">
        <is>
          <t xml:space="preserve">  ↳ ZeroFighterChainGunWaveforce</t>
        </is>
      </c>
      <c r="C132" s="6" t="inlineStr">
        <is>
          <t>Armament@Upgrade</t>
        </is>
      </c>
      <c r="K132" s="5" t="n">
        <v>4000</v>
      </c>
      <c r="L132" s="5" t="n">
        <v>92</v>
      </c>
      <c r="M132" s="5" t="n">
        <v>12</v>
      </c>
      <c r="N132" s="5" t="n">
        <v>4</v>
      </c>
      <c r="O132" s="5" t="n">
        <v>6615</v>
      </c>
      <c r="P132" s="5" t="n">
        <v>1</v>
      </c>
      <c r="Q132">
        <f>L132+IF(M132&gt;1,N(N132)*(M132-1),0)</f>
        <v/>
      </c>
      <c r="R132">
        <f>IFERROR(K132*MAX(M132,1)/Q132*P132,0)</f>
        <v/>
      </c>
      <c r="AA132" s="6" t="inlineStr">
        <is>
          <t>^WaveforceBulletWarhead, ^Grenade, ^Chaingun, ^WaveforceBulletProjectile</t>
        </is>
      </c>
    </row>
    <row r="133">
      <c r="A133" s="3" t="inlineStr">
        <is>
          <t>DEFENSES</t>
        </is>
      </c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>
      <c r="A134" t="inlineStr">
        <is>
          <t>redalert</t>
        </is>
      </c>
      <c r="B134" t="inlineStr">
        <is>
          <t>japan_ballistatower</t>
        </is>
      </c>
      <c r="C134" t="inlineStr">
        <is>
          <t>Ballista Tower</t>
        </is>
      </c>
      <c r="D134" t="inlineStr"/>
      <c r="E134" s="5" t="n">
        <v>190000</v>
      </c>
      <c r="F134" s="5" t="n">
        <v>100</v>
      </c>
      <c r="G134" t="inlineStr">
        <is>
          <t>Steel</t>
        </is>
      </c>
      <c r="H134" s="5" t="n">
        <v>1</v>
      </c>
      <c r="I134" s="5" t="n">
        <v>0.325</v>
      </c>
      <c r="J134" s="5" t="n">
        <v>1</v>
      </c>
      <c r="O134">
        <f>MAX(O135,O136,O137,O138)</f>
        <v/>
      </c>
      <c r="R134">
        <f>R135+R136+R137+R138</f>
        <v/>
      </c>
      <c r="S134">
        <f>(E134/100000+F134/100+(O134/1000)*J134/5+R134/200)*200*I134*H134</f>
        <v/>
      </c>
      <c r="T134">
        <f>((E134*F134/25000)+((O134/1000)*J134*R134/2.5))*I134*H134</f>
        <v/>
      </c>
      <c r="U134">
        <f>(E134*F134*(O134/1000)*J134*R134*I134*H134)/12500000</f>
        <v/>
      </c>
      <c r="V134">
        <f>(S134+T134+U134)/3</f>
        <v/>
      </c>
      <c r="W134" s="5" t="n">
        <v>1400</v>
      </c>
      <c r="X134">
        <f>IFERROR(V134-W134,"")</f>
        <v/>
      </c>
      <c r="Y134">
        <f>IFERROR(ABS(X134)/MAX(W134,1),"")</f>
        <v/>
      </c>
      <c r="Z134">
        <f>IFERROR((W134-(((E134/100000+F134/100+R134/200)*200*I134*H134)+((E134*F134/25000)*I134*H134))/3)/(((J134/5)*200*I134*H134)+((J134*R134/2.5)*I134*H134)+((E134*F134*J134*R134*I134*H134)/12500000))/3*1000,"")</f>
        <v/>
      </c>
    </row>
    <row r="135">
      <c r="B135" s="6" t="inlineStr">
        <is>
          <t xml:space="preserve">  ↳ BallistaTowerMultiShot</t>
        </is>
      </c>
      <c r="C135" s="6" t="inlineStr">
        <is>
          <t>Armament@PRIMARY</t>
        </is>
      </c>
      <c r="K135" s="5" t="n">
        <v>10000</v>
      </c>
      <c r="L135" s="5" t="n">
        <v>176</v>
      </c>
      <c r="M135" s="5" t="n">
        <v>5</v>
      </c>
      <c r="N135" s="5" t="n">
        <v>6</v>
      </c>
      <c r="O135" s="5" t="n">
        <v>9214</v>
      </c>
      <c r="P135" s="5" t="n">
        <v>1</v>
      </c>
      <c r="Q135">
        <f>L135+IF(M135&gt;1,N(N135)*(M135-1),0)</f>
        <v/>
      </c>
      <c r="R135">
        <f>IFERROR(K135*MAX(M135,1)/Q135*P135,0)</f>
        <v/>
      </c>
      <c r="AA135" s="6" t="inlineStr">
        <is>
          <t>^Grenade, ^LightFlameWeapon, ^LightChemicalWeapon, ^ArrowWeapon</t>
        </is>
      </c>
    </row>
    <row r="136">
      <c r="B136" s="6" t="inlineStr">
        <is>
          <t xml:space="preserve">  ↳ BallistaSingleShotAir</t>
        </is>
      </c>
      <c r="C136" s="6" t="inlineStr">
        <is>
          <t>Armament@AIR</t>
        </is>
      </c>
      <c r="K136" s="5" t="n">
        <v>160000</v>
      </c>
      <c r="L136" s="5" t="n">
        <v>200</v>
      </c>
      <c r="M136" s="5" t="n">
        <v>1</v>
      </c>
      <c r="N136" s="5" t="n"/>
      <c r="O136" s="5" t="n">
        <v>9214</v>
      </c>
      <c r="P136" s="5" t="n">
        <v>1</v>
      </c>
      <c r="Q136">
        <f>L136+IF(M136&gt;1,N(N136)*(M136-1),0)</f>
        <v/>
      </c>
      <c r="R136">
        <f>IFERROR(K136*MAX(M136,1)/Q136*P136,0)</f>
        <v/>
      </c>
      <c r="AA136" s="6" t="inlineStr">
        <is>
          <t>^ArrowWeapon</t>
        </is>
      </c>
    </row>
    <row r="137">
      <c r="B137" s="6" t="inlineStr">
        <is>
          <t xml:space="preserve">  ↳ BallistaTowerMultiShotEnergized</t>
        </is>
      </c>
      <c r="C137" s="6" t="inlineStr">
        <is>
          <t>Armament@Upgrade</t>
        </is>
      </c>
      <c r="K137" s="5" t="n">
        <v>10000</v>
      </c>
      <c r="L137" s="5" t="n">
        <v>176</v>
      </c>
      <c r="M137" s="5" t="n">
        <v>5</v>
      </c>
      <c r="N137" s="5" t="n">
        <v>6</v>
      </c>
      <c r="O137" s="5" t="n">
        <v>9214</v>
      </c>
      <c r="P137" s="5" t="n">
        <v>1</v>
      </c>
      <c r="Q137">
        <f>L137+IF(M137&gt;1,N(N137)*(M137-1),0)</f>
        <v/>
      </c>
      <c r="R137">
        <f>IFERROR(K137*MAX(M137,1)/Q137*P137,0)</f>
        <v/>
      </c>
      <c r="AA137" s="6" t="inlineStr">
        <is>
          <t>^TeslaWeapon, ^MediumFlameWeapon, ^MediumChemicalWeapon, ^ArrowWeapon</t>
        </is>
      </c>
    </row>
    <row r="138">
      <c r="B138" s="6" t="inlineStr">
        <is>
          <t xml:space="preserve">  ↳ BallistaSingleShotAirEnergized</t>
        </is>
      </c>
      <c r="C138" s="6" t="inlineStr">
        <is>
          <t>Armament@UpgradeAIR</t>
        </is>
      </c>
      <c r="K138" s="5" t="n">
        <v>20000</v>
      </c>
      <c r="L138" s="5" t="n">
        <v>200</v>
      </c>
      <c r="M138" s="5" t="n">
        <v>1</v>
      </c>
      <c r="N138" s="5" t="n"/>
      <c r="O138" s="5" t="n">
        <v>9214</v>
      </c>
      <c r="P138" s="5" t="n">
        <v>1</v>
      </c>
      <c r="Q138">
        <f>L138+IF(M138&gt;1,N(N138)*(M138-1),0)</f>
        <v/>
      </c>
      <c r="R138">
        <f>IFERROR(K138*MAX(M138,1)/Q138*P138,0)</f>
        <v/>
      </c>
      <c r="AA138" s="6" t="inlineStr">
        <is>
          <t>^LightMissile, ^MediumFlameWeapon, ^MediumChemicalWeapon, ^ShrapnelWeapon, ^MediumMissile, ^TeslaWeapon, ^ArrowWeapon</t>
        </is>
      </c>
    </row>
    <row r="139">
      <c r="A139" t="inlineStr">
        <is>
          <t>redalert</t>
        </is>
      </c>
      <c r="B139" t="inlineStr">
        <is>
          <t>japan_japanesemgnest</t>
        </is>
      </c>
      <c r="C139" t="inlineStr">
        <is>
          <t>Japanese MG Nest</t>
        </is>
      </c>
      <c r="D139" t="inlineStr"/>
      <c r="E139" s="5" t="n">
        <v>110000</v>
      </c>
      <c r="F139" s="5" t="n">
        <v>100</v>
      </c>
      <c r="G139" t="inlineStr">
        <is>
          <t>Concrete</t>
        </is>
      </c>
      <c r="H139" s="5" t="n">
        <v>1</v>
      </c>
      <c r="I139" s="5" t="n">
        <v>1</v>
      </c>
      <c r="J139" s="5" t="n">
        <v>1</v>
      </c>
      <c r="O139">
        <f>MAX(O140,O141)</f>
        <v/>
      </c>
      <c r="R139">
        <f>R140+R141</f>
        <v/>
      </c>
      <c r="S139">
        <f>(E139/100000+F139/100+(O139/1000)*J139/5+R139/200)*200*I139*H139</f>
        <v/>
      </c>
      <c r="T139">
        <f>((E139*F139/25000)+((O139/1000)*J139*R139/2.5))*I139*H139</f>
        <v/>
      </c>
      <c r="U139">
        <f>(E139*F139*(O139/1000)*J139*R139*I139*H139)/12500000</f>
        <v/>
      </c>
      <c r="V139">
        <f>(S139+T139+U139)/3</f>
        <v/>
      </c>
      <c r="W139" s="5" t="n">
        <v>1000</v>
      </c>
      <c r="X139">
        <f>IFERROR(V139-W139,"")</f>
        <v/>
      </c>
      <c r="Y139">
        <f>IFERROR(ABS(X139)/MAX(W139,1),"")</f>
        <v/>
      </c>
      <c r="Z139">
        <f>IFERROR((W139-(((E139/100000+F139/100+R139/200)*200*I139*H139)+((E139*F139/25000)*I139*H139))/3)/(((J139/5)*200*I139*H139)+((J139*R139/2.5)*I139*H139)+((E139*F139*J139*R139*I139*H139)/12500000))/3*1000,"")</f>
        <v/>
      </c>
    </row>
    <row r="140">
      <c r="B140" s="6" t="inlineStr">
        <is>
          <t xml:space="preserve">  ↳ JHighV</t>
        </is>
      </c>
      <c r="C140" s="6" t="inlineStr">
        <is>
          <t>Armament</t>
        </is>
      </c>
      <c r="K140" s="5" t="n">
        <v>4000</v>
      </c>
      <c r="L140" s="5" t="n">
        <v>25</v>
      </c>
      <c r="M140" s="5" t="n">
        <v>5</v>
      </c>
      <c r="N140" s="5" t="n">
        <v>5</v>
      </c>
      <c r="O140" s="5" t="n">
        <v>6696</v>
      </c>
      <c r="P140" s="5" t="n">
        <v>1</v>
      </c>
      <c r="Q140">
        <f>L140+IF(M140&gt;1,N(N140)*(M140-1),0)</f>
        <v/>
      </c>
      <c r="R140">
        <f>IFERROR(K140*MAX(M140,1)/Q140*P140,0)</f>
        <v/>
      </c>
      <c r="AA140" s="6" t="inlineStr">
        <is>
          <t>^SmallArms, ^Chaingun</t>
        </is>
      </c>
    </row>
    <row r="141">
      <c r="B141" s="6" t="inlineStr">
        <is>
          <t xml:space="preserve">  ↳ JHighVWaveforce</t>
        </is>
      </c>
      <c r="C141" s="6" t="inlineStr">
        <is>
          <t>Armament@Upgrade</t>
        </is>
      </c>
      <c r="K141" s="5" t="n">
        <v>4000</v>
      </c>
      <c r="L141" s="5" t="n">
        <v>25</v>
      </c>
      <c r="M141" s="5" t="n">
        <v>5</v>
      </c>
      <c r="N141" s="5" t="n">
        <v>5</v>
      </c>
      <c r="O141" s="5" t="n">
        <v>6696</v>
      </c>
      <c r="P141" s="5" t="n">
        <v>1</v>
      </c>
      <c r="Q141">
        <f>L141+IF(M141&gt;1,N(N141)*(M141-1),0)</f>
        <v/>
      </c>
      <c r="R141">
        <f>IFERROR(K141*MAX(M141,1)/Q141*P141,0)</f>
        <v/>
      </c>
      <c r="AA141" s="6" t="inlineStr">
        <is>
          <t>^WaveforceBulletWarhead, ^SmallArms, ^Chaingun, ^WaveforceBulletProjectile</t>
        </is>
      </c>
    </row>
    <row r="142">
      <c r="A142" t="inlineStr">
        <is>
          <t>redalert</t>
        </is>
      </c>
      <c r="B142" t="inlineStr">
        <is>
          <t>japan_japaneseshrine</t>
        </is>
      </c>
      <c r="C142" t="inlineStr">
        <is>
          <t>Japanese Shrine</t>
        </is>
      </c>
      <c r="D142" t="inlineStr"/>
      <c r="E142" s="5" t="n">
        <v>1000000</v>
      </c>
      <c r="F142" s="5" t="n">
        <v>100</v>
      </c>
      <c r="G142" t="inlineStr">
        <is>
          <t>Concrete</t>
        </is>
      </c>
      <c r="H142" s="5" t="n">
        <v>1</v>
      </c>
      <c r="I142" s="5" t="n">
        <v>1</v>
      </c>
      <c r="J142" s="5" t="n">
        <v>1</v>
      </c>
      <c r="W142" s="5" t="n">
        <v>10000</v>
      </c>
    </row>
    <row r="143">
      <c r="A143" t="inlineStr">
        <is>
          <t>redalert</t>
        </is>
      </c>
      <c r="B143" t="inlineStr">
        <is>
          <t>japan_waveforceturret</t>
        </is>
      </c>
      <c r="C143" t="inlineStr">
        <is>
          <t>Waveforce Turret</t>
        </is>
      </c>
      <c r="D143" t="inlineStr"/>
      <c r="E143" s="5" t="n">
        <v>220000</v>
      </c>
      <c r="F143" s="5" t="n">
        <v>100</v>
      </c>
      <c r="G143" t="inlineStr">
        <is>
          <t>Steel</t>
        </is>
      </c>
      <c r="H143" s="5" t="n">
        <v>1</v>
      </c>
      <c r="I143" s="5" t="n">
        <v>0.325</v>
      </c>
      <c r="J143" s="5" t="n">
        <v>1.25</v>
      </c>
      <c r="O143">
        <f>MAX(O144)</f>
        <v/>
      </c>
      <c r="R143">
        <f>R144</f>
        <v/>
      </c>
      <c r="S143">
        <f>(E143/100000+F143/100+(O143/1000)*J143/5+R143/200)*200*I143*H143</f>
        <v/>
      </c>
      <c r="T143">
        <f>((E143*F143/25000)+((O143/1000)*J143*R143/2.5))*I143*H143</f>
        <v/>
      </c>
      <c r="U143">
        <f>(E143*F143*(O143/1000)*J143*R143*I143*H143)/12500000</f>
        <v/>
      </c>
      <c r="V143">
        <f>(S143+T143+U143)/3</f>
        <v/>
      </c>
      <c r="W143" s="5" t="n">
        <v>3200</v>
      </c>
      <c r="X143">
        <f>IFERROR(V143-W143,"")</f>
        <v/>
      </c>
      <c r="Y143">
        <f>IFERROR(ABS(X143)/MAX(W143,1),"")</f>
        <v/>
      </c>
      <c r="Z143">
        <f>IFERROR((W143-(((E143/100000+F143/100+R143/200)*200*I143*H143)+((E143*F143/25000)*I143*H143))/3)/(((J143/5)*200*I143*H143)+((J143*R143/2.5)*I143*H143)+((E143*F143*J143*R143*I143*H143)/12500000))/3*1000,"")</f>
        <v/>
      </c>
    </row>
    <row r="144">
      <c r="B144" s="6" t="inlineStr">
        <is>
          <t xml:space="preserve">  ↳ WaveTurretShell</t>
        </is>
      </c>
      <c r="C144" s="6" t="inlineStr">
        <is>
          <t>Armament@WaveTurretShell</t>
        </is>
      </c>
      <c r="K144" s="5" t="n"/>
      <c r="L144" s="5" t="n">
        <v>100</v>
      </c>
      <c r="M144" s="5" t="n">
        <v>1</v>
      </c>
      <c r="N144" s="5" t="n"/>
      <c r="O144" s="5" t="n">
        <v>9825</v>
      </c>
      <c r="P144" s="5" t="n">
        <v>1</v>
      </c>
      <c r="Q144">
        <f>L144+IF(M144&gt;1,N(N144)*(M144-1),0)</f>
        <v/>
      </c>
      <c r="R144">
        <f>IFERROR(K144*MAX(M144,1)/Q144*P144,0)</f>
        <v/>
      </c>
      <c r="AA144" s="6" t="inlineStr">
        <is>
          <t>WaveArtilleryShell</t>
        </is>
      </c>
    </row>
    <row r="145">
      <c r="A145" s="3" t="inlineStr">
        <is>
          <t>BUILDINGS</t>
        </is>
      </c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>
      <c r="A146" t="inlineStr">
        <is>
          <t>redalert</t>
        </is>
      </c>
      <c r="B146" t="inlineStr">
        <is>
          <t>japan_japaneseairfield</t>
        </is>
      </c>
      <c r="C146" t="inlineStr">
        <is>
          <t>Japanese Airfield</t>
        </is>
      </c>
      <c r="D146" t="inlineStr"/>
      <c r="E146" s="5" t="n">
        <v>300000</v>
      </c>
      <c r="F146" s="5" t="n"/>
      <c r="G146" t="inlineStr">
        <is>
          <t>Wood</t>
        </is>
      </c>
      <c r="H146" s="5" t="n">
        <v>1</v>
      </c>
      <c r="I146" s="5" t="n">
        <v>1</v>
      </c>
      <c r="J146" s="5" t="n">
        <v>1</v>
      </c>
      <c r="W146" s="5" t="n">
        <v>1500</v>
      </c>
    </row>
    <row r="147">
      <c r="A147" t="inlineStr">
        <is>
          <t>redalert</t>
        </is>
      </c>
      <c r="B147" t="inlineStr">
        <is>
          <t>japan_japanesebarracks</t>
        </is>
      </c>
      <c r="C147" t="inlineStr">
        <is>
          <t>Japanese Barracks</t>
        </is>
      </c>
      <c r="D147" t="inlineStr"/>
      <c r="E147" s="5" t="n">
        <v>200000</v>
      </c>
      <c r="F147" s="5" t="n"/>
      <c r="G147" t="inlineStr">
        <is>
          <t>Wood</t>
        </is>
      </c>
      <c r="H147" s="5" t="n">
        <v>1</v>
      </c>
      <c r="I147" s="5" t="n">
        <v>1</v>
      </c>
      <c r="J147" s="5" t="n">
        <v>1</v>
      </c>
      <c r="W147" s="5" t="n">
        <v>1000</v>
      </c>
    </row>
    <row r="148">
      <c r="A148" t="inlineStr">
        <is>
          <t>redalert</t>
        </is>
      </c>
      <c r="B148" t="inlineStr">
        <is>
          <t>japan_japaneseconstructionyard</t>
        </is>
      </c>
      <c r="C148" t="inlineStr">
        <is>
          <t>Japanese Construction Yard</t>
        </is>
      </c>
      <c r="D148" t="inlineStr"/>
      <c r="E148" s="5" t="n">
        <v>1000000</v>
      </c>
      <c r="F148" s="5" t="n"/>
      <c r="G148" t="inlineStr">
        <is>
          <t>Concrete</t>
        </is>
      </c>
      <c r="H148" s="5" t="n">
        <v>1</v>
      </c>
      <c r="I148" s="5" t="n">
        <v>1</v>
      </c>
      <c r="J148" s="5" t="n">
        <v>1</v>
      </c>
      <c r="W148" s="5" t="n">
        <v>5000</v>
      </c>
    </row>
    <row r="149">
      <c r="A149" t="inlineStr">
        <is>
          <t>redalert</t>
        </is>
      </c>
      <c r="B149" t="inlineStr">
        <is>
          <t>japan_japaneseorerefinery</t>
        </is>
      </c>
      <c r="C149" t="inlineStr">
        <is>
          <t>Japanese Ore Refinery</t>
        </is>
      </c>
      <c r="D149" t="inlineStr"/>
      <c r="E149" s="5" t="n">
        <v>300000</v>
      </c>
      <c r="F149" s="5" t="n"/>
      <c r="G149" t="inlineStr">
        <is>
          <t>Concrete</t>
        </is>
      </c>
      <c r="H149" s="5" t="n">
        <v>1</v>
      </c>
      <c r="I149" s="5" t="n">
        <v>1</v>
      </c>
      <c r="J149" s="5" t="n">
        <v>1</v>
      </c>
      <c r="W149" s="5" t="n">
        <v>3000</v>
      </c>
    </row>
    <row r="150">
      <c r="A150" t="inlineStr">
        <is>
          <t>redalert</t>
        </is>
      </c>
      <c r="B150" t="inlineStr">
        <is>
          <t>japan_japaneseradararray</t>
        </is>
      </c>
      <c r="C150" t="inlineStr">
        <is>
          <t>Japanese Radar Array</t>
        </is>
      </c>
      <c r="D150" t="inlineStr"/>
      <c r="E150" s="5" t="n">
        <v>250000</v>
      </c>
      <c r="F150" s="5" t="n"/>
      <c r="G150" t="inlineStr">
        <is>
          <t>Wood</t>
        </is>
      </c>
      <c r="H150" s="5" t="n">
        <v>1</v>
      </c>
      <c r="I150" s="5" t="n">
        <v>1</v>
      </c>
      <c r="J150" s="5" t="n">
        <v>1</v>
      </c>
      <c r="W150" s="5" t="n">
        <v>2500</v>
      </c>
    </row>
    <row r="151">
      <c r="A151" t="inlineStr">
        <is>
          <t>redalert</t>
        </is>
      </c>
      <c r="B151" t="inlineStr">
        <is>
          <t>japan_japaneseservicedepot</t>
        </is>
      </c>
      <c r="C151" t="inlineStr">
        <is>
          <t>Japanese Service Depot</t>
        </is>
      </c>
      <c r="D151" t="inlineStr"/>
      <c r="E151" s="5" t="n">
        <v>250000</v>
      </c>
      <c r="F151" s="5" t="n"/>
      <c r="G151" t="inlineStr">
        <is>
          <t>Concrete</t>
        </is>
      </c>
      <c r="H151" s="5" t="n">
        <v>1</v>
      </c>
      <c r="I151" s="5" t="n">
        <v>1</v>
      </c>
      <c r="J151" s="5" t="n">
        <v>1</v>
      </c>
      <c r="W151" s="5" t="n">
        <v>1000</v>
      </c>
    </row>
    <row r="152">
      <c r="A152" t="inlineStr">
        <is>
          <t>redalert</t>
        </is>
      </c>
      <c r="B152" t="inlineStr">
        <is>
          <t>japan_japanesetechcenter</t>
        </is>
      </c>
      <c r="C152" t="inlineStr">
        <is>
          <t>Japanese Tech Center</t>
        </is>
      </c>
      <c r="D152" t="inlineStr"/>
      <c r="E152" s="5" t="n">
        <v>500000</v>
      </c>
      <c r="F152" s="5" t="n"/>
      <c r="G152" t="inlineStr">
        <is>
          <t>Concrete</t>
        </is>
      </c>
      <c r="H152" s="5" t="n">
        <v>1</v>
      </c>
      <c r="I152" s="5" t="n">
        <v>1</v>
      </c>
      <c r="J152" s="5" t="n">
        <v>1</v>
      </c>
      <c r="W152" s="5" t="n">
        <v>5000</v>
      </c>
    </row>
    <row r="153">
      <c r="A153" t="inlineStr">
        <is>
          <t>redalert</t>
        </is>
      </c>
      <c r="B153" t="inlineStr">
        <is>
          <t>japan_japanesewarfactory</t>
        </is>
      </c>
      <c r="C153" t="inlineStr">
        <is>
          <t>Japanese War Factory</t>
        </is>
      </c>
      <c r="D153" t="inlineStr"/>
      <c r="E153" s="5" t="n">
        <v>400000</v>
      </c>
      <c r="F153" s="5" t="n"/>
      <c r="G153" t="inlineStr">
        <is>
          <t>Concrete</t>
        </is>
      </c>
      <c r="H153" s="5" t="n">
        <v>1</v>
      </c>
      <c r="I153" s="5" t="n">
        <v>1</v>
      </c>
      <c r="J153" s="5" t="n">
        <v>1</v>
      </c>
      <c r="W153" s="5" t="n">
        <v>2000</v>
      </c>
    </row>
    <row r="154">
      <c r="A154" t="inlineStr">
        <is>
          <t>redalert</t>
        </is>
      </c>
      <c r="B154" t="inlineStr">
        <is>
          <t>japan_waveforcereactor</t>
        </is>
      </c>
      <c r="C154" t="inlineStr">
        <is>
          <t>Waveforce Reactor</t>
        </is>
      </c>
      <c r="D154" t="inlineStr"/>
      <c r="E154" s="5" t="n">
        <v>175000</v>
      </c>
      <c r="F154" s="5" t="n"/>
      <c r="G154" t="inlineStr">
        <is>
          <t>Wood</t>
        </is>
      </c>
      <c r="H154" s="5" t="n">
        <v>1</v>
      </c>
      <c r="I154" s="5" t="n">
        <v>1</v>
      </c>
      <c r="J154" s="5" t="n">
        <v>1</v>
      </c>
      <c r="W154" s="5" t="n">
        <v>750</v>
      </c>
    </row>
    <row r="155">
      <c r="A155" s="3" t="inlineStr">
        <is>
          <t>UPGRADES</t>
        </is>
      </c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>
      <c r="A156" t="inlineStr">
        <is>
          <t>redalert</t>
        </is>
      </c>
      <c r="B156" t="inlineStr">
        <is>
          <t>japan_upgrade_advancedplasmaweapons</t>
        </is>
      </c>
      <c r="C156" t="inlineStr">
        <is>
          <t>Advanced Plasma Weapons</t>
        </is>
      </c>
      <c r="D156" t="inlineStr"/>
      <c r="E156" s="5" t="n"/>
      <c r="F156" s="5" t="n"/>
      <c r="H156" s="5" t="n">
        <v>1</v>
      </c>
      <c r="I156" s="5" t="n">
        <v>1</v>
      </c>
      <c r="J156" s="5" t="n">
        <v>1</v>
      </c>
      <c r="W156" s="5" t="n">
        <v>10000</v>
      </c>
    </row>
    <row r="157">
      <c r="A157" t="inlineStr">
        <is>
          <t>redalert</t>
        </is>
      </c>
      <c r="B157" t="inlineStr">
        <is>
          <t>japan_upgrade_bushidodiscipline</t>
        </is>
      </c>
      <c r="C157" t="inlineStr">
        <is>
          <t>Bushido Discipline</t>
        </is>
      </c>
      <c r="D157" t="inlineStr"/>
      <c r="E157" s="5" t="n"/>
      <c r="F157" s="5" t="n"/>
      <c r="H157" s="5" t="n">
        <v>1</v>
      </c>
      <c r="I157" s="5" t="n">
        <v>1</v>
      </c>
      <c r="J157" s="5" t="n">
        <v>1</v>
      </c>
      <c r="W157" s="5" t="n">
        <v>5000</v>
      </c>
    </row>
    <row r="158">
      <c r="A158" t="inlineStr">
        <is>
          <t>redalert</t>
        </is>
      </c>
      <c r="B158" t="inlineStr">
        <is>
          <t>japan_upgrade_divinewindprotocol</t>
        </is>
      </c>
      <c r="C158" t="inlineStr">
        <is>
          <t>Divine Wind Protocol</t>
        </is>
      </c>
      <c r="D158" t="inlineStr"/>
      <c r="E158" s="5" t="n"/>
      <c r="F158" s="5" t="n"/>
      <c r="H158" s="5" t="n">
        <v>1</v>
      </c>
      <c r="I158" s="5" t="n">
        <v>1</v>
      </c>
      <c r="J158" s="5" t="n">
        <v>1</v>
      </c>
      <c r="W158" s="5" t="n">
        <v>5000</v>
      </c>
    </row>
    <row r="159">
      <c r="A159" t="inlineStr">
        <is>
          <t>redalert</t>
        </is>
      </c>
      <c r="B159" t="inlineStr">
        <is>
          <t>japan_upgrade_energizedarrows</t>
        </is>
      </c>
      <c r="C159" t="inlineStr">
        <is>
          <t>Energized Arrows</t>
        </is>
      </c>
      <c r="D159" t="inlineStr"/>
      <c r="E159" s="5" t="n"/>
      <c r="F159" s="5" t="n"/>
      <c r="H159" s="5" t="n">
        <v>1</v>
      </c>
      <c r="I159" s="5" t="n">
        <v>1</v>
      </c>
      <c r="J159" s="5" t="n">
        <v>1</v>
      </c>
      <c r="W159" s="5" t="n">
        <v>7500</v>
      </c>
    </row>
    <row r="160">
      <c r="A160" t="inlineStr">
        <is>
          <t>redalert</t>
        </is>
      </c>
      <c r="B160" t="inlineStr">
        <is>
          <t>japan_upgrade_nanotechrepairs</t>
        </is>
      </c>
      <c r="C160" t="inlineStr">
        <is>
          <t>Nanotech Repairs</t>
        </is>
      </c>
      <c r="D160" t="inlineStr"/>
      <c r="E160" s="5" t="n"/>
      <c r="F160" s="5" t="n"/>
      <c r="H160" s="5" t="n">
        <v>1</v>
      </c>
      <c r="I160" s="5" t="n">
        <v>1</v>
      </c>
      <c r="J160" s="5" t="n">
        <v>1</v>
      </c>
      <c r="W160" s="5" t="n">
        <v>12500</v>
      </c>
    </row>
    <row r="161">
      <c r="A161" t="inlineStr">
        <is>
          <t>redalert</t>
        </is>
      </c>
      <c r="B161" t="inlineStr">
        <is>
          <t>japan_upgrade_stealthsuitintegration</t>
        </is>
      </c>
      <c r="C161" t="inlineStr">
        <is>
          <t>Stealth Suit Integration</t>
        </is>
      </c>
      <c r="D161" t="inlineStr"/>
      <c r="E161" s="5" t="n"/>
      <c r="F161" s="5" t="n"/>
      <c r="H161" s="5" t="n">
        <v>1</v>
      </c>
      <c r="I161" s="5" t="n">
        <v>1</v>
      </c>
      <c r="J161" s="5" t="n">
        <v>1</v>
      </c>
      <c r="W161" s="5" t="n">
        <v>7500</v>
      </c>
    </row>
    <row r="162">
      <c r="A162" t="inlineStr">
        <is>
          <t>redalert</t>
        </is>
      </c>
      <c r="B162" t="inlineStr">
        <is>
          <t>japan_upgrade_superiorwarengines</t>
        </is>
      </c>
      <c r="C162" t="inlineStr">
        <is>
          <t>Superior War Engines</t>
        </is>
      </c>
      <c r="D162" t="inlineStr"/>
      <c r="E162" s="5" t="n"/>
      <c r="F162" s="5" t="n"/>
      <c r="H162" s="5" t="n">
        <v>1</v>
      </c>
      <c r="I162" s="5" t="n">
        <v>1</v>
      </c>
      <c r="J162" s="5" t="n">
        <v>1</v>
      </c>
      <c r="W162" s="5" t="n">
        <v>7500</v>
      </c>
    </row>
    <row r="163">
      <c r="A163" t="inlineStr">
        <is>
          <t>redalert</t>
        </is>
      </c>
      <c r="B163" t="inlineStr">
        <is>
          <t>japan_upgrade_waveforcebullets</t>
        </is>
      </c>
      <c r="C163" t="inlineStr">
        <is>
          <t>Waveforce Bullets</t>
        </is>
      </c>
      <c r="D163" t="inlineStr"/>
      <c r="E163" s="5" t="n"/>
      <c r="F163" s="5" t="n"/>
      <c r="H163" s="5" t="n">
        <v>1</v>
      </c>
      <c r="I163" s="5" t="n">
        <v>1</v>
      </c>
      <c r="J163" s="5" t="n">
        <v>1</v>
      </c>
      <c r="W163" s="5" t="n">
        <v>5000</v>
      </c>
    </row>
    <row r="164">
      <c r="A164" s="3" t="inlineStr">
        <is>
          <t>PROMOTIONS</t>
        </is>
      </c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</row>
    <row r="165">
      <c r="A165" t="inlineStr">
        <is>
          <t>redalert</t>
        </is>
      </c>
      <c r="B165" t="inlineStr">
        <is>
          <t>japan_promotion_unlockarchermaiden</t>
        </is>
      </c>
      <c r="C165" t="inlineStr">
        <is>
          <t>Unlock Archer Maiden</t>
        </is>
      </c>
      <c r="D165" t="inlineStr"/>
      <c r="E165" s="5" t="n"/>
      <c r="F165" s="5" t="n"/>
      <c r="H165" s="5" t="n">
        <v>1</v>
      </c>
      <c r="I165" s="5" t="n">
        <v>1</v>
      </c>
      <c r="J165" s="5" t="n">
        <v>1</v>
      </c>
      <c r="W165" s="5" t="n"/>
    </row>
    <row r="166">
      <c r="A166" t="inlineStr">
        <is>
          <t>redalert</t>
        </is>
      </c>
      <c r="B166" t="inlineStr">
        <is>
          <t>japan_promotion_unlockarmoredcar</t>
        </is>
      </c>
      <c r="C166" t="inlineStr">
        <is>
          <t>Unlock Armored Car</t>
        </is>
      </c>
      <c r="D166" t="inlineStr"/>
      <c r="E166" s="5" t="n"/>
      <c r="F166" s="5" t="n"/>
      <c r="H166" s="5" t="n">
        <v>1</v>
      </c>
      <c r="I166" s="5" t="n">
        <v>1</v>
      </c>
      <c r="J166" s="5" t="n">
        <v>1</v>
      </c>
      <c r="W166" s="5" t="n"/>
    </row>
    <row r="167">
      <c r="A167" t="inlineStr">
        <is>
          <t>redalert</t>
        </is>
      </c>
      <c r="B167" t="inlineStr">
        <is>
          <t>japan_promotion_unlockexorcist</t>
        </is>
      </c>
      <c r="C167" t="inlineStr">
        <is>
          <t>Unlock Exorcist</t>
        </is>
      </c>
      <c r="D167" t="inlineStr"/>
      <c r="E167" s="5" t="n"/>
      <c r="F167" s="5" t="n"/>
      <c r="H167" s="5" t="n">
        <v>1</v>
      </c>
      <c r="I167" s="5" t="n">
        <v>1</v>
      </c>
      <c r="J167" s="5" t="n">
        <v>1</v>
      </c>
      <c r="W167" s="5" t="n"/>
    </row>
    <row r="168">
      <c r="A168" t="inlineStr">
        <is>
          <t>redalert</t>
        </is>
      </c>
      <c r="B168" t="inlineStr">
        <is>
          <t>japan_promotion_unlockgrenadebuggy</t>
        </is>
      </c>
      <c r="C168" t="inlineStr">
        <is>
          <t>Unlock Grenade Buggy</t>
        </is>
      </c>
      <c r="D168" t="inlineStr"/>
      <c r="E168" s="5" t="n"/>
      <c r="F168" s="5" t="n"/>
      <c r="H168" s="5" t="n">
        <v>1</v>
      </c>
      <c r="I168" s="5" t="n">
        <v>1</v>
      </c>
      <c r="J168" s="5" t="n">
        <v>1</v>
      </c>
      <c r="W168" s="5" t="n"/>
    </row>
    <row r="169">
      <c r="A169" t="inlineStr">
        <is>
          <t>redalert</t>
        </is>
      </c>
      <c r="B169" t="inlineStr">
        <is>
          <t>japan_promotion_unlockheavychihaheavytank</t>
        </is>
      </c>
      <c r="C169" t="inlineStr">
        <is>
          <t>Unlock Heavy Chi-Ha Heavy Tank</t>
        </is>
      </c>
      <c r="D169" t="inlineStr"/>
      <c r="E169" s="5" t="n"/>
      <c r="F169" s="5" t="n"/>
      <c r="H169" s="5" t="n">
        <v>1</v>
      </c>
      <c r="I169" s="5" t="n">
        <v>1</v>
      </c>
      <c r="J169" s="5" t="n">
        <v>1</v>
      </c>
      <c r="W169" s="5" t="n"/>
    </row>
    <row r="170">
      <c r="A170" t="inlineStr">
        <is>
          <t>redalert</t>
        </is>
      </c>
      <c r="B170" t="inlineStr">
        <is>
          <t>japan_promotion_unlockhovercraftflametank</t>
        </is>
      </c>
      <c r="C170" t="inlineStr">
        <is>
          <t>Unlock Hovercraft Flametank</t>
        </is>
      </c>
      <c r="D170" t="inlineStr"/>
      <c r="E170" s="5" t="n"/>
      <c r="F170" s="5" t="n"/>
      <c r="H170" s="5" t="n">
        <v>1</v>
      </c>
      <c r="I170" s="5" t="n">
        <v>1</v>
      </c>
      <c r="J170" s="5" t="n">
        <v>1</v>
      </c>
      <c r="W170" s="5" t="n"/>
    </row>
    <row r="171">
      <c r="A171" t="inlineStr">
        <is>
          <t>redalert</t>
        </is>
      </c>
      <c r="B171" t="inlineStr">
        <is>
          <t>japan_promotion_unlockrocketangel</t>
        </is>
      </c>
      <c r="C171" t="inlineStr">
        <is>
          <t>Unlock Rocket Angel</t>
        </is>
      </c>
      <c r="D171" t="inlineStr"/>
      <c r="E171" s="5" t="n"/>
      <c r="F171" s="5" t="n"/>
      <c r="H171" s="5" t="n">
        <v>1</v>
      </c>
      <c r="I171" s="5" t="n">
        <v>1</v>
      </c>
      <c r="J171" s="5" t="n">
        <v>1</v>
      </c>
      <c r="W171" s="5" t="n"/>
    </row>
    <row r="172">
      <c r="A172" t="inlineStr">
        <is>
          <t>redalert</t>
        </is>
      </c>
      <c r="B172" t="inlineStr">
        <is>
          <t>japan_promotion_unlocksamurai</t>
        </is>
      </c>
      <c r="C172" t="inlineStr">
        <is>
          <t>Unlock Samurai</t>
        </is>
      </c>
      <c r="D172" t="inlineStr"/>
      <c r="E172" s="5" t="n"/>
      <c r="F172" s="5" t="n"/>
      <c r="H172" s="5" t="n">
        <v>1</v>
      </c>
      <c r="I172" s="5" t="n">
        <v>1</v>
      </c>
      <c r="J172" s="5" t="n">
        <v>1</v>
      </c>
      <c r="W172" s="5" t="n"/>
    </row>
    <row r="173">
      <c r="A173" t="inlineStr">
        <is>
          <t>redalert</t>
        </is>
      </c>
      <c r="B173" t="inlineStr">
        <is>
          <t>japan_promotion_unlockshogunexecutioner</t>
        </is>
      </c>
      <c r="C173" t="inlineStr">
        <is>
          <t>Unlock Shogun Executioner</t>
        </is>
      </c>
      <c r="D173" t="inlineStr"/>
      <c r="E173" s="5" t="n"/>
      <c r="F173" s="5" t="n"/>
      <c r="H173" s="5" t="n">
        <v>1</v>
      </c>
      <c r="I173" s="5" t="n">
        <v>1</v>
      </c>
      <c r="J173" s="5" t="n">
        <v>1</v>
      </c>
      <c r="W173" s="5" t="n"/>
    </row>
    <row r="174">
      <c r="A174" t="inlineStr">
        <is>
          <t>redalert</t>
        </is>
      </c>
      <c r="B174" t="inlineStr">
        <is>
          <t>japan_promotion_unlockshrinetank</t>
        </is>
      </c>
      <c r="C174" t="inlineStr">
        <is>
          <t>Unlock Shrine Tank</t>
        </is>
      </c>
      <c r="D174" t="inlineStr"/>
      <c r="E174" s="5" t="n"/>
      <c r="F174" s="5" t="n"/>
      <c r="H174" s="5" t="n">
        <v>1</v>
      </c>
      <c r="I174" s="5" t="n">
        <v>1</v>
      </c>
      <c r="J174" s="5" t="n">
        <v>1</v>
      </c>
      <c r="W174" s="5" t="n"/>
    </row>
    <row r="175">
      <c r="A175" t="inlineStr">
        <is>
          <t>redalert</t>
        </is>
      </c>
      <c r="B175" t="inlineStr">
        <is>
          <t>japan_promotion_unlockwaveforceartillery</t>
        </is>
      </c>
      <c r="C175" t="inlineStr">
        <is>
          <t>Unlock Waveforce Artillery</t>
        </is>
      </c>
      <c r="D175" t="inlineStr"/>
      <c r="E175" s="5" t="n"/>
      <c r="F175" s="5" t="n"/>
      <c r="H175" s="5" t="n">
        <v>1</v>
      </c>
      <c r="I175" s="5" t="n">
        <v>1</v>
      </c>
      <c r="J175" s="5" t="n">
        <v>1</v>
      </c>
      <c r="W175" s="5" t="n"/>
    </row>
    <row r="176">
      <c r="A176" t="inlineStr">
        <is>
          <t>redalert</t>
        </is>
      </c>
      <c r="B176" t="inlineStr">
        <is>
          <t>japan_promotion_unlockwaveforcetank</t>
        </is>
      </c>
      <c r="C176" t="inlineStr">
        <is>
          <t>Unlock Waveforce Tank</t>
        </is>
      </c>
      <c r="D176" t="inlineStr"/>
      <c r="E176" s="5" t="n"/>
      <c r="F176" s="5" t="n"/>
      <c r="H176" s="5" t="n">
        <v>1</v>
      </c>
      <c r="I176" s="5" t="n">
        <v>1</v>
      </c>
      <c r="J176" s="5" t="n">
        <v>1</v>
      </c>
      <c r="W176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177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29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redalert</t>
        </is>
      </c>
      <c r="B3" t="inlineStr">
        <is>
          <t>ra1_soviets_ak47conscript</t>
        </is>
      </c>
      <c r="C3" t="inlineStr">
        <is>
          <t>AK-47 Conscript</t>
        </is>
      </c>
      <c r="D3" t="inlineStr"/>
      <c r="E3" s="5" t="n">
        <v>44000</v>
      </c>
      <c r="F3" s="5" t="n">
        <v>71</v>
      </c>
      <c r="G3" t="inlineStr">
        <is>
          <t>None</t>
        </is>
      </c>
      <c r="H3" s="5" t="n">
        <v>1</v>
      </c>
      <c r="I3" s="5" t="n">
        <v>0.5</v>
      </c>
      <c r="J3" s="5" t="n">
        <v>1</v>
      </c>
      <c r="O3">
        <f>MAX(O4)</f>
        <v/>
      </c>
      <c r="R3">
        <f>R4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200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ra1_soviets_ak47conscript_rifle</t>
        </is>
      </c>
      <c r="C4" s="6" t="inlineStr">
        <is>
          <t>Armament</t>
        </is>
      </c>
      <c r="K4" s="5" t="n">
        <v>2000</v>
      </c>
      <c r="L4" s="5" t="n">
        <v>11</v>
      </c>
      <c r="M4" s="5" t="n">
        <v>3</v>
      </c>
      <c r="N4" s="5" t="n">
        <v>2</v>
      </c>
      <c r="O4" s="5" t="n">
        <v>4500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^SmallArms, ^Chaingun</t>
        </is>
      </c>
    </row>
    <row r="5">
      <c r="B5" s="6" t="inlineStr">
        <is>
          <t xml:space="preserve">  ↳ ra1_soviets_ak47conscript_rifle</t>
        </is>
      </c>
      <c r="C5" s="6" t="inlineStr">
        <is>
          <t>Armament@GARRISONED</t>
        </is>
      </c>
      <c r="K5" s="5" t="n">
        <v>2000</v>
      </c>
      <c r="L5" s="5" t="n">
        <v>11</v>
      </c>
      <c r="M5" s="5" t="n">
        <v>3</v>
      </c>
      <c r="N5" s="5" t="n">
        <v>2</v>
      </c>
      <c r="O5" s="5" t="n">
        <v>4500</v>
      </c>
      <c r="P5" s="5" t="n">
        <v>1</v>
      </c>
      <c r="Q5">
        <f>L5+IF(M5&gt;1,N(N5)*(M5-1),0)</f>
        <v/>
      </c>
      <c r="R5">
        <f>IFERROR(K5*MAX(M5,1)/Q5*P5,0)</f>
        <v/>
      </c>
      <c r="AA5" s="6" t="inlineStr">
        <is>
          <t>^SmallArms, ^Chaingun</t>
        </is>
      </c>
    </row>
    <row r="6">
      <c r="A6" t="inlineStr">
        <is>
          <t>redalert</t>
        </is>
      </c>
      <c r="B6" t="inlineStr">
        <is>
          <t>ra1_soviets_attackdog</t>
        </is>
      </c>
      <c r="C6" t="inlineStr">
        <is>
          <t>actor_dog.name</t>
        </is>
      </c>
      <c r="D6" t="inlineStr"/>
      <c r="E6" s="5" t="n">
        <v>5000</v>
      </c>
      <c r="F6" s="5" t="n">
        <v>100</v>
      </c>
      <c r="G6" t="inlineStr">
        <is>
          <t>None</t>
        </is>
      </c>
      <c r="H6" s="5" t="n">
        <v>1</v>
      </c>
      <c r="I6" s="5" t="n">
        <v>1</v>
      </c>
      <c r="J6" s="5" t="n">
        <v>1</v>
      </c>
      <c r="O6">
        <f>MAX(O7)</f>
        <v/>
      </c>
      <c r="R6">
        <f>R7</f>
        <v/>
      </c>
      <c r="S6">
        <f>(E6/100000+F6/100+(O6/1000)*J6/5+R6/200)*200*I6*H6</f>
        <v/>
      </c>
      <c r="T6">
        <f>((E6*F6/25000)+((O6/1000)*J6*R6/2.5))*I6*H6</f>
        <v/>
      </c>
      <c r="U6">
        <f>(E6*F6*(O6/1000)*J6*R6*I6*H6)/12500000</f>
        <v/>
      </c>
      <c r="V6">
        <f>(S6+T6+U6)/3</f>
        <v/>
      </c>
      <c r="W6" s="5" t="n">
        <v>200</v>
      </c>
      <c r="X6">
        <f>IFERROR(V6-W6,"")</f>
        <v/>
      </c>
      <c r="Y6">
        <f>IFERROR(ABS(X6)/MAX(W6,1),"")</f>
        <v/>
      </c>
      <c r="Z6">
        <f>IFERROR((W6-(((E6/100000+F6/100+R6/200)*200*I6*H6)+((E6*F6/25000)*I6*H6))/3)/(((J6/5)*200*I6*H6)+((J6*R6/2.5)*I6*H6)+((E6*F6*J6*R6*I6*H6)/12500000))/3*1000,"")</f>
        <v/>
      </c>
    </row>
    <row r="7">
      <c r="B7" s="6" t="inlineStr">
        <is>
          <t xml:space="preserve">  ↳ DogJaw</t>
        </is>
      </c>
      <c r="C7" s="6" t="inlineStr">
        <is>
          <t>Armament</t>
        </is>
      </c>
      <c r="K7" s="5" t="n">
        <v>100000</v>
      </c>
      <c r="L7" s="5" t="n">
        <v>10</v>
      </c>
      <c r="M7" s="5" t="n">
        <v>1</v>
      </c>
      <c r="N7" s="5" t="n"/>
      <c r="O7" s="5" t="n">
        <v>2000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/>
    </row>
    <row r="8">
      <c r="A8" t="inlineStr">
        <is>
          <t>redalert</t>
        </is>
      </c>
      <c r="B8" t="inlineStr">
        <is>
          <t>ra1_soviets_commissar</t>
        </is>
      </c>
      <c r="C8" t="inlineStr">
        <is>
          <t>Commissar</t>
        </is>
      </c>
      <c r="D8" t="inlineStr"/>
      <c r="E8" s="5" t="n">
        <v>30000</v>
      </c>
      <c r="F8" s="5" t="n">
        <v>70</v>
      </c>
      <c r="G8" t="inlineStr">
        <is>
          <t>Flak</t>
        </is>
      </c>
      <c r="H8" s="5" t="n">
        <v>1</v>
      </c>
      <c r="I8" s="5" t="n">
        <v>1</v>
      </c>
      <c r="J8" s="5" t="n">
        <v>1</v>
      </c>
      <c r="O8">
        <f>MAX(O9)</f>
        <v/>
      </c>
      <c r="R8">
        <f>R9</f>
        <v/>
      </c>
      <c r="S8">
        <f>(E8/100000+F8/100+(O8/1000)*J8/5+R8/200)*200*I8*H8</f>
        <v/>
      </c>
      <c r="T8">
        <f>((E8*F8/25000)+((O8/1000)*J8*R8/2.5))*I8*H8</f>
        <v/>
      </c>
      <c r="U8">
        <f>(E8*F8*(O8/1000)*J8*R8*I8*H8)/12500000</f>
        <v/>
      </c>
      <c r="V8">
        <f>(S8+T8+U8)/3</f>
        <v/>
      </c>
      <c r="W8" s="5" t="n">
        <v>700</v>
      </c>
      <c r="X8">
        <f>IFERROR(V8-W8,"")</f>
        <v/>
      </c>
      <c r="Y8">
        <f>IFERROR(ABS(X8)/MAX(W8,1),"")</f>
        <v/>
      </c>
      <c r="Z8">
        <f>IFERROR((W8-(((E8/100000+F8/100+R8/200)*200*I8*H8)+((E8*F8/25000)*I8*H8))/3)/(((J8/5)*200*I8*H8)+((J8*R8/2.5)*I8*H8)+((E8*F8*J8*R8*I8*H8)/12500000))/3*1000,"")</f>
        <v/>
      </c>
    </row>
    <row r="9">
      <c r="B9" s="6" t="inlineStr">
        <is>
          <t xml:space="preserve">  ↳ CommissarPistol</t>
        </is>
      </c>
      <c r="C9" s="6" t="inlineStr">
        <is>
          <t>Armament@PRIMARY</t>
        </is>
      </c>
      <c r="K9" s="5" t="n">
        <v>10000</v>
      </c>
      <c r="L9" s="5" t="n">
        <v>20</v>
      </c>
      <c r="M9" s="5" t="n">
        <v>1</v>
      </c>
      <c r="N9" s="5" t="n"/>
      <c r="O9" s="5" t="n">
        <v>6770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>
        <is>
          <t>^SniperWeapon</t>
        </is>
      </c>
    </row>
    <row r="10">
      <c r="B10" s="6" t="inlineStr">
        <is>
          <t xml:space="preserve">  ↳ CommissarPistol</t>
        </is>
      </c>
      <c r="C10" s="6" t="inlineStr">
        <is>
          <t>Armament@GARRISONED</t>
        </is>
      </c>
      <c r="K10" s="5" t="n">
        <v>10000</v>
      </c>
      <c r="L10" s="5" t="n">
        <v>20</v>
      </c>
      <c r="M10" s="5" t="n">
        <v>1</v>
      </c>
      <c r="N10" s="5" t="n"/>
      <c r="O10" s="5" t="n">
        <v>6770</v>
      </c>
      <c r="P10" s="5" t="n">
        <v>1</v>
      </c>
      <c r="Q10">
        <f>L10+IF(M10&gt;1,N(N10)*(M10-1),0)</f>
        <v/>
      </c>
      <c r="R10">
        <f>IFERROR(K10*MAX(M10,1)/Q10*P10,0)</f>
        <v/>
      </c>
      <c r="AA10" s="6" t="inlineStr">
        <is>
          <t>^SniperWeapon</t>
        </is>
      </c>
    </row>
    <row r="11">
      <c r="A11" t="inlineStr">
        <is>
          <t>redalert</t>
        </is>
      </c>
      <c r="B11" t="inlineStr">
        <is>
          <t>ra1_soviets_cyberdog</t>
        </is>
      </c>
      <c r="C11" t="inlineStr">
        <is>
          <t>Cyberdog</t>
        </is>
      </c>
      <c r="D11" t="inlineStr"/>
      <c r="E11" s="5" t="n">
        <v>50000</v>
      </c>
      <c r="F11" s="5" t="n">
        <v>100</v>
      </c>
      <c r="G11" t="inlineStr">
        <is>
          <t>Plate</t>
        </is>
      </c>
      <c r="H11" s="5" t="n">
        <v>1</v>
      </c>
      <c r="I11" s="5" t="n">
        <v>1</v>
      </c>
      <c r="J11" s="5" t="n">
        <v>1</v>
      </c>
      <c r="O11">
        <f>MAX(O12)</f>
        <v/>
      </c>
      <c r="R11">
        <f>R12</f>
        <v/>
      </c>
      <c r="S11">
        <f>(E11/100000+F11/100+(O11/1000)*J11/5+R11/200)*200*I11*H11</f>
        <v/>
      </c>
      <c r="T11">
        <f>((E11*F11/25000)+((O11/1000)*J11*R11/2.5))*I11*H11</f>
        <v/>
      </c>
      <c r="U11">
        <f>(E11*F11*(O11/1000)*J11*R11*I11*H11)/12500000</f>
        <v/>
      </c>
      <c r="V11">
        <f>(S11+T11+U11)/3</f>
        <v/>
      </c>
      <c r="W11" s="5" t="n">
        <v>1000</v>
      </c>
      <c r="X11">
        <f>IFERROR(V11-W11,"")</f>
        <v/>
      </c>
      <c r="Y11">
        <f>IFERROR(ABS(X11)/MAX(W11,1),"")</f>
        <v/>
      </c>
      <c r="Z11">
        <f>IFERROR((W11-(((E11/100000+F11/100+R11/200)*200*I11*H11)+((E11*F11/25000)*I11*H11))/3)/(((J11/5)*200*I11*H11)+((J11*R11/2.5)*I11*H11)+((E11*F11*J11*R11*I11*H11)/12500000))/3*1000,"")</f>
        <v/>
      </c>
    </row>
    <row r="12">
      <c r="B12" s="6" t="inlineStr">
        <is>
          <t xml:space="preserve">  ↳ CyberneticDogJaw</t>
        </is>
      </c>
      <c r="C12" s="6" t="inlineStr">
        <is>
          <t>Armament</t>
        </is>
      </c>
      <c r="K12" s="5" t="n">
        <v>100000</v>
      </c>
      <c r="L12" s="5" t="n">
        <v>10</v>
      </c>
      <c r="M12" s="5" t="n">
        <v>1</v>
      </c>
      <c r="N12" s="5" t="n"/>
      <c r="O12" s="5" t="n">
        <v>2500</v>
      </c>
      <c r="P12" s="5" t="n">
        <v>1</v>
      </c>
      <c r="Q12">
        <f>L12+IF(M12&gt;1,N(N12)*(M12-1),0)</f>
        <v/>
      </c>
      <c r="R12">
        <f>IFERROR(K12*MAX(M12,1)/Q12*P12,0)</f>
        <v/>
      </c>
      <c r="AA12" s="6" t="inlineStr"/>
    </row>
    <row r="13">
      <c r="A13" t="inlineStr">
        <is>
          <t>redalert</t>
        </is>
      </c>
      <c r="B13" t="inlineStr">
        <is>
          <t>ra1_soviets_dragunovantimaterialsniper</t>
        </is>
      </c>
      <c r="C13" t="inlineStr">
        <is>
          <t>Dragunov Anti Material Sniper</t>
        </is>
      </c>
      <c r="D13" t="inlineStr"/>
      <c r="E13" s="5" t="n">
        <v>20000</v>
      </c>
      <c r="F13" s="5" t="n">
        <v>40</v>
      </c>
      <c r="G13" t="inlineStr">
        <is>
          <t>Flak</t>
        </is>
      </c>
      <c r="H13" s="5" t="n">
        <v>1</v>
      </c>
      <c r="I13" s="5" t="n">
        <v>1</v>
      </c>
      <c r="J13" s="5" t="n">
        <v>1</v>
      </c>
      <c r="O13">
        <f>MAX(O14)</f>
        <v/>
      </c>
      <c r="R13">
        <f>R14</f>
        <v/>
      </c>
      <c r="S13">
        <f>(E13/100000+F13/100+(O13/1000)*J13/5+R13/200)*200*I13*H13</f>
        <v/>
      </c>
      <c r="T13">
        <f>((E13*F13/25000)+((O13/1000)*J13*R13/2.5))*I13*H13</f>
        <v/>
      </c>
      <c r="U13">
        <f>(E13*F13*(O13/1000)*J13*R13*I13*H13)/12500000</f>
        <v/>
      </c>
      <c r="V13">
        <f>(S13+T13+U13)/3</f>
        <v/>
      </c>
      <c r="W13" s="5" t="n">
        <v>400</v>
      </c>
      <c r="X13">
        <f>IFERROR(V13-W13,"")</f>
        <v/>
      </c>
      <c r="Y13">
        <f>IFERROR(ABS(X13)/MAX(W13,1),"")</f>
        <v/>
      </c>
      <c r="Z13">
        <f>IFERROR((W13-(((E13/100000+F13/100+R13/200)*200*I13*H13)+((E13*F13/25000)*I13*H13))/3)/(((J13/5)*200*I13*H13)+((J13*R13/2.5)*I13*H13)+((E13*F13*J13*R13*I13*H13)/12500000))/3*1000,"")</f>
        <v/>
      </c>
    </row>
    <row r="14">
      <c r="B14" s="6" t="inlineStr">
        <is>
          <t xml:space="preserve">  ↳ DragunovSniper</t>
        </is>
      </c>
      <c r="C14" s="6" t="inlineStr">
        <is>
          <t>Armament</t>
        </is>
      </c>
      <c r="K14" s="5" t="n">
        <v>8000</v>
      </c>
      <c r="L14" s="5" t="n">
        <v>85</v>
      </c>
      <c r="M14" s="5" t="n">
        <v>1</v>
      </c>
      <c r="N14" s="5" t="n"/>
      <c r="O14" s="5" t="n">
        <v>6880</v>
      </c>
      <c r="P14" s="5" t="n">
        <v>1</v>
      </c>
      <c r="Q14">
        <f>L14+IF(M14&gt;1,N(N14)*(M14-1),0)</f>
        <v/>
      </c>
      <c r="R14">
        <f>IFERROR(K14*MAX(M14,1)/Q14*P14,0)</f>
        <v/>
      </c>
      <c r="AA14" s="6" t="inlineStr">
        <is>
          <t>^TankDestroyerCannon, ^RailgunWeapon, ^LightMissile, ^HeavyCannon, ^FlakWeapon</t>
        </is>
      </c>
    </row>
    <row r="15">
      <c r="B15" s="6" t="inlineStr">
        <is>
          <t xml:space="preserve">  ↳ DragunovSniper</t>
        </is>
      </c>
      <c r="C15" s="6" t="inlineStr">
        <is>
          <t>Armament@GARRISONED</t>
        </is>
      </c>
      <c r="K15" s="5" t="n">
        <v>8000</v>
      </c>
      <c r="L15" s="5" t="n">
        <v>85</v>
      </c>
      <c r="M15" s="5" t="n">
        <v>1</v>
      </c>
      <c r="N15" s="5" t="n"/>
      <c r="O15" s="5" t="n">
        <v>6880</v>
      </c>
      <c r="P15" s="5" t="n">
        <v>1</v>
      </c>
      <c r="Q15">
        <f>L15+IF(M15&gt;1,N(N15)*(M15-1),0)</f>
        <v/>
      </c>
      <c r="R15">
        <f>IFERROR(K15*MAX(M15,1)/Q15*P15,0)</f>
        <v/>
      </c>
      <c r="AA15" s="6" t="inlineStr">
        <is>
          <t>^TankDestroyerCannon, ^RailgunWeapon, ^LightMissile, ^HeavyCannon, ^FlakWeapon</t>
        </is>
      </c>
    </row>
    <row r="16">
      <c r="A16" t="inlineStr">
        <is>
          <t>redalert</t>
        </is>
      </c>
      <c r="B16" t="inlineStr">
        <is>
          <t>ra1_soviets_firerocketsoldier</t>
        </is>
      </c>
      <c r="C16" t="inlineStr">
        <is>
          <t>Fire Rocket Soldier</t>
        </is>
      </c>
      <c r="D16" t="inlineStr"/>
      <c r="E16" s="5" t="n">
        <v>16000</v>
      </c>
      <c r="F16" s="5" t="n">
        <v>48</v>
      </c>
      <c r="G16" t="inlineStr">
        <is>
          <t>Flak</t>
        </is>
      </c>
      <c r="H16" s="5" t="n">
        <v>1</v>
      </c>
      <c r="I16" s="5" t="n">
        <v>0.5</v>
      </c>
      <c r="J16" s="5" t="n">
        <v>1</v>
      </c>
      <c r="O16">
        <f>MAX(O17,O19)</f>
        <v/>
      </c>
      <c r="R16">
        <f>R17+R19</f>
        <v/>
      </c>
      <c r="S16">
        <f>(E16/100000+F16/100+(O16/1000)*J16/5+R16/200)*200*I16*H16</f>
        <v/>
      </c>
      <c r="T16">
        <f>((E16*F16/25000)+((O16/1000)*J16*R16/2.5))*I16*H16</f>
        <v/>
      </c>
      <c r="U16">
        <f>(E16*F16*(O16/1000)*J16*R16*I16*H16)/12500000</f>
        <v/>
      </c>
      <c r="V16">
        <f>(S16+T16+U16)/3</f>
        <v/>
      </c>
      <c r="W16" s="5" t="n">
        <v>400</v>
      </c>
      <c r="X16">
        <f>IFERROR(V16-W16,"")</f>
        <v/>
      </c>
      <c r="Y16">
        <f>IFERROR(ABS(X16)/MAX(W16,1),"")</f>
        <v/>
      </c>
      <c r="Z16">
        <f>IFERROR((W16-(((E16/100000+F16/100+R16/200)*200*I16*H16)+((E16*F16/25000)*I16*H16))/3)/(((J16/5)*200*I16*H16)+((J16*R16/2.5)*I16*H16)+((E16*F16*J16*R16*I16*H16)/12500000))/3*1000,"")</f>
        <v/>
      </c>
    </row>
    <row r="17">
      <c r="B17" s="6" t="inlineStr">
        <is>
          <t xml:space="preserve">  ↳ FireRockets</t>
        </is>
      </c>
      <c r="C17" s="6" t="inlineStr">
        <is>
          <t>Armament@PRIMARY</t>
        </is>
      </c>
      <c r="K17" s="5" t="n">
        <v>8000</v>
      </c>
      <c r="L17" s="5" t="n">
        <v>53</v>
      </c>
      <c r="M17" s="5" t="n">
        <v>1</v>
      </c>
      <c r="N17" s="5" t="n"/>
      <c r="O17" s="5" t="n">
        <v>6036</v>
      </c>
      <c r="P17" s="5" t="n">
        <v>1</v>
      </c>
      <c r="Q17">
        <f>L17+IF(M17&gt;1,N(N17)*(M17-1),0)</f>
        <v/>
      </c>
      <c r="R17">
        <f>IFERROR(K17*MAX(M17,1)/Q17*P17,0)</f>
        <v/>
      </c>
      <c r="AA17" s="6" t="inlineStr">
        <is>
          <t>^FlakWeapon, ^MediumMissile, ^LightFlameWeapon, ^LightMissile</t>
        </is>
      </c>
    </row>
    <row r="18">
      <c r="B18" s="6" t="inlineStr">
        <is>
          <t xml:space="preserve">  ↳ FireRockets</t>
        </is>
      </c>
      <c r="C18" s="6" t="inlineStr">
        <is>
          <t>Armament@GARRISONED</t>
        </is>
      </c>
      <c r="K18" s="5" t="n">
        <v>8000</v>
      </c>
      <c r="L18" s="5" t="n">
        <v>53</v>
      </c>
      <c r="M18" s="5" t="n">
        <v>1</v>
      </c>
      <c r="N18" s="5" t="n"/>
      <c r="O18" s="5" t="n">
        <v>6036</v>
      </c>
      <c r="P18" s="5" t="n">
        <v>1</v>
      </c>
      <c r="Q18">
        <f>L18+IF(M18&gt;1,N(N18)*(M18-1),0)</f>
        <v/>
      </c>
      <c r="R18">
        <f>IFERROR(K18*MAX(M18,1)/Q18*P18,0)</f>
        <v/>
      </c>
      <c r="AA18" s="6" t="inlineStr">
        <is>
          <t>^FlakWeapon, ^MediumMissile, ^LightFlameWeapon, ^LightMissile</t>
        </is>
      </c>
    </row>
    <row r="19">
      <c r="B19" s="6" t="inlineStr">
        <is>
          <t xml:space="preserve">  ↳ FireRocketsThermobaric</t>
        </is>
      </c>
      <c r="C19" s="6" t="inlineStr">
        <is>
          <t>Armament@Upgrade</t>
        </is>
      </c>
      <c r="K19" s="5" t="n">
        <v>4000</v>
      </c>
      <c r="L19" s="5" t="n">
        <v>58</v>
      </c>
      <c r="M19" s="5" t="n">
        <v>1</v>
      </c>
      <c r="N19" s="5" t="n"/>
      <c r="O19" s="5" t="n">
        <v>6692</v>
      </c>
      <c r="P19" s="5" t="n">
        <v>1</v>
      </c>
      <c r="Q19">
        <f>L19+IF(M19&gt;1,N(N19)*(M19-1),0)</f>
        <v/>
      </c>
      <c r="R19">
        <f>IFERROR(K19*MAX(M19,1)/Q19*P19,0)</f>
        <v/>
      </c>
      <c r="AA19" s="6" t="inlineStr">
        <is>
          <t>^HeavyFlameWeapon, ^HeavyMissile, ^MediumFlameWeapon, ^ShrapnelWeapon, ^FlakWeapon, ^MediumMissile, ^LightFlameWeapon, ^LightMissile</t>
        </is>
      </c>
    </row>
    <row r="20">
      <c r="B20" s="6" t="inlineStr">
        <is>
          <t xml:space="preserve">  ↳ FireRocketsThermobaric</t>
        </is>
      </c>
      <c r="C20" s="6" t="inlineStr">
        <is>
          <t>Armament@UpgradeGARRISONED</t>
        </is>
      </c>
      <c r="K20" s="5" t="n">
        <v>4000</v>
      </c>
      <c r="L20" s="5" t="n">
        <v>58</v>
      </c>
      <c r="M20" s="5" t="n">
        <v>1</v>
      </c>
      <c r="N20" s="5" t="n"/>
      <c r="O20" s="5" t="n">
        <v>6692</v>
      </c>
      <c r="P20" s="5" t="n">
        <v>1</v>
      </c>
      <c r="Q20">
        <f>L20+IF(M20&gt;1,N(N20)*(M20-1),0)</f>
        <v/>
      </c>
      <c r="R20">
        <f>IFERROR(K20*MAX(M20,1)/Q20*P20,0)</f>
        <v/>
      </c>
      <c r="AA20" s="6" t="inlineStr">
        <is>
          <t>^HeavyFlameWeapon, ^HeavyMissile, ^MediumFlameWeapon, ^ShrapnelWeapon, ^FlakWeapon, ^MediumMissile, ^LightFlameWeapon, ^LightMissile</t>
        </is>
      </c>
    </row>
    <row r="21">
      <c r="A21" t="inlineStr">
        <is>
          <t>redalert</t>
        </is>
      </c>
      <c r="B21" t="inlineStr">
        <is>
          <t>ra1_soviets_flamethrower</t>
        </is>
      </c>
      <c r="C21" t="inlineStr">
        <is>
          <t>Soviet Flamethrower</t>
        </is>
      </c>
      <c r="D21" t="inlineStr"/>
      <c r="E21" s="5" t="n">
        <v>16000</v>
      </c>
      <c r="F21" s="5" t="n">
        <v>56</v>
      </c>
      <c r="G21" t="inlineStr">
        <is>
          <t>Plate</t>
        </is>
      </c>
      <c r="H21" s="5" t="n">
        <v>1</v>
      </c>
      <c r="I21" s="5" t="n">
        <v>0.4</v>
      </c>
      <c r="J21" s="5" t="n">
        <v>1</v>
      </c>
      <c r="O21">
        <f>MAX(O22,O24)</f>
        <v/>
      </c>
      <c r="R21">
        <f>R22+R24</f>
        <v/>
      </c>
      <c r="S21">
        <f>(E21/100000+F21/100+(O21/1000)*J21/5+R21/200)*200*I21*H21</f>
        <v/>
      </c>
      <c r="T21">
        <f>((E21*F21/25000)+((O21/1000)*J21*R21/2.5))*I21*H21</f>
        <v/>
      </c>
      <c r="U21">
        <f>(E21*F21*(O21/1000)*J21*R21*I21*H21)/12500000</f>
        <v/>
      </c>
      <c r="V21">
        <f>(S21+T21+U21)/3</f>
        <v/>
      </c>
      <c r="W21" s="5" t="n">
        <v>200</v>
      </c>
      <c r="X21">
        <f>IFERROR(V21-W21,"")</f>
        <v/>
      </c>
      <c r="Y21">
        <f>IFERROR(ABS(X21)/MAX(W21,1),"")</f>
        <v/>
      </c>
      <c r="Z21">
        <f>IFERROR((W21-(((E21/100000+F21/100+R21/200)*200*I21*H21)+((E21*F21/25000)*I21*H21))/3)/(((J21/5)*200*I21*H21)+((J21*R21/2.5)*I21*H21)+((E21*F21*J21*R21*I21*H21)/12500000))/3*1000,"")</f>
        <v/>
      </c>
    </row>
    <row r="22">
      <c r="B22" s="6" t="inlineStr">
        <is>
          <t xml:space="preserve">  ↳ FireballGun</t>
        </is>
      </c>
      <c r="C22" s="6" t="inlineStr">
        <is>
          <t>Armament</t>
        </is>
      </c>
      <c r="K22" s="5" t="n">
        <v>8000</v>
      </c>
      <c r="L22" s="5" t="n">
        <v>24</v>
      </c>
      <c r="M22" s="5" t="n">
        <v>1</v>
      </c>
      <c r="N22" s="5" t="n"/>
      <c r="O22" s="5" t="n">
        <v>5004</v>
      </c>
      <c r="P22" s="5" t="n">
        <v>1</v>
      </c>
      <c r="Q22">
        <f>L22+IF(M22&gt;1,N(N22)*(M22-1),0)</f>
        <v/>
      </c>
      <c r="R22">
        <f>IFERROR(K22*MAX(M22,1)/Q22*P22,0)</f>
        <v/>
      </c>
      <c r="AA22" s="6" t="inlineStr">
        <is>
          <t>^MediumFlameWeapon</t>
        </is>
      </c>
    </row>
    <row r="23">
      <c r="B23" s="6" t="inlineStr">
        <is>
          <t xml:space="preserve">  ↳ FireballGun</t>
        </is>
      </c>
      <c r="C23" s="6" t="inlineStr">
        <is>
          <t>Armament@GARRISONED</t>
        </is>
      </c>
      <c r="K23" s="5" t="n">
        <v>8000</v>
      </c>
      <c r="L23" s="5" t="n">
        <v>24</v>
      </c>
      <c r="M23" s="5" t="n">
        <v>1</v>
      </c>
      <c r="N23" s="5" t="n"/>
      <c r="O23" s="5" t="n">
        <v>5004</v>
      </c>
      <c r="P23" s="5" t="n">
        <v>1</v>
      </c>
      <c r="Q23">
        <f>L23+IF(M23&gt;1,N(N23)*(M23-1),0)</f>
        <v/>
      </c>
      <c r="R23">
        <f>IFERROR(K23*MAX(M23,1)/Q23*P23,0)</f>
        <v/>
      </c>
      <c r="AA23" s="6" t="inlineStr">
        <is>
          <t>^MediumFlameWeapon</t>
        </is>
      </c>
    </row>
    <row r="24">
      <c r="B24" s="6" t="inlineStr">
        <is>
          <t xml:space="preserve">  ↳ FireballGunThermobaric</t>
        </is>
      </c>
      <c r="C24" s="6" t="inlineStr">
        <is>
          <t>Armament@Upgrade</t>
        </is>
      </c>
      <c r="K24" s="5" t="n">
        <v>4000</v>
      </c>
      <c r="L24" s="5" t="n">
        <v>24</v>
      </c>
      <c r="M24" s="5" t="n">
        <v>1</v>
      </c>
      <c r="N24" s="5" t="n"/>
      <c r="O24" s="5" t="n">
        <v>5004</v>
      </c>
      <c r="P24" s="5" t="n">
        <v>1</v>
      </c>
      <c r="Q24">
        <f>L24+IF(M24&gt;1,N(N24)*(M24-1),0)</f>
        <v/>
      </c>
      <c r="R24">
        <f>IFERROR(K24*MAX(M24,1)/Q24*P24,0)</f>
        <v/>
      </c>
      <c r="AA24" s="6" t="inlineStr">
        <is>
          <t>^HeavyFlameWeapon, ^MediumFlameWeapon</t>
        </is>
      </c>
    </row>
    <row r="25">
      <c r="B25" s="6" t="inlineStr">
        <is>
          <t xml:space="preserve">  ↳ FireballGunThermobaric</t>
        </is>
      </c>
      <c r="C25" s="6" t="inlineStr">
        <is>
          <t>Armament@UpgradeGARRISONED</t>
        </is>
      </c>
      <c r="K25" s="5" t="n">
        <v>4000</v>
      </c>
      <c r="L25" s="5" t="n">
        <v>24</v>
      </c>
      <c r="M25" s="5" t="n">
        <v>1</v>
      </c>
      <c r="N25" s="5" t="n"/>
      <c r="O25" s="5" t="n">
        <v>5004</v>
      </c>
      <c r="P25" s="5" t="n">
        <v>1</v>
      </c>
      <c r="Q25">
        <f>L25+IF(M25&gt;1,N(N25)*(M25-1),0)</f>
        <v/>
      </c>
      <c r="R25">
        <f>IFERROR(K25*MAX(M25,1)/Q25*P25,0)</f>
        <v/>
      </c>
      <c r="AA25" s="6" t="inlineStr">
        <is>
          <t>^HeavyFlameWeapon, ^MediumFlameWeapon</t>
        </is>
      </c>
    </row>
    <row r="26">
      <c r="A26" t="inlineStr">
        <is>
          <t>redalert</t>
        </is>
      </c>
      <c r="B26" t="inlineStr">
        <is>
          <t>ra1_soviets_grenadier</t>
        </is>
      </c>
      <c r="C26" t="inlineStr">
        <is>
          <t>Soviet Grenadier</t>
        </is>
      </c>
      <c r="D26" t="inlineStr"/>
      <c r="E26" s="5" t="n">
        <v>8000</v>
      </c>
      <c r="F26" s="5" t="n">
        <v>75</v>
      </c>
      <c r="G26" t="inlineStr">
        <is>
          <t>None</t>
        </is>
      </c>
      <c r="H26" s="5" t="n">
        <v>1</v>
      </c>
      <c r="I26" s="5" t="n">
        <v>0.4</v>
      </c>
      <c r="J26" s="5" t="n">
        <v>1</v>
      </c>
      <c r="O26">
        <f>MAX(O27,O29)</f>
        <v/>
      </c>
      <c r="R26">
        <f>R27+R29</f>
        <v/>
      </c>
      <c r="S26">
        <f>(E26/100000+F26/100+(O26/1000)*J26/5+R26/200)*200*I26*H26</f>
        <v/>
      </c>
      <c r="T26">
        <f>((E26*F26/25000)+((O26/1000)*J26*R26/2.5))*I26*H26</f>
        <v/>
      </c>
      <c r="U26">
        <f>(E26*F26*(O26/1000)*J26*R26*I26*H26)/12500000</f>
        <v/>
      </c>
      <c r="V26">
        <f>(S26+T26+U26)/3</f>
        <v/>
      </c>
      <c r="W26" s="5" t="n">
        <v>200</v>
      </c>
      <c r="X26">
        <f>IFERROR(V26-W26,"")</f>
        <v/>
      </c>
      <c r="Y26">
        <f>IFERROR(ABS(X26)/MAX(W26,1),"")</f>
        <v/>
      </c>
      <c r="Z26">
        <f>IFERROR((W26-(((E26/100000+F26/100+R26/200)*200*I26*H26)+((E26*F26/25000)*I26*H26))/3)/(((J26/5)*200*I26*H26)+((J26*R26/2.5)*I26*H26)+((E26*F26*J26*R26*I26*H26)/12500000))/3*1000,"")</f>
        <v/>
      </c>
    </row>
    <row r="27">
      <c r="B27" s="6" t="inlineStr">
        <is>
          <t xml:space="preserve">  ↳ GrenadeRA</t>
        </is>
      </c>
      <c r="C27" s="6" t="inlineStr">
        <is>
          <t>Armament</t>
        </is>
      </c>
      <c r="K27" s="5" t="n">
        <v>8000</v>
      </c>
      <c r="L27" s="5" t="n">
        <v>40</v>
      </c>
      <c r="M27" s="5" t="n">
        <v>1</v>
      </c>
      <c r="N27" s="5" t="n"/>
      <c r="O27" s="5" t="n">
        <v>5791</v>
      </c>
      <c r="P27" s="5" t="n">
        <v>1</v>
      </c>
      <c r="Q27">
        <f>L27+IF(M27&gt;1,N(N27)*(M27-1),0)</f>
        <v/>
      </c>
      <c r="R27">
        <f>IFERROR(K27*MAX(M27,1)/Q27*P27,0)</f>
        <v/>
      </c>
      <c r="AA27" s="6" t="inlineStr">
        <is>
          <t>^Grenade, ^LightFlameWeapon</t>
        </is>
      </c>
    </row>
    <row r="28">
      <c r="B28" s="6" t="inlineStr">
        <is>
          <t xml:space="preserve">  ↳ GrenadeRA</t>
        </is>
      </c>
      <c r="C28" s="6" t="inlineStr">
        <is>
          <t>Armament@GARRISONED</t>
        </is>
      </c>
      <c r="K28" s="5" t="n">
        <v>8000</v>
      </c>
      <c r="L28" s="5" t="n">
        <v>40</v>
      </c>
      <c r="M28" s="5" t="n">
        <v>1</v>
      </c>
      <c r="N28" s="5" t="n"/>
      <c r="O28" s="5" t="n">
        <v>5791</v>
      </c>
      <c r="P28" s="5" t="n">
        <v>1</v>
      </c>
      <c r="Q28">
        <f>L28+IF(M28&gt;1,N(N28)*(M28-1),0)</f>
        <v/>
      </c>
      <c r="R28">
        <f>IFERROR(K28*MAX(M28,1)/Q28*P28,0)</f>
        <v/>
      </c>
      <c r="AA28" s="6" t="inlineStr">
        <is>
          <t>^Grenade, ^LightFlameWeapon</t>
        </is>
      </c>
    </row>
    <row r="29">
      <c r="B29" s="6" t="inlineStr">
        <is>
          <t xml:space="preserve">  ↳ GrenadeThermobaric</t>
        </is>
      </c>
      <c r="C29" s="6" t="inlineStr">
        <is>
          <t>Armament@Upgrade</t>
        </is>
      </c>
      <c r="K29" s="5" t="n">
        <v>4000</v>
      </c>
      <c r="L29" s="5" t="n">
        <v>40</v>
      </c>
      <c r="M29" s="5" t="n">
        <v>1</v>
      </c>
      <c r="N29" s="5" t="n"/>
      <c r="O29" s="5" t="n">
        <v>5791</v>
      </c>
      <c r="P29" s="5" t="n">
        <v>1</v>
      </c>
      <c r="Q29">
        <f>L29+IF(M29&gt;1,N(N29)*(M29-1),0)</f>
        <v/>
      </c>
      <c r="R29">
        <f>IFERROR(K29*MAX(M29,1)/Q29*P29,0)</f>
        <v/>
      </c>
      <c r="AA29" s="6" t="inlineStr">
        <is>
          <t>^ShrapnelWeapon, ^MediumFlameWeapon, ^Grenade, ^LightFlameWeapon</t>
        </is>
      </c>
    </row>
    <row r="30">
      <c r="B30" s="6" t="inlineStr">
        <is>
          <t xml:space="preserve">  ↳ GrenadeThermobaric</t>
        </is>
      </c>
      <c r="C30" s="6" t="inlineStr">
        <is>
          <t>Armament@UpgradeGARRISONED</t>
        </is>
      </c>
      <c r="K30" s="5" t="n">
        <v>4000</v>
      </c>
      <c r="L30" s="5" t="n">
        <v>40</v>
      </c>
      <c r="M30" s="5" t="n">
        <v>1</v>
      </c>
      <c r="N30" s="5" t="n"/>
      <c r="O30" s="5" t="n">
        <v>5791</v>
      </c>
      <c r="P30" s="5" t="n">
        <v>1</v>
      </c>
      <c r="Q30">
        <f>L30+IF(M30&gt;1,N(N30)*(M30-1),0)</f>
        <v/>
      </c>
      <c r="R30">
        <f>IFERROR(K30*MAX(M30,1)/Q30*P30,0)</f>
        <v/>
      </c>
      <c r="AA30" s="6" t="inlineStr">
        <is>
          <t>^ShrapnelWeapon, ^MediumFlameWeapon, ^Grenade, ^LightFlameWeapon</t>
        </is>
      </c>
    </row>
    <row r="31">
      <c r="A31" t="inlineStr">
        <is>
          <t>redalert</t>
        </is>
      </c>
      <c r="B31" t="inlineStr">
        <is>
          <t>ra1_soviets_mortarsoldier</t>
        </is>
      </c>
      <c r="C31" t="inlineStr">
        <is>
          <t>Soviet Mortar Soldier</t>
        </is>
      </c>
      <c r="D31" t="inlineStr"/>
      <c r="E31" s="5" t="n">
        <v>16000</v>
      </c>
      <c r="F31" s="5" t="n">
        <v>48</v>
      </c>
      <c r="G31" t="inlineStr">
        <is>
          <t>None</t>
        </is>
      </c>
      <c r="H31" s="5" t="n">
        <v>1</v>
      </c>
      <c r="I31" s="5" t="n">
        <v>0.6</v>
      </c>
      <c r="J31" s="5" t="n">
        <v>1</v>
      </c>
      <c r="O31">
        <f>MAX(O32,O34)</f>
        <v/>
      </c>
      <c r="R31">
        <f>R32+R34</f>
        <v/>
      </c>
      <c r="S31">
        <f>(E31/100000+F31/100+(O31/1000)*J31/5+R31/200)*200*I31*H31</f>
        <v/>
      </c>
      <c r="T31">
        <f>((E31*F31/25000)+((O31/1000)*J31*R31/2.5))*I31*H31</f>
        <v/>
      </c>
      <c r="U31">
        <f>(E31*F31*(O31/1000)*J31*R31*I31*H31)/12500000</f>
        <v/>
      </c>
      <c r="V31">
        <f>(S31+T31+U31)/3</f>
        <v/>
      </c>
      <c r="W31" s="5" t="n">
        <v>500</v>
      </c>
      <c r="X31">
        <f>IFERROR(V31-W31,"")</f>
        <v/>
      </c>
      <c r="Y31">
        <f>IFERROR(ABS(X31)/MAX(W31,1),"")</f>
        <v/>
      </c>
      <c r="Z31">
        <f>IFERROR((W31-(((E31/100000+F31/100+R31/200)*200*I31*H31)+((E31*F31/25000)*I31*H31))/3)/(((J31/5)*200*I31*H31)+((J31*R31/2.5)*I31*H31)+((E31*F31*J31*R31*I31*H31)/12500000))/3*1000,"")</f>
        <v/>
      </c>
    </row>
    <row r="32">
      <c r="B32" s="6" t="inlineStr">
        <is>
          <t xml:space="preserve">  ↳ SiegeMortar</t>
        </is>
      </c>
      <c r="C32" s="6" t="inlineStr">
        <is>
          <t>Armament@PRIMARY</t>
        </is>
      </c>
      <c r="K32" s="5" t="n">
        <v>8000</v>
      </c>
      <c r="L32" s="5" t="n">
        <v>88</v>
      </c>
      <c r="M32" s="5" t="n">
        <v>1</v>
      </c>
      <c r="N32" s="5" t="n"/>
      <c r="O32" s="5" t="n">
        <v>10830</v>
      </c>
      <c r="P32" s="5" t="n">
        <v>1</v>
      </c>
      <c r="Q32">
        <f>L32+IF(M32&gt;1,N(N32)*(M32-1),0)</f>
        <v/>
      </c>
      <c r="R32">
        <f>IFERROR(K32*MAX(M32,1)/Q32*P32,0)</f>
        <v/>
      </c>
      <c r="AA32" s="6" t="inlineStr">
        <is>
          <t>^ShrapnelWeapon, ^Grenade, ^MediumFlameWeapon, ^LightFlameWeapon</t>
        </is>
      </c>
    </row>
    <row r="33">
      <c r="B33" s="6" t="inlineStr">
        <is>
          <t xml:space="preserve">  ↳ SiegeMortar</t>
        </is>
      </c>
      <c r="C33" s="6" t="inlineStr">
        <is>
          <t>Armament@GARRISONED</t>
        </is>
      </c>
      <c r="K33" s="5" t="n">
        <v>8000</v>
      </c>
      <c r="L33" s="5" t="n">
        <v>88</v>
      </c>
      <c r="M33" s="5" t="n">
        <v>1</v>
      </c>
      <c r="N33" s="5" t="n"/>
      <c r="O33" s="5" t="n">
        <v>10830</v>
      </c>
      <c r="P33" s="5" t="n">
        <v>1</v>
      </c>
      <c r="Q33">
        <f>L33+IF(M33&gt;1,N(N33)*(M33-1),0)</f>
        <v/>
      </c>
      <c r="R33">
        <f>IFERROR(K33*MAX(M33,1)/Q33*P33,0)</f>
        <v/>
      </c>
      <c r="AA33" s="6" t="inlineStr">
        <is>
          <t>^ShrapnelWeapon, ^Grenade, ^MediumFlameWeapon, ^LightFlameWeapon</t>
        </is>
      </c>
    </row>
    <row r="34">
      <c r="B34" s="6" t="inlineStr">
        <is>
          <t xml:space="preserve">  ↳ SiegeMortarThermobaric</t>
        </is>
      </c>
      <c r="C34" s="6" t="inlineStr">
        <is>
          <t>Armament@Upgrade</t>
        </is>
      </c>
      <c r="K34" s="5" t="n">
        <v>4000</v>
      </c>
      <c r="L34" s="5" t="n">
        <v>88</v>
      </c>
      <c r="M34" s="5" t="n">
        <v>1</v>
      </c>
      <c r="N34" s="5" t="n"/>
      <c r="O34" s="5" t="n">
        <v>10830</v>
      </c>
      <c r="P34" s="5" t="n">
        <v>1</v>
      </c>
      <c r="Q34">
        <f>L34+IF(M34&gt;1,N(N34)*(M34-1),0)</f>
        <v/>
      </c>
      <c r="R34">
        <f>IFERROR(K34*MAX(M34,1)/Q34*P34,0)</f>
        <v/>
      </c>
      <c r="AA34" s="6" t="inlineStr">
        <is>
          <t>^HeavyCannon, ^HeavyFlameWeapon, ^ShrapnelWeapon, ^Grenade, ^MediumFlameWeapon, ^LightFlameWeapon</t>
        </is>
      </c>
    </row>
    <row r="35">
      <c r="B35" s="6" t="inlineStr">
        <is>
          <t xml:space="preserve">  ↳ SiegeMortarThermobaric</t>
        </is>
      </c>
      <c r="C35" s="6" t="inlineStr">
        <is>
          <t>Armament@UpgradeGARRISONED</t>
        </is>
      </c>
      <c r="K35" s="5" t="n">
        <v>4000</v>
      </c>
      <c r="L35" s="5" t="n">
        <v>88</v>
      </c>
      <c r="M35" s="5" t="n">
        <v>1</v>
      </c>
      <c r="N35" s="5" t="n"/>
      <c r="O35" s="5" t="n">
        <v>10830</v>
      </c>
      <c r="P35" s="5" t="n">
        <v>1</v>
      </c>
      <c r="Q35">
        <f>L35+IF(M35&gt;1,N(N35)*(M35-1),0)</f>
        <v/>
      </c>
      <c r="R35">
        <f>IFERROR(K35*MAX(M35,1)/Q35*P35,0)</f>
        <v/>
      </c>
      <c r="AA35" s="6" t="inlineStr">
        <is>
          <t>^HeavyCannon, ^HeavyFlameWeapon, ^ShrapnelWeapon, ^Grenade, ^MediumFlameWeapon, ^LightFlameWeapon</t>
        </is>
      </c>
    </row>
    <row r="36">
      <c r="A36" t="inlineStr">
        <is>
          <t>redalert</t>
        </is>
      </c>
      <c r="B36" t="inlineStr">
        <is>
          <t>ra1_soviets_rifleinfantry</t>
        </is>
      </c>
      <c r="C36" t="inlineStr">
        <is>
          <t>Rifle Infantry</t>
        </is>
      </c>
      <c r="D36" t="inlineStr">
        <is>
          <t>scout</t>
        </is>
      </c>
      <c r="E36" s="5" t="n">
        <v>34000</v>
      </c>
      <c r="F36" s="5" t="n">
        <v>54</v>
      </c>
      <c r="G36" t="inlineStr">
        <is>
          <t>None</t>
        </is>
      </c>
      <c r="H36" s="5" t="n">
        <v>1</v>
      </c>
      <c r="I36" s="5" t="n">
        <v>1</v>
      </c>
      <c r="J36" s="5" t="n">
        <v>1</v>
      </c>
      <c r="O36">
        <f>MAX(O37,O39)</f>
        <v/>
      </c>
      <c r="R36">
        <f>R37+R39</f>
        <v/>
      </c>
      <c r="S36">
        <f>(E36/100000+F36/100+(O36/1000)*J36/5+R36/200)*200*I36*H36</f>
        <v/>
      </c>
      <c r="T36">
        <f>((E36*F36/25000)+((O36/1000)*J36*R36/2.5))*I36*H36</f>
        <v/>
      </c>
      <c r="U36">
        <f>(E36*F36*(O36/1000)*J36*R36*I36*H36)/12500000</f>
        <v/>
      </c>
      <c r="V36">
        <f>(S36+T36+U36)/3</f>
        <v/>
      </c>
      <c r="W36" s="5" t="n">
        <v>100</v>
      </c>
      <c r="X36">
        <f>IFERROR(V36-W36,"")</f>
        <v/>
      </c>
      <c r="Y36">
        <f>IFERROR(ABS(X36)/MAX(W36,1),"")</f>
        <v/>
      </c>
      <c r="Z36">
        <f>IFERROR((W36-(((E36/100000+F36/100+R36/200)*200*I36*H36)+((E36*F36/25000)*I36*H36))/3)/(((J36/5)*200*I36*H36)+((J36*R36/2.5)*I36*H36)+((E36*F36*J36*R36*I36*H36)/12500000))/3*1000,"")</f>
        <v/>
      </c>
    </row>
    <row r="37">
      <c r="B37" s="6" t="inlineStr">
        <is>
          <t xml:space="preserve">  ↳ ra1_soviets_rifleinfantry_carbine</t>
        </is>
      </c>
      <c r="C37" s="6" t="inlineStr">
        <is>
          <t>Armament@PRIMARY</t>
        </is>
      </c>
      <c r="K37" s="5" t="n">
        <v>2000</v>
      </c>
      <c r="L37" s="5" t="n">
        <v>55</v>
      </c>
      <c r="M37" s="5" t="n">
        <v>3</v>
      </c>
      <c r="N37" s="5" t="n">
        <v>5</v>
      </c>
      <c r="O37" s="5" t="n">
        <v>5100</v>
      </c>
      <c r="P37" s="5" t="n">
        <v>0.75</v>
      </c>
      <c r="Q37">
        <f>L37+IF(M37&gt;1,N(N37)*(M37-1),0)</f>
        <v/>
      </c>
      <c r="R37">
        <f>IFERROR(K37*MAX(M37,1)/Q37*P37,0)</f>
        <v/>
      </c>
      <c r="AA37" s="6" t="inlineStr">
        <is>
          <t>^SmallArms</t>
        </is>
      </c>
    </row>
    <row r="38">
      <c r="B38" s="6" t="inlineStr">
        <is>
          <t xml:space="preserve">  ↳ ra1_soviets_rifleinfantry_carbine</t>
        </is>
      </c>
      <c r="C38" s="6" t="inlineStr">
        <is>
          <t>Armament@GARRISONED</t>
        </is>
      </c>
      <c r="K38" s="5" t="n">
        <v>2000</v>
      </c>
      <c r="L38" s="5" t="n">
        <v>55</v>
      </c>
      <c r="M38" s="5" t="n">
        <v>3</v>
      </c>
      <c r="N38" s="5" t="n">
        <v>5</v>
      </c>
      <c r="O38" s="5" t="n">
        <v>5100</v>
      </c>
      <c r="P38" s="5" t="n">
        <v>0.75</v>
      </c>
      <c r="Q38">
        <f>L38+IF(M38&gt;1,N(N38)*(M38-1),0)</f>
        <v/>
      </c>
      <c r="R38">
        <f>IFERROR(K38*MAX(M38,1)/Q38*P38,0)</f>
        <v/>
      </c>
      <c r="AA38" s="6" t="inlineStr">
        <is>
          <t>^SmallArms</t>
        </is>
      </c>
    </row>
    <row r="39">
      <c r="B39" s="6" t="inlineStr">
        <is>
          <t xml:space="preserve">  ↳ ra1_soviets_rifleinfantry_carbine_incendiary</t>
        </is>
      </c>
      <c r="C39" s="6" t="inlineStr">
        <is>
          <t>Armament@Upgrade</t>
        </is>
      </c>
      <c r="K39" s="5" t="n">
        <v>2000</v>
      </c>
      <c r="L39" s="5" t="n">
        <v>55</v>
      </c>
      <c r="M39" s="5" t="n">
        <v>3</v>
      </c>
      <c r="N39" s="5" t="n">
        <v>5</v>
      </c>
      <c r="O39" s="5" t="n">
        <v>5100</v>
      </c>
      <c r="P39" s="5" t="n">
        <v>0.75</v>
      </c>
      <c r="Q39">
        <f>L39+IF(M39&gt;1,N(N39)*(M39-1),0)</f>
        <v/>
      </c>
      <c r="R39">
        <f>IFERROR(K39*MAX(M39,1)/Q39*P39,0)</f>
        <v/>
      </c>
      <c r="AA39" s="6" t="inlineStr">
        <is>
          <t>^LightFlameWeapon, ^SmallArms, ^IncendiaryBulletProjectile</t>
        </is>
      </c>
    </row>
    <row r="40">
      <c r="B40" s="6" t="inlineStr">
        <is>
          <t xml:space="preserve">  ↳ ra1_soviets_rifleinfantry_carbine_incendiary</t>
        </is>
      </c>
      <c r="C40" s="6" t="inlineStr">
        <is>
          <t>Armament@UpgradeGARRISONED</t>
        </is>
      </c>
      <c r="K40" s="5" t="n">
        <v>2000</v>
      </c>
      <c r="L40" s="5" t="n">
        <v>55</v>
      </c>
      <c r="M40" s="5" t="n">
        <v>3</v>
      </c>
      <c r="N40" s="5" t="n">
        <v>5</v>
      </c>
      <c r="O40" s="5" t="n">
        <v>5100</v>
      </c>
      <c r="P40" s="5" t="n">
        <v>0.75</v>
      </c>
      <c r="Q40">
        <f>L40+IF(M40&gt;1,N(N40)*(M40-1),0)</f>
        <v/>
      </c>
      <c r="R40">
        <f>IFERROR(K40*MAX(M40,1)/Q40*P40,0)</f>
        <v/>
      </c>
      <c r="AA40" s="6" t="inlineStr">
        <is>
          <t>^LightFlameWeapon, ^SmallArms, ^IncendiaryBulletProjectile</t>
        </is>
      </c>
    </row>
    <row r="41">
      <c r="A41" t="inlineStr">
        <is>
          <t>redalert</t>
        </is>
      </c>
      <c r="B41" t="inlineStr">
        <is>
          <t>ra1_soviets_rocketsoldier</t>
        </is>
      </c>
      <c r="C41" t="inlineStr">
        <is>
          <t>Soviet Rocket Soldier</t>
        </is>
      </c>
      <c r="D41" t="inlineStr"/>
      <c r="E41" s="5" t="n">
        <v>10000</v>
      </c>
      <c r="F41" s="5" t="n">
        <v>55</v>
      </c>
      <c r="G41" t="inlineStr">
        <is>
          <t>Flak</t>
        </is>
      </c>
      <c r="H41" s="5" t="n">
        <v>1</v>
      </c>
      <c r="I41" s="5" t="n">
        <v>1</v>
      </c>
      <c r="J41" s="5" t="n">
        <v>1</v>
      </c>
      <c r="O41">
        <f>MAX(O42)</f>
        <v/>
      </c>
      <c r="R41">
        <f>R42</f>
        <v/>
      </c>
      <c r="S41">
        <f>(E41/100000+F41/100+(O41/1000)*J41/5+R41/200)*200*I41*H41</f>
        <v/>
      </c>
      <c r="T41">
        <f>((E41*F41/25000)+((O41/1000)*J41*R41/2.5))*I41*H41</f>
        <v/>
      </c>
      <c r="U41">
        <f>(E41*F41*(O41/1000)*J41*R41*I41*H41)/12500000</f>
        <v/>
      </c>
      <c r="V41">
        <f>(S41+T41+U41)/3</f>
        <v/>
      </c>
      <c r="W41" s="5" t="n">
        <v>300</v>
      </c>
      <c r="X41">
        <f>IFERROR(V41-W41,"")</f>
        <v/>
      </c>
      <c r="Y41">
        <f>IFERROR(ABS(X41)/MAX(W41,1),"")</f>
        <v/>
      </c>
      <c r="Z41">
        <f>IFERROR((W41-(((E41/100000+F41/100+R41/200)*200*I41*H41)+((E41*F41/25000)*I41*H41))/3)/(((J41/5)*200*I41*H41)+((J41*R41/2.5)*I41*H41)+((E41*F41*J41*R41*I41*H41)/12500000))/3*1000,"")</f>
        <v/>
      </c>
    </row>
    <row r="42">
      <c r="B42" s="6" t="inlineStr">
        <is>
          <t xml:space="preserve">  ↳ RocketsRA</t>
        </is>
      </c>
      <c r="C42" s="6" t="inlineStr">
        <is>
          <t>Armament@PRIMARY</t>
        </is>
      </c>
      <c r="K42" s="5" t="n">
        <v>10000</v>
      </c>
      <c r="L42" s="5" t="n">
        <v>50</v>
      </c>
      <c r="M42" s="5" t="n">
        <v>1</v>
      </c>
      <c r="N42" s="5" t="n"/>
      <c r="O42" s="5" t="n">
        <v>6643</v>
      </c>
      <c r="P42" s="5" t="n">
        <v>1</v>
      </c>
      <c r="Q42">
        <f>L42+IF(M42&gt;1,N(N42)*(M42-1),0)</f>
        <v/>
      </c>
      <c r="R42">
        <f>IFERROR(K42*MAX(M42,1)/Q42*P42,0)</f>
        <v/>
      </c>
      <c r="AA42" s="6" t="inlineStr">
        <is>
          <t>^MediumMissile, ^LightMissile</t>
        </is>
      </c>
    </row>
    <row r="43">
      <c r="B43" s="6" t="inlineStr">
        <is>
          <t xml:space="preserve">  ↳ RocketsRA</t>
        </is>
      </c>
      <c r="C43" s="6" t="inlineStr">
        <is>
          <t>Armament@GARRISONED</t>
        </is>
      </c>
      <c r="K43" s="5" t="n">
        <v>10000</v>
      </c>
      <c r="L43" s="5" t="n">
        <v>50</v>
      </c>
      <c r="M43" s="5" t="n">
        <v>1</v>
      </c>
      <c r="N43" s="5" t="n"/>
      <c r="O43" s="5" t="n">
        <v>6643</v>
      </c>
      <c r="P43" s="5" t="n">
        <v>1</v>
      </c>
      <c r="Q43">
        <f>L43+IF(M43&gt;1,N(N43)*(M43-1),0)</f>
        <v/>
      </c>
      <c r="R43">
        <f>IFERROR(K43*MAX(M43,1)/Q43*P43,0)</f>
        <v/>
      </c>
      <c r="AA43" s="6" t="inlineStr">
        <is>
          <t>^MediumMissile, ^LightMissile</t>
        </is>
      </c>
    </row>
    <row r="44">
      <c r="A44" t="inlineStr">
        <is>
          <t>redalert</t>
        </is>
      </c>
      <c r="B44" t="inlineStr">
        <is>
          <t>ra1_soviets_shocktrooper</t>
        </is>
      </c>
      <c r="C44" t="inlineStr">
        <is>
          <t>Shock Trooper</t>
        </is>
      </c>
      <c r="D44" t="inlineStr"/>
      <c r="E44" s="5" t="n">
        <v>40000</v>
      </c>
      <c r="F44" s="5" t="n">
        <v>40</v>
      </c>
      <c r="G44" t="inlineStr">
        <is>
          <t>Plate</t>
        </is>
      </c>
      <c r="H44" s="5" t="n">
        <v>0.75</v>
      </c>
      <c r="I44" s="5" t="n">
        <v>0.8</v>
      </c>
      <c r="J44" s="5" t="n">
        <v>1.25</v>
      </c>
      <c r="O44">
        <f>MAX(O45,O46,O47)</f>
        <v/>
      </c>
      <c r="R44">
        <f>R45+R46+R47</f>
        <v/>
      </c>
      <c r="S44">
        <f>(E44/100000+F44/100+(O44/1000)*J44/5+R44/200)*200*I44*H44</f>
        <v/>
      </c>
      <c r="T44">
        <f>((E44*F44/25000)+((O44/1000)*J44*R44/2.5))*I44*H44</f>
        <v/>
      </c>
      <c r="U44">
        <f>(E44*F44*(O44/1000)*J44*R44*I44*H44)/12500000</f>
        <v/>
      </c>
      <c r="V44">
        <f>(S44+T44+U44)/3</f>
        <v/>
      </c>
      <c r="W44" s="5" t="n">
        <v>600</v>
      </c>
      <c r="X44">
        <f>IFERROR(V44-W44,"")</f>
        <v/>
      </c>
      <c r="Y44">
        <f>IFERROR(ABS(X44)/MAX(W44,1),"")</f>
        <v/>
      </c>
      <c r="Z44">
        <f>IFERROR((W44-(((E44/100000+F44/100+R44/200)*200*I44*H44)+((E44*F44/25000)*I44*H44))/3)/(((J44/5)*200*I44*H44)+((J44*R44/2.5)*I44*H44)+((E44*F44*J44*R44*I44*H44)/12500000))/3*1000,"")</f>
        <v/>
      </c>
    </row>
    <row r="45">
      <c r="B45" s="6" t="inlineStr">
        <is>
          <t xml:space="preserve">  ↳ PortaTesla</t>
        </is>
      </c>
      <c r="C45" s="6" t="inlineStr">
        <is>
          <t>Armament@PRIMARY</t>
        </is>
      </c>
      <c r="K45" s="5" t="n">
        <v>20000</v>
      </c>
      <c r="L45" s="5" t="n">
        <v>40</v>
      </c>
      <c r="M45" s="5" t="n">
        <v>1</v>
      </c>
      <c r="N45" s="5" t="n"/>
      <c r="O45" s="5" t="n">
        <v>4652</v>
      </c>
      <c r="P45" s="5" t="n">
        <v>1</v>
      </c>
      <c r="Q45">
        <f>L45+IF(M45&gt;1,N(N45)*(M45-1),0)</f>
        <v/>
      </c>
      <c r="R45">
        <f>IFERROR(K45*MAX(M45,1)/Q45*P45,0)</f>
        <v/>
      </c>
      <c r="AA45" s="6" t="inlineStr">
        <is>
          <t>^TeslaWeapon</t>
        </is>
      </c>
    </row>
    <row r="46">
      <c r="B46" s="6" t="inlineStr">
        <is>
          <t xml:space="preserve">  ↳ PortaTeslaEMP</t>
        </is>
      </c>
      <c r="C46" s="6" t="inlineStr">
        <is>
          <t>Armament@Upgrade1</t>
        </is>
      </c>
      <c r="K46" s="5" t="n">
        <v>20000</v>
      </c>
      <c r="L46" s="5" t="n">
        <v>40</v>
      </c>
      <c r="M46" s="5" t="n">
        <v>1</v>
      </c>
      <c r="N46" s="5" t="n"/>
      <c r="O46" s="5" t="n">
        <v>4652</v>
      </c>
      <c r="P46" s="5" t="n">
        <v>1</v>
      </c>
      <c r="Q46">
        <f>L46+IF(M46&gt;1,N(N46)*(M46-1),0)</f>
        <v/>
      </c>
      <c r="R46">
        <f>IFERROR(K46*MAX(M46,1)/Q46*P46,0)</f>
        <v/>
      </c>
      <c r="AA46" s="6" t="inlineStr">
        <is>
          <t>^TeslaWeapon</t>
        </is>
      </c>
    </row>
    <row r="47">
      <c r="B47" s="6" t="inlineStr">
        <is>
          <t xml:space="preserve">  ↳ PortaTeslaEMPArc</t>
        </is>
      </c>
      <c r="C47" s="6" t="inlineStr">
        <is>
          <t>Armament@Upgrade2</t>
        </is>
      </c>
      <c r="K47" s="5" t="n">
        <v>20000</v>
      </c>
      <c r="L47" s="5" t="n">
        <v>40</v>
      </c>
      <c r="M47" s="5" t="n">
        <v>1</v>
      </c>
      <c r="N47" s="5" t="n"/>
      <c r="O47" s="5" t="n">
        <v>4652</v>
      </c>
      <c r="P47" s="5" t="n">
        <v>1</v>
      </c>
      <c r="Q47">
        <f>L47+IF(M47&gt;1,N(N47)*(M47-1),0)</f>
        <v/>
      </c>
      <c r="R47">
        <f>IFERROR(K47*MAX(M47,1)/Q47*P47,0)</f>
        <v/>
      </c>
      <c r="AA47" s="6" t="inlineStr">
        <is>
          <t>^TeslaWeapon</t>
        </is>
      </c>
    </row>
    <row r="48">
      <c r="B48" s="6" t="inlineStr">
        <is>
          <t xml:space="preserve">  ↳ PortaTesla</t>
        </is>
      </c>
      <c r="C48" s="6" t="inlineStr">
        <is>
          <t>Armament@GARRISONED</t>
        </is>
      </c>
      <c r="K48" s="5" t="n">
        <v>20000</v>
      </c>
      <c r="L48" s="5" t="n">
        <v>40</v>
      </c>
      <c r="M48" s="5" t="n">
        <v>1</v>
      </c>
      <c r="N48" s="5" t="n"/>
      <c r="O48" s="5" t="n">
        <v>4652</v>
      </c>
      <c r="P48" s="5" t="n">
        <v>1</v>
      </c>
      <c r="Q48">
        <f>L48+IF(M48&gt;1,N(N48)*(M48-1),0)</f>
        <v/>
      </c>
      <c r="R48">
        <f>IFERROR(K48*MAX(M48,1)/Q48*P48,0)</f>
        <v/>
      </c>
      <c r="AA48" s="6" t="inlineStr">
        <is>
          <t>^TeslaWeapon</t>
        </is>
      </c>
    </row>
    <row r="49">
      <c r="B49" s="6" t="inlineStr">
        <is>
          <t xml:space="preserve">  ↳ PortaTeslaEMP</t>
        </is>
      </c>
      <c r="C49" s="6" t="inlineStr">
        <is>
          <t>Armament@Upgrade1GARRISONED</t>
        </is>
      </c>
      <c r="K49" s="5" t="n">
        <v>20000</v>
      </c>
      <c r="L49" s="5" t="n">
        <v>40</v>
      </c>
      <c r="M49" s="5" t="n">
        <v>1</v>
      </c>
      <c r="N49" s="5" t="n"/>
      <c r="O49" s="5" t="n">
        <v>4652</v>
      </c>
      <c r="P49" s="5" t="n">
        <v>1</v>
      </c>
      <c r="Q49">
        <f>L49+IF(M49&gt;1,N(N49)*(M49-1),0)</f>
        <v/>
      </c>
      <c r="R49">
        <f>IFERROR(K49*MAX(M49,1)/Q49*P49,0)</f>
        <v/>
      </c>
      <c r="AA49" s="6" t="inlineStr">
        <is>
          <t>^TeslaWeapon</t>
        </is>
      </c>
    </row>
    <row r="50">
      <c r="B50" s="6" t="inlineStr">
        <is>
          <t xml:space="preserve">  ↳ PortaTeslaEMPArc</t>
        </is>
      </c>
      <c r="C50" s="6" t="inlineStr">
        <is>
          <t>Armament@Upgrade2GARRISONED</t>
        </is>
      </c>
      <c r="K50" s="5" t="n">
        <v>20000</v>
      </c>
      <c r="L50" s="5" t="n">
        <v>40</v>
      </c>
      <c r="M50" s="5" t="n">
        <v>1</v>
      </c>
      <c r="N50" s="5" t="n"/>
      <c r="O50" s="5" t="n">
        <v>4652</v>
      </c>
      <c r="P50" s="5" t="n">
        <v>1</v>
      </c>
      <c r="Q50">
        <f>L50+IF(M50&gt;1,N(N50)*(M50-1),0)</f>
        <v/>
      </c>
      <c r="R50">
        <f>IFERROR(K50*MAX(M50,1)/Q50*P50,0)</f>
        <v/>
      </c>
      <c r="AA50" s="6" t="inlineStr">
        <is>
          <t>^TeslaWeapon</t>
        </is>
      </c>
    </row>
    <row r="51">
      <c r="A51" t="inlineStr">
        <is>
          <t>redalert</t>
        </is>
      </c>
      <c r="B51" t="inlineStr">
        <is>
          <t>ra1_soviets_volkov</t>
        </is>
      </c>
      <c r="C51" t="inlineStr">
        <is>
          <t>Volkov</t>
        </is>
      </c>
      <c r="D51" t="inlineStr"/>
      <c r="E51" s="5" t="n">
        <v>400000</v>
      </c>
      <c r="F51" s="5" t="n">
        <v>55</v>
      </c>
      <c r="G51" t="inlineStr">
        <is>
          <t>Heroic</t>
        </is>
      </c>
      <c r="H51" s="5" t="n">
        <v>0.75</v>
      </c>
      <c r="I51" s="5" t="n">
        <v>1</v>
      </c>
      <c r="J51" s="5" t="n">
        <v>1</v>
      </c>
      <c r="O51">
        <f>MAX(O52,O53,O54,O55,O56,O57)</f>
        <v/>
      </c>
      <c r="R51">
        <f>R52+R53+R54+R55+R56+R57</f>
        <v/>
      </c>
      <c r="S51">
        <f>(E51/100000+F51/100+(O51/1000)*J51/5+R51/200)*200*I51*H51</f>
        <v/>
      </c>
      <c r="T51">
        <f>((E51*F51/25000)+((O51/1000)*J51*R51/2.5))*I51*H51</f>
        <v/>
      </c>
      <c r="U51">
        <f>(E51*F51*(O51/1000)*J51*R51*I51*H51)/12500000</f>
        <v/>
      </c>
      <c r="V51">
        <f>(S51+T51+U51)/3</f>
        <v/>
      </c>
      <c r="W51" s="5" t="n">
        <v>10000</v>
      </c>
      <c r="X51">
        <f>IFERROR(V51-W51,"")</f>
        <v/>
      </c>
      <c r="Y51">
        <f>IFERROR(ABS(X51)/MAX(W51,1),"")</f>
        <v/>
      </c>
      <c r="Z51">
        <f>IFERROR((W51-(((E51/100000+F51/100+R51/200)*200*I51*H51)+((E51*F51/25000)*I51*H51))/3)/(((J51/5)*200*I51*H51)+((J51*R51/2.5)*I51*H51)+((E51*F51*J51*R51*I51*H51)/12500000))/3*1000,"")</f>
        <v/>
      </c>
    </row>
    <row r="52">
      <c r="B52" s="6" t="inlineStr">
        <is>
          <t xml:space="preserve">  ↳ VolkovMagneticWeapon</t>
        </is>
      </c>
      <c r="C52" s="6" t="inlineStr">
        <is>
          <t>Armament</t>
        </is>
      </c>
      <c r="K52" s="5" t="n">
        <v>10000</v>
      </c>
      <c r="L52" s="5" t="n">
        <v>15</v>
      </c>
      <c r="M52" s="5" t="n">
        <v>2</v>
      </c>
      <c r="N52" s="5" t="n"/>
      <c r="O52" s="5" t="n">
        <v>5400</v>
      </c>
      <c r="P52" s="5" t="n">
        <v>1</v>
      </c>
      <c r="Q52">
        <f>L52+IF(M52&gt;1,N(N52)*(M52-1),0)</f>
        <v/>
      </c>
      <c r="R52">
        <f>IFERROR(K52*MAX(M52,1)/Q52*P52,0)</f>
        <v/>
      </c>
      <c r="AA52" s="6" t="inlineStr">
        <is>
          <t>^HeavyCannon, ^MediumChemicalWeapon, ^Grenade</t>
        </is>
      </c>
    </row>
    <row r="53">
      <c r="B53" s="6" t="inlineStr">
        <is>
          <t xml:space="preserve">  ↳ VolkovMagneticWeaponTesla</t>
        </is>
      </c>
      <c r="C53" s="6" t="inlineStr">
        <is>
          <t>Armament@Tesla</t>
        </is>
      </c>
      <c r="K53" s="5" t="n">
        <v>8000</v>
      </c>
      <c r="L53" s="5" t="n">
        <v>30</v>
      </c>
      <c r="M53" s="5" t="n">
        <v>2</v>
      </c>
      <c r="N53" s="5" t="n"/>
      <c r="O53" s="5" t="n">
        <v>5660</v>
      </c>
      <c r="P53" s="5" t="n">
        <v>1</v>
      </c>
      <c r="Q53">
        <f>L53+IF(M53&gt;1,N(N53)*(M53-1),0)</f>
        <v/>
      </c>
      <c r="R53">
        <f>IFERROR(K53*MAX(M53,1)/Q53*P53,0)</f>
        <v/>
      </c>
      <c r="AA53" s="6" t="inlineStr">
        <is>
          <t>^HeavyCannon, ^MediumChemicalWeapon, ^Grenade, ^TeslaWeapon</t>
        </is>
      </c>
    </row>
    <row r="54">
      <c r="B54" s="6" t="inlineStr">
        <is>
          <t xml:space="preserve">  ↳ VolkovMagneticWeaponNuclearShells</t>
        </is>
      </c>
      <c r="C54" s="6" t="inlineStr">
        <is>
          <t>Armament@NuclearShells</t>
        </is>
      </c>
      <c r="K54" s="5" t="n">
        <v>40000</v>
      </c>
      <c r="L54" s="5" t="n">
        <v>40</v>
      </c>
      <c r="M54" s="5" t="n">
        <v>1</v>
      </c>
      <c r="N54" s="5" t="n"/>
      <c r="O54" s="5" t="n">
        <v>5400</v>
      </c>
      <c r="P54" s="5" t="n">
        <v>1</v>
      </c>
      <c r="Q54">
        <f>L54+IF(M54&gt;1,N(N54)*(M54-1),0)</f>
        <v/>
      </c>
      <c r="R54">
        <f>IFERROR(K54*MAX(M54,1)/Q54*P54,0)</f>
        <v/>
      </c>
      <c r="AA54" s="6" t="inlineStr">
        <is>
          <t>^NuclearWarhead, ^HeavyCannon, ^MediumChemicalWeapon, ^Grenade</t>
        </is>
      </c>
    </row>
    <row r="55">
      <c r="B55" s="6" t="inlineStr">
        <is>
          <t xml:space="preserve">  ↳ VolkovMagneticWeaponIncendiary</t>
        </is>
      </c>
      <c r="C55" s="6" t="inlineStr">
        <is>
          <t>Armament@Incendiary</t>
        </is>
      </c>
      <c r="K55" s="5" t="n">
        <v>10000</v>
      </c>
      <c r="L55" s="5" t="n">
        <v>15</v>
      </c>
      <c r="M55" s="5" t="n">
        <v>2</v>
      </c>
      <c r="N55" s="5" t="n"/>
      <c r="O55" s="5" t="n">
        <v>5400</v>
      </c>
      <c r="P55" s="5" t="n">
        <v>1</v>
      </c>
      <c r="Q55">
        <f>L55+IF(M55&gt;1,N(N55)*(M55-1),0)</f>
        <v/>
      </c>
      <c r="R55">
        <f>IFERROR(K55*MAX(M55,1)/Q55*P55,0)</f>
        <v/>
      </c>
      <c r="AA55" s="6" t="inlineStr">
        <is>
          <t>^MediumFlameWeapon, ^HeavyCannon, ^MediumChemicalWeapon, ^Grenade, ^IncendiaryBulletProjectile</t>
        </is>
      </c>
    </row>
    <row r="56">
      <c r="B56" s="6" t="inlineStr">
        <is>
          <t xml:space="preserve">  ↳ VolkovMagneticWeaponIncendiaryTesla</t>
        </is>
      </c>
      <c r="C56" s="6" t="inlineStr">
        <is>
          <t>Armament@IncendiaryTesla</t>
        </is>
      </c>
      <c r="K56" s="5" t="n">
        <v>8000</v>
      </c>
      <c r="L56" s="5" t="n">
        <v>30</v>
      </c>
      <c r="M56" s="5" t="n">
        <v>2</v>
      </c>
      <c r="N56" s="5" t="n"/>
      <c r="O56" s="5" t="n">
        <v>5660</v>
      </c>
      <c r="P56" s="5" t="n">
        <v>1</v>
      </c>
      <c r="Q56">
        <f>L56+IF(M56&gt;1,N(N56)*(M56-1),0)</f>
        <v/>
      </c>
      <c r="R56">
        <f>IFERROR(K56*MAX(M56,1)/Q56*P56,0)</f>
        <v/>
      </c>
      <c r="AA56" s="6" t="inlineStr">
        <is>
          <t>^HeavyCannon, ^MediumChemicalWeapon, ^Grenade, ^MediumFlameWeapon, ^TeslaWeapon</t>
        </is>
      </c>
    </row>
    <row r="57">
      <c r="B57" s="6" t="inlineStr">
        <is>
          <t xml:space="preserve">  ↳ VolkovMagneticWeaponIncendiaryNuclearShells</t>
        </is>
      </c>
      <c r="C57" s="6" t="inlineStr">
        <is>
          <t>Armament@IncendiaryNuclearShells</t>
        </is>
      </c>
      <c r="K57" s="5" t="n">
        <v>40000</v>
      </c>
      <c r="L57" s="5" t="n">
        <v>40</v>
      </c>
      <c r="M57" s="5" t="n">
        <v>1</v>
      </c>
      <c r="N57" s="5" t="n"/>
      <c r="O57" s="5" t="n">
        <v>5400</v>
      </c>
      <c r="P57" s="5" t="n">
        <v>1</v>
      </c>
      <c r="Q57">
        <f>L57+IF(M57&gt;1,N(N57)*(M57-1),0)</f>
        <v/>
      </c>
      <c r="R57">
        <f>IFERROR(K57*MAX(M57,1)/Q57*P57,0)</f>
        <v/>
      </c>
      <c r="AA57" s="6" t="inlineStr">
        <is>
          <t>^MediumFlameWeapon, ^NuclearWarhead, ^HeavyCannon, ^MediumChemicalWeapon, ^Grenade</t>
        </is>
      </c>
    </row>
    <row r="58">
      <c r="B58" s="6" t="inlineStr">
        <is>
          <t xml:space="preserve">  ↳ VolkovMagneticWeapon</t>
        </is>
      </c>
      <c r="C58" s="6" t="inlineStr">
        <is>
          <t>Armament@GARRISONED</t>
        </is>
      </c>
      <c r="K58" s="5" t="n">
        <v>10000</v>
      </c>
      <c r="L58" s="5" t="n">
        <v>15</v>
      </c>
      <c r="M58" s="5" t="n">
        <v>2</v>
      </c>
      <c r="N58" s="5" t="n"/>
      <c r="O58" s="5" t="n">
        <v>5400</v>
      </c>
      <c r="P58" s="5" t="n">
        <v>1</v>
      </c>
      <c r="Q58">
        <f>L58+IF(M58&gt;1,N(N58)*(M58-1),0)</f>
        <v/>
      </c>
      <c r="R58">
        <f>IFERROR(K58*MAX(M58,1)/Q58*P58,0)</f>
        <v/>
      </c>
      <c r="AA58" s="6" t="inlineStr">
        <is>
          <t>^HeavyCannon, ^MediumChemicalWeapon, ^Grenade</t>
        </is>
      </c>
    </row>
    <row r="59">
      <c r="B59" s="6" t="inlineStr">
        <is>
          <t xml:space="preserve">  ↳ VolkovMagneticWeaponTesla</t>
        </is>
      </c>
      <c r="C59" s="6" t="inlineStr">
        <is>
          <t>Armament@GARRISONEDTesla</t>
        </is>
      </c>
      <c r="K59" s="5" t="n">
        <v>8000</v>
      </c>
      <c r="L59" s="5" t="n">
        <v>30</v>
      </c>
      <c r="M59" s="5" t="n">
        <v>2</v>
      </c>
      <c r="N59" s="5" t="n"/>
      <c r="O59" s="5" t="n">
        <v>5660</v>
      </c>
      <c r="P59" s="5" t="n">
        <v>1</v>
      </c>
      <c r="Q59">
        <f>L59+IF(M59&gt;1,N(N59)*(M59-1),0)</f>
        <v/>
      </c>
      <c r="R59">
        <f>IFERROR(K59*MAX(M59,1)/Q59*P59,0)</f>
        <v/>
      </c>
      <c r="AA59" s="6" t="inlineStr">
        <is>
          <t>^HeavyCannon, ^MediumChemicalWeapon, ^Grenade, ^TeslaWeapon</t>
        </is>
      </c>
    </row>
    <row r="60">
      <c r="B60" s="6" t="inlineStr">
        <is>
          <t xml:space="preserve">  ↳ VolkovMagneticWeaponNuclearShells</t>
        </is>
      </c>
      <c r="C60" s="6" t="inlineStr">
        <is>
          <t>Armament@GARRISONEDNuclearShells</t>
        </is>
      </c>
      <c r="K60" s="5" t="n">
        <v>40000</v>
      </c>
      <c r="L60" s="5" t="n">
        <v>40</v>
      </c>
      <c r="M60" s="5" t="n">
        <v>1</v>
      </c>
      <c r="N60" s="5" t="n"/>
      <c r="O60" s="5" t="n">
        <v>5400</v>
      </c>
      <c r="P60" s="5" t="n">
        <v>1</v>
      </c>
      <c r="Q60">
        <f>L60+IF(M60&gt;1,N(N60)*(M60-1),0)</f>
        <v/>
      </c>
      <c r="R60">
        <f>IFERROR(K60*MAX(M60,1)/Q60*P60,0)</f>
        <v/>
      </c>
      <c r="AA60" s="6" t="inlineStr">
        <is>
          <t>^NuclearWarhead, ^HeavyCannon, ^MediumChemicalWeapon, ^Grenade</t>
        </is>
      </c>
    </row>
    <row r="61">
      <c r="B61" s="6" t="inlineStr">
        <is>
          <t xml:space="preserve">  ↳ VolkovMagneticWeaponIncendiary</t>
        </is>
      </c>
      <c r="C61" s="6" t="inlineStr">
        <is>
          <t>Armament@GARRISONEDIncendiary</t>
        </is>
      </c>
      <c r="K61" s="5" t="n">
        <v>10000</v>
      </c>
      <c r="L61" s="5" t="n">
        <v>15</v>
      </c>
      <c r="M61" s="5" t="n">
        <v>2</v>
      </c>
      <c r="N61" s="5" t="n"/>
      <c r="O61" s="5" t="n">
        <v>5400</v>
      </c>
      <c r="P61" s="5" t="n">
        <v>1</v>
      </c>
      <c r="Q61">
        <f>L61+IF(M61&gt;1,N(N61)*(M61-1),0)</f>
        <v/>
      </c>
      <c r="R61">
        <f>IFERROR(K61*MAX(M61,1)/Q61*P61,0)</f>
        <v/>
      </c>
      <c r="AA61" s="6" t="inlineStr">
        <is>
          <t>^MediumFlameWeapon, ^HeavyCannon, ^MediumChemicalWeapon, ^Grenade, ^IncendiaryBulletProjectile</t>
        </is>
      </c>
    </row>
    <row r="62">
      <c r="B62" s="6" t="inlineStr">
        <is>
          <t xml:space="preserve">  ↳ VolkovMagneticWeaponIncendiaryTesla</t>
        </is>
      </c>
      <c r="C62" s="6" t="inlineStr">
        <is>
          <t>Armament@GARRISONEDIncendiaryTesla</t>
        </is>
      </c>
      <c r="K62" s="5" t="n">
        <v>8000</v>
      </c>
      <c r="L62" s="5" t="n">
        <v>30</v>
      </c>
      <c r="M62" s="5" t="n">
        <v>2</v>
      </c>
      <c r="N62" s="5" t="n"/>
      <c r="O62" s="5" t="n">
        <v>5660</v>
      </c>
      <c r="P62" s="5" t="n">
        <v>1</v>
      </c>
      <c r="Q62">
        <f>L62+IF(M62&gt;1,N(N62)*(M62-1),0)</f>
        <v/>
      </c>
      <c r="R62">
        <f>IFERROR(K62*MAX(M62,1)/Q62*P62,0)</f>
        <v/>
      </c>
      <c r="AA62" s="6" t="inlineStr">
        <is>
          <t>^HeavyCannon, ^MediumChemicalWeapon, ^Grenade, ^MediumFlameWeapon, ^TeslaWeapon</t>
        </is>
      </c>
    </row>
    <row r="63">
      <c r="B63" s="6" t="inlineStr">
        <is>
          <t xml:space="preserve">  ↳ VolkovMagneticWeaponIncendiaryNuclearShells</t>
        </is>
      </c>
      <c r="C63" s="6" t="inlineStr">
        <is>
          <t>Armament@GARRISONEDIncendiaryNuclearShells</t>
        </is>
      </c>
      <c r="K63" s="5" t="n">
        <v>40000</v>
      </c>
      <c r="L63" s="5" t="n">
        <v>40</v>
      </c>
      <c r="M63" s="5" t="n">
        <v>1</v>
      </c>
      <c r="N63" s="5" t="n"/>
      <c r="O63" s="5" t="n">
        <v>5400</v>
      </c>
      <c r="P63" s="5" t="n">
        <v>1</v>
      </c>
      <c r="Q63">
        <f>L63+IF(M63&gt;1,N(N63)*(M63-1),0)</f>
        <v/>
      </c>
      <c r="R63">
        <f>IFERROR(K63*MAX(M63,1)/Q63*P63,0)</f>
        <v/>
      </c>
      <c r="AA63" s="6" t="inlineStr">
        <is>
          <t>^MediumFlameWeapon, ^NuclearWarhead, ^HeavyCannon, ^MediumChemicalWeapon, ^Grenade</t>
        </is>
      </c>
    </row>
    <row r="64">
      <c r="A64" t="inlineStr">
        <is>
          <t>redalert</t>
        </is>
      </c>
      <c r="B64" t="inlineStr">
        <is>
          <t>ra1_soviets_zapper</t>
        </is>
      </c>
      <c r="C64" t="inlineStr">
        <is>
          <t>Zapper</t>
        </is>
      </c>
      <c r="D64" t="inlineStr"/>
      <c r="E64" s="5" t="n">
        <v>60000</v>
      </c>
      <c r="F64" s="5" t="n">
        <v>30</v>
      </c>
      <c r="G64" t="inlineStr">
        <is>
          <t>Plate</t>
        </is>
      </c>
      <c r="H64" s="5" t="n">
        <v>0.75</v>
      </c>
      <c r="I64" s="5" t="n">
        <v>0.8</v>
      </c>
      <c r="J64" s="5" t="n">
        <v>1.25</v>
      </c>
      <c r="O64">
        <f>MAX(O65,O66)</f>
        <v/>
      </c>
      <c r="R64">
        <f>R65+R66</f>
        <v/>
      </c>
      <c r="S64">
        <f>(E64/100000+F64/100+(O64/1000)*J64/5+R64/200)*200*I64*H64</f>
        <v/>
      </c>
      <c r="T64">
        <f>((E64*F64/25000)+((O64/1000)*J64*R64/2.5))*I64*H64</f>
        <v/>
      </c>
      <c r="U64">
        <f>(E64*F64*(O64/1000)*J64*R64*I64*H64)/12500000</f>
        <v/>
      </c>
      <c r="V64">
        <f>(S64+T64+U64)/3</f>
        <v/>
      </c>
      <c r="W64" s="5" t="n">
        <v>1200</v>
      </c>
      <c r="X64">
        <f>IFERROR(V64-W64,"")</f>
        <v/>
      </c>
      <c r="Y64">
        <f>IFERROR(ABS(X64)/MAX(W64,1),"")</f>
        <v/>
      </c>
      <c r="Z64">
        <f>IFERROR((W64-(((E64/100000+F64/100+R64/200)*200*I64*H64)+((E64*F64/25000)*I64*H64))/3)/(((J64/5)*200*I64*H64)+((J64*R64/2.5)*I64*H64)+((E64*F64*J64*R64*I64*H64)/12500000))/3*1000,"")</f>
        <v/>
      </c>
    </row>
    <row r="65">
      <c r="B65" s="6" t="inlineStr">
        <is>
          <t xml:space="preserve">  ↳ ZapperPortaTesla</t>
        </is>
      </c>
      <c r="C65" s="6" t="inlineStr">
        <is>
          <t>Armament@PRIMARY</t>
        </is>
      </c>
      <c r="K65" s="5" t="n">
        <v>32000</v>
      </c>
      <c r="L65" s="5" t="n">
        <v>32</v>
      </c>
      <c r="M65" s="5" t="n">
        <v>1</v>
      </c>
      <c r="N65" s="5" t="n"/>
      <c r="O65" s="5" t="n">
        <v>5000</v>
      </c>
      <c r="P65" s="5" t="n">
        <v>1</v>
      </c>
      <c r="Q65">
        <f>L65+IF(M65&gt;1,N(N65)*(M65-1),0)</f>
        <v/>
      </c>
      <c r="R65">
        <f>IFERROR(K65*MAX(M65,1)/Q65*P65,0)</f>
        <v/>
      </c>
      <c r="AA65" s="6" t="inlineStr">
        <is>
          <t>^TeslaWeapon</t>
        </is>
      </c>
    </row>
    <row r="66">
      <c r="B66" s="6" t="inlineStr">
        <is>
          <t xml:space="preserve">  ↳ ZapperPortaTeslaArc</t>
        </is>
      </c>
      <c r="C66" s="6" t="inlineStr">
        <is>
          <t>Armament@Upgrade</t>
        </is>
      </c>
      <c r="K66" s="5" t="n">
        <v>32000</v>
      </c>
      <c r="L66" s="5" t="n">
        <v>32</v>
      </c>
      <c r="M66" s="5" t="n">
        <v>1</v>
      </c>
      <c r="N66" s="5" t="n"/>
      <c r="O66" s="5" t="n">
        <v>5000</v>
      </c>
      <c r="P66" s="5" t="n">
        <v>1</v>
      </c>
      <c r="Q66">
        <f>L66+IF(M66&gt;1,N(N66)*(M66-1),0)</f>
        <v/>
      </c>
      <c r="R66">
        <f>IFERROR(K66*MAX(M66,1)/Q66*P66,0)</f>
        <v/>
      </c>
      <c r="AA66" s="6" t="inlineStr">
        <is>
          <t>^TeslaWeapon</t>
        </is>
      </c>
    </row>
    <row r="67">
      <c r="B67" s="6" t="inlineStr">
        <is>
          <t xml:space="preserve">  ↳ ZapperPortaTesla</t>
        </is>
      </c>
      <c r="C67" s="6" t="inlineStr">
        <is>
          <t>Armament@GARRISONED</t>
        </is>
      </c>
      <c r="K67" s="5" t="n">
        <v>32000</v>
      </c>
      <c r="L67" s="5" t="n">
        <v>32</v>
      </c>
      <c r="M67" s="5" t="n">
        <v>1</v>
      </c>
      <c r="N67" s="5" t="n"/>
      <c r="O67" s="5" t="n">
        <v>5000</v>
      </c>
      <c r="P67" s="5" t="n">
        <v>1</v>
      </c>
      <c r="Q67">
        <f>L67+IF(M67&gt;1,N(N67)*(M67-1),0)</f>
        <v/>
      </c>
      <c r="R67">
        <f>IFERROR(K67*MAX(M67,1)/Q67*P67,0)</f>
        <v/>
      </c>
      <c r="AA67" s="6" t="inlineStr">
        <is>
          <t>^TeslaWeapon</t>
        </is>
      </c>
    </row>
    <row r="68">
      <c r="B68" s="6" t="inlineStr">
        <is>
          <t xml:space="preserve">  ↳ ZapperPortaTeslaArc</t>
        </is>
      </c>
      <c r="C68" s="6" t="inlineStr">
        <is>
          <t>Armament@UpgradeGARRISONED</t>
        </is>
      </c>
      <c r="K68" s="5" t="n">
        <v>32000</v>
      </c>
      <c r="L68" s="5" t="n">
        <v>32</v>
      </c>
      <c r="M68" s="5" t="n">
        <v>1</v>
      </c>
      <c r="N68" s="5" t="n"/>
      <c r="O68" s="5" t="n">
        <v>5000</v>
      </c>
      <c r="P68" s="5" t="n">
        <v>1</v>
      </c>
      <c r="Q68">
        <f>L68+IF(M68&gt;1,N(N68)*(M68-1),0)</f>
        <v/>
      </c>
      <c r="R68">
        <f>IFERROR(K68*MAX(M68,1)/Q68*P68,0)</f>
        <v/>
      </c>
      <c r="AA68" s="6" t="inlineStr">
        <is>
          <t>^TeslaWeapon</t>
        </is>
      </c>
    </row>
    <row r="69">
      <c r="A69" s="3" t="inlineStr">
        <is>
          <t>VEHICLES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>
      <c r="A70" t="inlineStr">
        <is>
          <t>redalert</t>
        </is>
      </c>
      <c r="B70" t="inlineStr">
        <is>
          <t>ra1_soviets_btr80</t>
        </is>
      </c>
      <c r="C70" t="inlineStr">
        <is>
          <t>BTR-80</t>
        </is>
      </c>
      <c r="D70" t="inlineStr"/>
      <c r="E70" s="5" t="n">
        <v>90000</v>
      </c>
      <c r="F70" s="5" t="n">
        <v>90</v>
      </c>
      <c r="G70" t="inlineStr">
        <is>
          <t>Heavy</t>
        </is>
      </c>
      <c r="H70" s="5" t="n">
        <v>1</v>
      </c>
      <c r="I70" s="5" t="n">
        <v>1</v>
      </c>
      <c r="J70" s="5" t="n">
        <v>1</v>
      </c>
      <c r="O70">
        <f>MAX(O71,O72,O73,O74,O75,O76)</f>
        <v/>
      </c>
      <c r="R70">
        <f>R71+R72+R73+R74+R75+R76</f>
        <v/>
      </c>
      <c r="S70">
        <f>(E70/100000+F70/100+(O70/1000)*J70/5+R70/200)*200*I70*H70</f>
        <v/>
      </c>
      <c r="T70">
        <f>((E70*F70/25000)+((O70/1000)*J70*R70/2.5))*I70*H70</f>
        <v/>
      </c>
      <c r="U70">
        <f>(E70*F70*(O70/1000)*J70*R70*I70*H70)/12500000</f>
        <v/>
      </c>
      <c r="V70">
        <f>(S70+T70+U70)/3</f>
        <v/>
      </c>
      <c r="W70" s="5" t="n">
        <v>1600</v>
      </c>
      <c r="X70">
        <f>IFERROR(V70-W70,"")</f>
        <v/>
      </c>
      <c r="Y70">
        <f>IFERROR(ABS(X70)/MAX(W70,1),"")</f>
        <v/>
      </c>
      <c r="Z70">
        <f>IFERROR((W70-(((E70/100000+F70/100+R70/200)*200*I70*H70)+((E70*F70/25000)*I70*H70))/3)/(((J70/5)*200*I70*H70)+((J70*R70/2.5)*I70*H70)+((E70*F70*J70*R70*I70*H70)/12500000))/3*1000,"")</f>
        <v/>
      </c>
    </row>
    <row r="71">
      <c r="B71" s="6" t="inlineStr">
        <is>
          <t xml:space="preserve">  ↳ BTRMachineGun</t>
        </is>
      </c>
      <c r="C71" s="6" t="inlineStr">
        <is>
          <t>Armament</t>
        </is>
      </c>
      <c r="K71" s="5" t="n">
        <v>2000</v>
      </c>
      <c r="L71" s="5" t="n">
        <v>20</v>
      </c>
      <c r="M71" s="5" t="n">
        <v>4</v>
      </c>
      <c r="N71" s="5" t="n">
        <v>4</v>
      </c>
      <c r="O71" s="5" t="n">
        <v>5454</v>
      </c>
      <c r="P71" s="5" t="n">
        <v>1</v>
      </c>
      <c r="Q71">
        <f>L71+IF(M71&gt;1,N(N71)*(M71-1),0)</f>
        <v/>
      </c>
      <c r="R71">
        <f>IFERROR(K71*MAX(M71,1)/Q71*P71,0)</f>
        <v/>
      </c>
      <c r="AA71" s="6" t="inlineStr">
        <is>
          <t>^SmallArms, ^Chaingun</t>
        </is>
      </c>
    </row>
    <row r="72">
      <c r="B72" s="6" t="inlineStr">
        <is>
          <t xml:space="preserve">  ↳ BTRMachineGunAA</t>
        </is>
      </c>
      <c r="C72" s="6" t="inlineStr">
        <is>
          <t>Armament@AA</t>
        </is>
      </c>
      <c r="K72" s="5" t="n">
        <v>2000</v>
      </c>
      <c r="L72" s="5" t="n">
        <v>20</v>
      </c>
      <c r="M72" s="5" t="n">
        <v>4</v>
      </c>
      <c r="N72" s="5" t="n">
        <v>4</v>
      </c>
      <c r="O72" s="5" t="n">
        <v>8181</v>
      </c>
      <c r="P72" s="5" t="n">
        <v>1</v>
      </c>
      <c r="Q72">
        <f>L72+IF(M72&gt;1,N(N72)*(M72-1),0)</f>
        <v/>
      </c>
      <c r="R72">
        <f>IFERROR(K72*MAX(M72,1)/Q72*P72,0)</f>
        <v/>
      </c>
      <c r="AA72" s="6" t="inlineStr">
        <is>
          <t>^SmallArms, ^Chaingun</t>
        </is>
      </c>
    </row>
    <row r="73">
      <c r="B73" s="6" t="inlineStr">
        <is>
          <t xml:space="preserve">  ↳ BTRTeslaMachineGun</t>
        </is>
      </c>
      <c r="C73" s="6" t="inlineStr">
        <is>
          <t>Armament@TeslaUpgrade1</t>
        </is>
      </c>
      <c r="K73" s="5" t="n">
        <v>2000</v>
      </c>
      <c r="L73" s="5" t="n">
        <v>20</v>
      </c>
      <c r="M73" s="5" t="n">
        <v>4</v>
      </c>
      <c r="N73" s="5" t="n">
        <v>4</v>
      </c>
      <c r="O73" s="5" t="n">
        <v>5454</v>
      </c>
      <c r="P73" s="5" t="n">
        <v>1</v>
      </c>
      <c r="Q73">
        <f>L73+IF(M73&gt;1,N(N73)*(M73-1),0)</f>
        <v/>
      </c>
      <c r="R73">
        <f>IFERROR(K73*MAX(M73,1)/Q73*P73,0)</f>
        <v/>
      </c>
      <c r="AA73" s="6" t="inlineStr">
        <is>
          <t>^LightMissile, ^TeslaWeapon</t>
        </is>
      </c>
    </row>
    <row r="74">
      <c r="B74" s="6" t="inlineStr">
        <is>
          <t xml:space="preserve">  ↳ BTRTeslaMachineGunArc</t>
        </is>
      </c>
      <c r="C74" s="6" t="inlineStr">
        <is>
          <t>Armament@TeslaUpgrade2</t>
        </is>
      </c>
      <c r="K74" s="5" t="n">
        <v>2000</v>
      </c>
      <c r="L74" s="5" t="n">
        <v>20</v>
      </c>
      <c r="M74" s="5" t="n">
        <v>4</v>
      </c>
      <c r="N74" s="5" t="n">
        <v>4</v>
      </c>
      <c r="O74" s="5" t="n">
        <v>5454</v>
      </c>
      <c r="P74" s="5" t="n">
        <v>1</v>
      </c>
      <c r="Q74">
        <f>L74+IF(M74&gt;1,N(N74)*(M74-1),0)</f>
        <v/>
      </c>
      <c r="R74">
        <f>IFERROR(K74*MAX(M74,1)/Q74*P74,0)</f>
        <v/>
      </c>
      <c r="AA74" s="6" t="inlineStr">
        <is>
          <t>^LightMissile, ^TeslaWeapon</t>
        </is>
      </c>
    </row>
    <row r="75">
      <c r="B75" s="6" t="inlineStr">
        <is>
          <t xml:space="preserve">  ↳ BTRTeslaMachineGunAA</t>
        </is>
      </c>
      <c r="C75" s="6" t="inlineStr">
        <is>
          <t>Armament@TeslaUpgrade1AA</t>
        </is>
      </c>
      <c r="K75" s="5" t="n">
        <v>2000</v>
      </c>
      <c r="L75" s="5" t="n">
        <v>20</v>
      </c>
      <c r="M75" s="5" t="n">
        <v>4</v>
      </c>
      <c r="N75" s="5" t="n">
        <v>4</v>
      </c>
      <c r="O75" s="5" t="n">
        <v>8181</v>
      </c>
      <c r="P75" s="5" t="n">
        <v>1</v>
      </c>
      <c r="Q75">
        <f>L75+IF(M75&gt;1,N(N75)*(M75-1),0)</f>
        <v/>
      </c>
      <c r="R75">
        <f>IFERROR(K75*MAX(M75,1)/Q75*P75,0)</f>
        <v/>
      </c>
      <c r="AA75" s="6" t="inlineStr">
        <is>
          <t>^LightMissile, ^TeslaWeapon</t>
        </is>
      </c>
    </row>
    <row r="76">
      <c r="B76" s="6" t="inlineStr">
        <is>
          <t xml:space="preserve">  ↳ BTRTeslaMachineGunArcAA</t>
        </is>
      </c>
      <c r="C76" s="6" t="inlineStr">
        <is>
          <t>Armament@TeslaUpgrade2AA</t>
        </is>
      </c>
      <c r="K76" s="5" t="n">
        <v>2000</v>
      </c>
      <c r="L76" s="5" t="n">
        <v>20</v>
      </c>
      <c r="M76" s="5" t="n">
        <v>4</v>
      </c>
      <c r="N76" s="5" t="n">
        <v>4</v>
      </c>
      <c r="O76" s="5" t="n">
        <v>8181</v>
      </c>
      <c r="P76" s="5" t="n">
        <v>1</v>
      </c>
      <c r="Q76">
        <f>L76+IF(M76&gt;1,N(N76)*(M76-1),0)</f>
        <v/>
      </c>
      <c r="R76">
        <f>IFERROR(K76*MAX(M76,1)/Q76*P76,0)</f>
        <v/>
      </c>
      <c r="AA76" s="6" t="inlineStr">
        <is>
          <t>^LightMissile, ^TeslaWeapon</t>
        </is>
      </c>
    </row>
    <row r="77">
      <c r="A77" t="inlineStr">
        <is>
          <t>redalert</t>
        </is>
      </c>
      <c r="B77" t="inlineStr">
        <is>
          <t>ra1_soviets_flaktruck</t>
        </is>
      </c>
      <c r="C77" t="inlineStr">
        <is>
          <t>Flak Truck</t>
        </is>
      </c>
      <c r="D77" t="inlineStr"/>
      <c r="E77" s="5" t="n">
        <v>30000</v>
      </c>
      <c r="F77" s="5" t="n">
        <v>120</v>
      </c>
      <c r="G77" t="inlineStr">
        <is>
          <t>Light</t>
        </is>
      </c>
      <c r="H77" s="5" t="n">
        <v>1</v>
      </c>
      <c r="I77" s="5" t="n">
        <v>1.25</v>
      </c>
      <c r="J77" s="5" t="n">
        <v>1</v>
      </c>
      <c r="O77">
        <f>MAX(O78,O79)</f>
        <v/>
      </c>
      <c r="R77">
        <f>R78+R79</f>
        <v/>
      </c>
      <c r="S77">
        <f>(E77/100000+F77/100+(O77/1000)*J77/5+R77/200)*200*I77*H77</f>
        <v/>
      </c>
      <c r="T77">
        <f>((E77*F77/25000)+((O77/1000)*J77*R77/2.5))*I77*H77</f>
        <v/>
      </c>
      <c r="U77">
        <f>(E77*F77*(O77/1000)*J77*R77*I77*H77)/12500000</f>
        <v/>
      </c>
      <c r="V77">
        <f>(S77+T77+U77)/3</f>
        <v/>
      </c>
      <c r="W77" s="5" t="n">
        <v>800</v>
      </c>
      <c r="X77">
        <f>IFERROR(V77-W77,"")</f>
        <v/>
      </c>
      <c r="Y77">
        <f>IFERROR(ABS(X77)/MAX(W77,1),"")</f>
        <v/>
      </c>
      <c r="Z77">
        <f>IFERROR((W77-(((E77/100000+F77/100+R77/200)*200*I77*H77)+((E77*F77/25000)*I77*H77))/3)/(((J77/5)*200*I77*H77)+((J77*R77/2.5)*I77*H77)+((E77*F77*J77*R77*I77*H77)/12500000))/3*1000,"")</f>
        <v/>
      </c>
    </row>
    <row r="78">
      <c r="B78" s="6" t="inlineStr">
        <is>
          <t xml:space="preserve">  ↳ FLAK-23-AA</t>
        </is>
      </c>
      <c r="C78" s="6" t="inlineStr">
        <is>
          <t>Armament@AA</t>
        </is>
      </c>
      <c r="K78" s="5" t="n">
        <v>2000</v>
      </c>
      <c r="L78" s="5" t="n">
        <v>5</v>
      </c>
      <c r="M78" s="5" t="n">
        <v>2</v>
      </c>
      <c r="N78" s="5" t="n"/>
      <c r="O78" s="5" t="n">
        <v>8118</v>
      </c>
      <c r="P78" s="5" t="n">
        <v>1</v>
      </c>
      <c r="Q78">
        <f>L78+IF(M78&gt;1,N(N78)*(M78-1),0)</f>
        <v/>
      </c>
      <c r="R78">
        <f>IFERROR(K78*MAX(M78,1)/Q78*P78,0)</f>
        <v/>
      </c>
      <c r="AA78" s="6" t="inlineStr">
        <is>
          <t>^Chaingun, ^FlakWeapon</t>
        </is>
      </c>
    </row>
    <row r="79">
      <c r="B79" s="6" t="inlineStr">
        <is>
          <t xml:space="preserve">  ↳ FLAK-23-AG</t>
        </is>
      </c>
      <c r="C79" s="6" t="inlineStr">
        <is>
          <t>Armament@AG</t>
        </is>
      </c>
      <c r="K79" s="5" t="n">
        <v>2000</v>
      </c>
      <c r="L79" s="5" t="n">
        <v>5</v>
      </c>
      <c r="M79" s="5" t="n">
        <v>2</v>
      </c>
      <c r="N79" s="5" t="n"/>
      <c r="O79" s="5" t="n">
        <v>5412</v>
      </c>
      <c r="P79" s="5" t="n">
        <v>1</v>
      </c>
      <c r="Q79">
        <f>L79+IF(M79&gt;1,N(N79)*(M79-1),0)</f>
        <v/>
      </c>
      <c r="R79">
        <f>IFERROR(K79*MAX(M79,1)/Q79*P79,0)</f>
        <v/>
      </c>
      <c r="AA79" s="6" t="inlineStr">
        <is>
          <t>^Chaingun, ^FlakWeapon</t>
        </is>
      </c>
    </row>
    <row r="80">
      <c r="A80" t="inlineStr">
        <is>
          <t>redalert</t>
        </is>
      </c>
      <c r="B80" t="inlineStr">
        <is>
          <t>ra1_soviets_gatlingtank</t>
        </is>
      </c>
      <c r="C80" t="inlineStr">
        <is>
          <t>Gatling Tank</t>
        </is>
      </c>
      <c r="D80" t="inlineStr"/>
      <c r="E80" s="5" t="n">
        <v>75000</v>
      </c>
      <c r="F80" s="5" t="n">
        <v>75</v>
      </c>
      <c r="G80" t="inlineStr">
        <is>
          <t>Medium</t>
        </is>
      </c>
      <c r="H80" s="5" t="n">
        <v>1</v>
      </c>
      <c r="I80" s="5" t="n">
        <v>1</v>
      </c>
      <c r="J80" s="5" t="n">
        <v>1</v>
      </c>
      <c r="O80">
        <f>MAX(O81,O82,O83,O84,O85,O86,O87,O88)</f>
        <v/>
      </c>
      <c r="R80">
        <f>R81+R82+R83+R84+R85+R86+R87+R88</f>
        <v/>
      </c>
      <c r="S80">
        <f>(E80/100000+F80/100+(O80/1000)*J80/5+R80/200)*200*I80*H80</f>
        <v/>
      </c>
      <c r="T80">
        <f>((E80*F80/25000)+((O80/1000)*J80*R80/2.5))*I80*H80</f>
        <v/>
      </c>
      <c r="U80">
        <f>(E80*F80*(O80/1000)*J80*R80*I80*H80)/12500000</f>
        <v/>
      </c>
      <c r="V80">
        <f>(S80+T80+U80)/3</f>
        <v/>
      </c>
      <c r="W80" s="5" t="n">
        <v>1100</v>
      </c>
      <c r="X80">
        <f>IFERROR(V80-W80,"")</f>
        <v/>
      </c>
      <c r="Y80">
        <f>IFERROR(ABS(X80)/MAX(W80,1),"")</f>
        <v/>
      </c>
      <c r="Z80">
        <f>IFERROR((W80-(((E80/100000+F80/100+R80/200)*200*I80*H80)+((E80*F80/25000)*I80*H80))/3)/(((J80/5)*200*I80*H80)+((J80*R80/2.5)*I80*H80)+((E80*F80*J80*R80*I80*H80)/12500000))/3*1000,"")</f>
        <v/>
      </c>
    </row>
    <row r="81">
      <c r="B81" s="6" t="inlineStr">
        <is>
          <t xml:space="preserve">  ↳ RAGatlingTankCannon</t>
        </is>
      </c>
      <c r="C81" s="6" t="inlineStr">
        <is>
          <t>Armament@AG</t>
        </is>
      </c>
      <c r="K81" s="5" t="n">
        <v>2000</v>
      </c>
      <c r="L81" s="5" t="n">
        <v>10</v>
      </c>
      <c r="M81" s="5" t="n">
        <v>1</v>
      </c>
      <c r="N81" s="5" t="n"/>
      <c r="O81" s="5" t="n">
        <v>5000</v>
      </c>
      <c r="P81" s="5" t="n">
        <v>1</v>
      </c>
      <c r="Q81">
        <f>L81+IF(M81&gt;1,N(N81)*(M81-1),0)</f>
        <v/>
      </c>
      <c r="R81">
        <f>IFERROR(K81*MAX(M81,1)/Q81*P81,0)</f>
        <v/>
      </c>
      <c r="AA81" s="6" t="inlineStr">
        <is>
          <t>^Chaingun</t>
        </is>
      </c>
    </row>
    <row r="82">
      <c r="B82" s="6" t="inlineStr">
        <is>
          <t xml:space="preserve">  ↳ RAGatlingTankCannonAA</t>
        </is>
      </c>
      <c r="C82" s="6" t="inlineStr">
        <is>
          <t>Armament@AA</t>
        </is>
      </c>
      <c r="K82" s="5" t="n">
        <v>2000</v>
      </c>
      <c r="L82" s="5" t="n">
        <v>10</v>
      </c>
      <c r="M82" s="5" t="n">
        <v>1</v>
      </c>
      <c r="N82" s="5" t="n"/>
      <c r="O82" s="5" t="n">
        <v>7500</v>
      </c>
      <c r="P82" s="5" t="n">
        <v>1</v>
      </c>
      <c r="Q82">
        <f>L82+IF(M82&gt;1,N(N82)*(M82-1),0)</f>
        <v/>
      </c>
      <c r="R82">
        <f>IFERROR(K82*MAX(M82,1)/Q82*P82,0)</f>
        <v/>
      </c>
      <c r="AA82" s="6" t="inlineStr">
        <is>
          <t>^Chaingun</t>
        </is>
      </c>
    </row>
    <row r="83">
      <c r="B83" s="6" t="inlineStr">
        <is>
          <t xml:space="preserve">  ↳ IncendiaryRAGatlingTankCannon</t>
        </is>
      </c>
      <c r="C83" s="6" t="inlineStr">
        <is>
          <t>Armament@UpgradeAG</t>
        </is>
      </c>
      <c r="K83" s="5" t="n">
        <v>2000</v>
      </c>
      <c r="L83" s="5" t="n">
        <v>10</v>
      </c>
      <c r="M83" s="5" t="n">
        <v>1</v>
      </c>
      <c r="N83" s="5" t="n"/>
      <c r="O83" s="5" t="n">
        <v>5000</v>
      </c>
      <c r="P83" s="5" t="n">
        <v>1</v>
      </c>
      <c r="Q83">
        <f>L83+IF(M83&gt;1,N(N83)*(M83-1),0)</f>
        <v/>
      </c>
      <c r="R83">
        <f>IFERROR(K83*MAX(M83,1)/Q83*P83,0)</f>
        <v/>
      </c>
      <c r="AA83" s="6" t="inlineStr">
        <is>
          <t>^Chaingun, ^LightFlameWeapon, ^IncendiaryBulletProjectile</t>
        </is>
      </c>
    </row>
    <row r="84">
      <c r="B84" s="6" t="inlineStr">
        <is>
          <t xml:space="preserve">  ↳ IncendiaryRAGatlingTankCannonAA</t>
        </is>
      </c>
      <c r="C84" s="6" t="inlineStr">
        <is>
          <t>Armament@UpgradeAA</t>
        </is>
      </c>
      <c r="K84" s="5" t="n">
        <v>2000</v>
      </c>
      <c r="L84" s="5" t="n">
        <v>10</v>
      </c>
      <c r="M84" s="5" t="n">
        <v>1</v>
      </c>
      <c r="N84" s="5" t="n"/>
      <c r="O84" s="5" t="n">
        <v>7500</v>
      </c>
      <c r="P84" s="5" t="n">
        <v>1</v>
      </c>
      <c r="Q84">
        <f>L84+IF(M84&gt;1,N(N84)*(M84-1),0)</f>
        <v/>
      </c>
      <c r="R84">
        <f>IFERROR(K84*MAX(M84,1)/Q84*P84,0)</f>
        <v/>
      </c>
      <c r="AA84" s="6" t="inlineStr">
        <is>
          <t>^Chaingun, ^LightFlameWeapon, ^IncendiaryBulletProjectile</t>
        </is>
      </c>
    </row>
    <row r="85">
      <c r="B85" s="6" t="inlineStr">
        <is>
          <t xml:space="preserve">  ↳ TeslaRAGatlingTankCannon</t>
        </is>
      </c>
      <c r="C85" s="6" t="inlineStr">
        <is>
          <t>Armament@TeslaUpgrade1</t>
        </is>
      </c>
      <c r="K85" s="5" t="n">
        <v>2000</v>
      </c>
      <c r="L85" s="5" t="n">
        <v>10</v>
      </c>
      <c r="M85" s="5" t="n">
        <v>1</v>
      </c>
      <c r="N85" s="5" t="n"/>
      <c r="O85" s="5" t="n">
        <v>5000</v>
      </c>
      <c r="P85" s="5" t="n">
        <v>1</v>
      </c>
      <c r="Q85">
        <f>L85+IF(M85&gt;1,N(N85)*(M85-1),0)</f>
        <v/>
      </c>
      <c r="R85">
        <f>IFERROR(K85*MAX(M85,1)/Q85*P85,0)</f>
        <v/>
      </c>
      <c r="AA85" s="6" t="inlineStr">
        <is>
          <t>^TeslaWeapon</t>
        </is>
      </c>
    </row>
    <row r="86">
      <c r="B86" s="6" t="inlineStr">
        <is>
          <t xml:space="preserve">  ↳ TeslaRAGatlingTankCannonArc</t>
        </is>
      </c>
      <c r="C86" s="6" t="inlineStr">
        <is>
          <t>Armament@TeslaUpgrade2</t>
        </is>
      </c>
      <c r="K86" s="5" t="n">
        <v>2000</v>
      </c>
      <c r="L86" s="5" t="n">
        <v>10</v>
      </c>
      <c r="M86" s="5" t="n">
        <v>1</v>
      </c>
      <c r="N86" s="5" t="n"/>
      <c r="O86" s="5" t="n">
        <v>5000</v>
      </c>
      <c r="P86" s="5" t="n">
        <v>1</v>
      </c>
      <c r="Q86">
        <f>L86+IF(M86&gt;1,N(N86)*(M86-1),0)</f>
        <v/>
      </c>
      <c r="R86">
        <f>IFERROR(K86*MAX(M86,1)/Q86*P86,0)</f>
        <v/>
      </c>
      <c r="AA86" s="6" t="inlineStr">
        <is>
          <t>^TeslaWeapon</t>
        </is>
      </c>
    </row>
    <row r="87">
      <c r="B87" s="6" t="inlineStr">
        <is>
          <t xml:space="preserve">  ↳ TeslaRAGatlingTankCannonAA</t>
        </is>
      </c>
      <c r="C87" s="6" t="inlineStr">
        <is>
          <t>Armament@TeslaUpgrade1AA</t>
        </is>
      </c>
      <c r="K87" s="5" t="n">
        <v>2000</v>
      </c>
      <c r="L87" s="5" t="n">
        <v>10</v>
      </c>
      <c r="M87" s="5" t="n">
        <v>1</v>
      </c>
      <c r="N87" s="5" t="n"/>
      <c r="O87" s="5" t="n">
        <v>7500</v>
      </c>
      <c r="P87" s="5" t="n">
        <v>1</v>
      </c>
      <c r="Q87">
        <f>L87+IF(M87&gt;1,N(N87)*(M87-1),0)</f>
        <v/>
      </c>
      <c r="R87">
        <f>IFERROR(K87*MAX(M87,1)/Q87*P87,0)</f>
        <v/>
      </c>
      <c r="AA87" s="6" t="inlineStr">
        <is>
          <t>^TeslaWeapon</t>
        </is>
      </c>
    </row>
    <row r="88">
      <c r="B88" s="6" t="inlineStr">
        <is>
          <t xml:space="preserve">  ↳ TeslaRAGatlingTankCannonArcAA</t>
        </is>
      </c>
      <c r="C88" s="6" t="inlineStr">
        <is>
          <t>Armament@TeslaUpgrade2AA</t>
        </is>
      </c>
      <c r="K88" s="5" t="n">
        <v>2000</v>
      </c>
      <c r="L88" s="5" t="n">
        <v>10</v>
      </c>
      <c r="M88" s="5" t="n">
        <v>1</v>
      </c>
      <c r="N88" s="5" t="n"/>
      <c r="O88" s="5" t="n">
        <v>7500</v>
      </c>
      <c r="P88" s="5" t="n">
        <v>1</v>
      </c>
      <c r="Q88">
        <f>L88+IF(M88&gt;1,N(N88)*(M88-1),0)</f>
        <v/>
      </c>
      <c r="R88">
        <f>IFERROR(K88*MAX(M88,1)/Q88*P88,0)</f>
        <v/>
      </c>
      <c r="AA88" s="6" t="inlineStr">
        <is>
          <t>^TeslaWeapon</t>
        </is>
      </c>
    </row>
    <row r="89">
      <c r="A89" t="inlineStr">
        <is>
          <t>redalert</t>
        </is>
      </c>
      <c r="B89" t="inlineStr">
        <is>
          <t>ra1_soviets_gorynychtank</t>
        </is>
      </c>
      <c r="C89" t="inlineStr">
        <is>
          <t>Gorynych Tank</t>
        </is>
      </c>
      <c r="D89" t="inlineStr"/>
      <c r="E89" s="5" t="n">
        <v>150000</v>
      </c>
      <c r="F89" s="5" t="n">
        <v>70</v>
      </c>
      <c r="G89" t="inlineStr">
        <is>
          <t>Heavy</t>
        </is>
      </c>
      <c r="H89" s="5" t="n">
        <v>1</v>
      </c>
      <c r="I89" s="5" t="n">
        <v>1</v>
      </c>
      <c r="J89" s="5" t="n">
        <v>1</v>
      </c>
      <c r="O89">
        <f>MAX(O90)</f>
        <v/>
      </c>
      <c r="R89">
        <f>R90</f>
        <v/>
      </c>
      <c r="S89">
        <f>(E89/100000+F89/100+(O89/1000)*J89/5+R89/200)*200*I89*H89</f>
        <v/>
      </c>
      <c r="T89">
        <f>((E89*F89/25000)+((O89/1000)*J89*R89/2.5))*I89*H89</f>
        <v/>
      </c>
      <c r="U89">
        <f>(E89*F89*(O89/1000)*J89*R89*I89*H89)/12500000</f>
        <v/>
      </c>
      <c r="V89">
        <f>(S89+T89+U89)/3</f>
        <v/>
      </c>
      <c r="W89" s="5" t="n">
        <v>1300</v>
      </c>
      <c r="X89">
        <f>IFERROR(V89-W89,"")</f>
        <v/>
      </c>
      <c r="Y89">
        <f>IFERROR(ABS(X89)/MAX(W89,1),"")</f>
        <v/>
      </c>
      <c r="Z89">
        <f>IFERROR((W89-(((E89/100000+F89/100+R89/200)*200*I89*H89)+((E89*F89/25000)*I89*H89))/3)/(((J89/5)*200*I89*H89)+((J89*R89/2.5)*I89*H89)+((E89*F89*J89*R89*I89*H89)/12500000))/3*1000,"")</f>
        <v/>
      </c>
    </row>
    <row r="90">
      <c r="B90" s="6" t="inlineStr">
        <is>
          <t xml:space="preserve">  ↳ BigFlamer</t>
        </is>
      </c>
      <c r="C90" s="6" t="inlineStr">
        <is>
          <t>Armament</t>
        </is>
      </c>
      <c r="K90" s="5" t="n">
        <v>14000</v>
      </c>
      <c r="L90" s="5" t="n">
        <v>50</v>
      </c>
      <c r="M90" s="5" t="n">
        <v>2</v>
      </c>
      <c r="N90" s="5" t="n">
        <v>10</v>
      </c>
      <c r="O90" s="5" t="n">
        <v>2390</v>
      </c>
      <c r="P90" s="5" t="n">
        <v>1</v>
      </c>
      <c r="Q90">
        <f>L90+IF(M90&gt;1,N(N90)*(M90-1),0)</f>
        <v/>
      </c>
      <c r="R90">
        <f>IFERROR(K90*MAX(M90,1)/Q90*P90,0)</f>
        <v/>
      </c>
      <c r="AA90" s="6" t="inlineStr">
        <is>
          <t>^MediumFlameWeapon</t>
        </is>
      </c>
    </row>
    <row r="91">
      <c r="A91" t="inlineStr">
        <is>
          <t>redalert</t>
        </is>
      </c>
      <c r="B91" t="inlineStr">
        <is>
          <t>ra1_soviets_grad</t>
        </is>
      </c>
      <c r="C91" t="inlineStr">
        <is>
          <t>Grad</t>
        </is>
      </c>
      <c r="D91" t="inlineStr"/>
      <c r="E91" s="5" t="n">
        <v>50000</v>
      </c>
      <c r="F91" s="5" t="n">
        <v>75</v>
      </c>
      <c r="G91" t="inlineStr">
        <is>
          <t>Medium</t>
        </is>
      </c>
      <c r="H91" s="5" t="n">
        <v>0.75</v>
      </c>
      <c r="I91" s="5" t="n">
        <v>0.5</v>
      </c>
      <c r="J91" s="5" t="n">
        <v>1</v>
      </c>
      <c r="O91">
        <f>MAX(O92,O93)</f>
        <v/>
      </c>
      <c r="R91">
        <f>R92+R93</f>
        <v/>
      </c>
      <c r="S91">
        <f>(E91/100000+F91/100+(O91/1000)*J91/5+R91/200)*200*I91*H91</f>
        <v/>
      </c>
      <c r="T91">
        <f>((E91*F91/25000)+((O91/1000)*J91*R91/2.5))*I91*H91</f>
        <v/>
      </c>
      <c r="U91">
        <f>(E91*F91*(O91/1000)*J91*R91*I91*H91)/12500000</f>
        <v/>
      </c>
      <c r="V91">
        <f>(S91+T91+U91)/3</f>
        <v/>
      </c>
      <c r="W91" s="5" t="n">
        <v>1400</v>
      </c>
      <c r="X91">
        <f>IFERROR(V91-W91,"")</f>
        <v/>
      </c>
      <c r="Y91">
        <f>IFERROR(ABS(X91)/MAX(W91,1),"")</f>
        <v/>
      </c>
      <c r="Z91">
        <f>IFERROR((W91-(((E91/100000+F91/100+R91/200)*200*I91*H91)+((E91*F91/25000)*I91*H91))/3)/(((J91/5)*200*I91*H91)+((J91*R91/2.5)*I91*H91)+((E91*F91*J91*R91*I91*H91)/12500000))/3*1000,"")</f>
        <v/>
      </c>
    </row>
    <row r="92">
      <c r="B92" s="6" t="inlineStr">
        <is>
          <t xml:space="preserve">  ↳ GradRockets</t>
        </is>
      </c>
      <c r="C92" s="6" t="inlineStr">
        <is>
          <t>Armament</t>
        </is>
      </c>
      <c r="K92" s="5" t="n">
        <v>8000</v>
      </c>
      <c r="L92" s="5" t="n">
        <v>115</v>
      </c>
      <c r="M92" s="5" t="n">
        <v>8</v>
      </c>
      <c r="N92" s="5" t="n">
        <v>5</v>
      </c>
      <c r="O92" s="5" t="n">
        <v>13820</v>
      </c>
      <c r="P92" s="5" t="n">
        <v>1</v>
      </c>
      <c r="Q92">
        <f>L92+IF(M92&gt;1,N(N92)*(M92-1),0)</f>
        <v/>
      </c>
      <c r="R92">
        <f>IFERROR(K92*MAX(M92,1)/Q92*P92,0)</f>
        <v/>
      </c>
      <c r="AA92" s="6" t="inlineStr">
        <is>
          <t>^HeavyMissile, ^ShrapnelWeapon</t>
        </is>
      </c>
    </row>
    <row r="93">
      <c r="B93" s="6" t="inlineStr">
        <is>
          <t xml:space="preserve">  ↳ GradHeavyRockets</t>
        </is>
      </c>
      <c r="C93" s="6" t="inlineStr">
        <is>
          <t>Armament@Upgrade</t>
        </is>
      </c>
      <c r="K93" s="5" t="n">
        <v>4000</v>
      </c>
      <c r="L93" s="5" t="n">
        <v>115</v>
      </c>
      <c r="M93" s="5" t="n">
        <v>8</v>
      </c>
      <c r="N93" s="5" t="n">
        <v>5</v>
      </c>
      <c r="O93" s="5" t="n">
        <v>13820</v>
      </c>
      <c r="P93" s="5" t="n">
        <v>1</v>
      </c>
      <c r="Q93">
        <f>L93+IF(M93&gt;1,N(N93)*(M93-1),0)</f>
        <v/>
      </c>
      <c r="R93">
        <f>IFERROR(K93*MAX(M93,1)/Q93*P93,0)</f>
        <v/>
      </c>
      <c r="AA93" s="6" t="inlineStr">
        <is>
          <t>^MediumChemicalWeapon, ^HeavyBomb, ^HeavyMissile, ^ShrapnelWeapon</t>
        </is>
      </c>
    </row>
    <row r="94">
      <c r="A94" t="inlineStr">
        <is>
          <t>redalert</t>
        </is>
      </c>
      <c r="B94" t="inlineStr">
        <is>
          <t>ra1_soviets_hammertank</t>
        </is>
      </c>
      <c r="C94" t="inlineStr">
        <is>
          <t>Hammer Tank</t>
        </is>
      </c>
      <c r="D94" t="inlineStr"/>
      <c r="E94" s="5" t="n">
        <v>210000</v>
      </c>
      <c r="F94" s="5" t="n">
        <v>60</v>
      </c>
      <c r="G94" t="inlineStr">
        <is>
          <t>Heavy</t>
        </is>
      </c>
      <c r="H94" s="5" t="n">
        <v>1</v>
      </c>
      <c r="I94" s="5" t="n">
        <v>1</v>
      </c>
      <c r="J94" s="5" t="n">
        <v>1</v>
      </c>
      <c r="O94">
        <f>MAX(O95,O96,O97)</f>
        <v/>
      </c>
      <c r="R94">
        <f>R95+R96+R97</f>
        <v/>
      </c>
      <c r="S94">
        <f>(E94/100000+F94/100+(O94/1000)*J94/5+R94/200)*200*I94*H94</f>
        <v/>
      </c>
      <c r="T94">
        <f>((E94*F94/25000)+((O94/1000)*J94*R94/2.5))*I94*H94</f>
        <v/>
      </c>
      <c r="U94">
        <f>(E94*F94*(O94/1000)*J94*R94*I94*H94)/12500000</f>
        <v/>
      </c>
      <c r="V94">
        <f>(S94+T94+U94)/3</f>
        <v/>
      </c>
      <c r="W94" s="5" t="n">
        <v>1500</v>
      </c>
      <c r="X94">
        <f>IFERROR(V94-W94,"")</f>
        <v/>
      </c>
      <c r="Y94">
        <f>IFERROR(ABS(X94)/MAX(W94,1),"")</f>
        <v/>
      </c>
      <c r="Z94">
        <f>IFERROR((W94-(((E94/100000+F94/100+R94/200)*200*I94*H94)+((E94*F94/25000)*I94*H94))/3)/(((J94/5)*200*I94*H94)+((J94*R94/2.5)*I94*H94)+((E94*F94*J94*R94*I94*H94)/12500000))/3*1000,"")</f>
        <v/>
      </c>
    </row>
    <row r="95">
      <c r="B95" s="6" t="inlineStr">
        <is>
          <t xml:space="preserve">  ↳ HammerTankCannon</t>
        </is>
      </c>
      <c r="C95" s="6" t="inlineStr">
        <is>
          <t>Armament</t>
        </is>
      </c>
      <c r="K95" s="5" t="n">
        <v>6000</v>
      </c>
      <c r="L95" s="5" t="n">
        <v>85</v>
      </c>
      <c r="M95" s="5" t="n">
        <v>2</v>
      </c>
      <c r="N95" s="5" t="n">
        <v>5</v>
      </c>
      <c r="O95" s="5" t="n">
        <v>6825</v>
      </c>
      <c r="P95" s="5" t="n">
        <v>1</v>
      </c>
      <c r="Q95">
        <f>L95+IF(M95&gt;1,N(N95)*(M95-1),0)</f>
        <v/>
      </c>
      <c r="R95">
        <f>IFERROR(K95*MAX(M95,1)/Q95*P95,0)</f>
        <v/>
      </c>
      <c r="AA95" s="6" t="inlineStr">
        <is>
          <t>^HeavyCannon, ^MediumCannon</t>
        </is>
      </c>
    </row>
    <row r="96">
      <c r="B96" s="6" t="inlineStr">
        <is>
          <t xml:space="preserve">  ↳ HammerTankCannonThermobaric</t>
        </is>
      </c>
      <c r="C96" s="6" t="inlineStr">
        <is>
          <t>Armament@Upgrade</t>
        </is>
      </c>
      <c r="K96" s="5" t="n">
        <v>4000</v>
      </c>
      <c r="L96" s="5" t="n">
        <v>85</v>
      </c>
      <c r="M96" s="5" t="n">
        <v>2</v>
      </c>
      <c r="N96" s="5" t="n">
        <v>5</v>
      </c>
      <c r="O96" s="5" t="n">
        <v>6825</v>
      </c>
      <c r="P96" s="5" t="n">
        <v>1</v>
      </c>
      <c r="Q96">
        <f>L96+IF(M96&gt;1,N(N96)*(M96-1),0)</f>
        <v/>
      </c>
      <c r="R96">
        <f>IFERROR(K96*MAX(M96,1)/Q96*P96,0)</f>
        <v/>
      </c>
      <c r="AA96" s="6" t="inlineStr">
        <is>
          <t>^HeavyBomb, ^MediumFlameWeapon, ^HeavyCannon, ^MediumCannon</t>
        </is>
      </c>
    </row>
    <row r="97">
      <c r="B97" s="6" t="inlineStr">
        <is>
          <t xml:space="preserve">  ↳ ShtoraLaser</t>
        </is>
      </c>
      <c r="C97" s="6" t="inlineStr">
        <is>
          <t>Armament@shtora</t>
        </is>
      </c>
      <c r="K97" s="5" t="n">
        <v>2000</v>
      </c>
      <c r="L97" s="5" t="n">
        <v>100</v>
      </c>
      <c r="M97" s="5" t="n">
        <v>1</v>
      </c>
      <c r="N97" s="5" t="n"/>
      <c r="O97" s="5" t="n">
        <v>6825</v>
      </c>
      <c r="P97" s="5" t="n">
        <v>1</v>
      </c>
      <c r="Q97">
        <f>L97+IF(M97&gt;1,N(N97)*(M97-1),0)</f>
        <v/>
      </c>
      <c r="R97">
        <f>IFERROR(K97*MAX(M97,1)/Q97*P97,0)</f>
        <v/>
      </c>
      <c r="AA97" s="6" t="inlineStr">
        <is>
          <t>^LightFlameWeapon, ^FlakWeapon, ^LaserWeapon</t>
        </is>
      </c>
    </row>
    <row r="98">
      <c r="A98" t="inlineStr">
        <is>
          <t>redalert</t>
        </is>
      </c>
      <c r="B98" t="inlineStr">
        <is>
          <t>ra1_soviets_heatraytank</t>
        </is>
      </c>
      <c r="C98" t="inlineStr">
        <is>
          <t>Heatray Tank</t>
        </is>
      </c>
      <c r="D98" t="inlineStr"/>
      <c r="E98" s="5" t="n">
        <v>60000</v>
      </c>
      <c r="F98" s="5" t="n">
        <v>60</v>
      </c>
      <c r="G98" t="inlineStr">
        <is>
          <t>Medium</t>
        </is>
      </c>
      <c r="H98" s="5" t="n">
        <v>1</v>
      </c>
      <c r="I98" s="5" t="n">
        <v>1</v>
      </c>
      <c r="J98" s="5" t="n">
        <v>1</v>
      </c>
      <c r="O98">
        <f>MAX(O99,O100,O101,O102)</f>
        <v/>
      </c>
      <c r="R98">
        <f>R99+R100+R101+R102</f>
        <v/>
      </c>
      <c r="S98">
        <f>(E98/100000+F98/100+(O98/1000)*J98/5+R98/200)*200*I98*H98</f>
        <v/>
      </c>
      <c r="T98">
        <f>((E98*F98/25000)+((O98/1000)*J98*R98/2.5))*I98*H98</f>
        <v/>
      </c>
      <c r="U98">
        <f>(E98*F98*(O98/1000)*J98*R98*I98*H98)/12500000</f>
        <v/>
      </c>
      <c r="V98">
        <f>(S98+T98+U98)/3</f>
        <v/>
      </c>
      <c r="W98" s="5" t="n">
        <v>1900</v>
      </c>
      <c r="X98">
        <f>IFERROR(V98-W98,"")</f>
        <v/>
      </c>
      <c r="Y98">
        <f>IFERROR(ABS(X98)/MAX(W98,1),"")</f>
        <v/>
      </c>
      <c r="Z98">
        <f>IFERROR((W98-(((E98/100000+F98/100+R98/200)*200*I98*H98)+((E98*F98/25000)*I98*H98))/3)/(((J98/5)*200*I98*H98)+((J98*R98/2.5)*I98*H98)+((E98*F98*J98*R98*I98*H98)/12500000))/3*1000,"")</f>
        <v/>
      </c>
    </row>
    <row r="99">
      <c r="B99" s="6" t="inlineStr">
        <is>
          <t xml:space="preserve">  ↳ HeatRayBeam1</t>
        </is>
      </c>
      <c r="C99" s="6" t="inlineStr">
        <is>
          <t>Armament@1</t>
        </is>
      </c>
      <c r="K99" s="5" t="n">
        <v>2000</v>
      </c>
      <c r="L99" s="5" t="n">
        <v>8</v>
      </c>
      <c r="M99" s="5" t="n">
        <v>1</v>
      </c>
      <c r="N99" s="5" t="n"/>
      <c r="O99" s="5" t="n">
        <v>8212</v>
      </c>
      <c r="P99" s="5" t="n">
        <v>1</v>
      </c>
      <c r="Q99">
        <f>L99+IF(M99&gt;1,N(N99)*(M99-1),0)</f>
        <v/>
      </c>
      <c r="R99">
        <f>IFERROR(K99*MAX(M99,1)/Q99*P99,0)</f>
        <v/>
      </c>
      <c r="AA99" s="6" t="inlineStr">
        <is>
          <t>^LaserWeapon, ^MediumChemicalWeapon, ^LightFlameWeapon</t>
        </is>
      </c>
    </row>
    <row r="100">
      <c r="B100" s="6" t="inlineStr">
        <is>
          <t xml:space="preserve">  ↳ HeatRayBeam2</t>
        </is>
      </c>
      <c r="C100" s="6" t="inlineStr">
        <is>
          <t>Armament@2</t>
        </is>
      </c>
      <c r="K100" s="5" t="n">
        <v>2000</v>
      </c>
      <c r="L100" s="5" t="n">
        <v>8</v>
      </c>
      <c r="M100" s="5" t="n">
        <v>1</v>
      </c>
      <c r="N100" s="5" t="n"/>
      <c r="O100" s="5" t="n">
        <v>8212</v>
      </c>
      <c r="P100" s="5" t="n">
        <v>1</v>
      </c>
      <c r="Q100">
        <f>L100+IF(M100&gt;1,N(N100)*(M100-1),0)</f>
        <v/>
      </c>
      <c r="R100">
        <f>IFERROR(K100*MAX(M100,1)/Q100*P100,0)</f>
        <v/>
      </c>
      <c r="AA100" s="6" t="inlineStr">
        <is>
          <t>^LaserWeapon, ^MediumChemicalWeapon, ^LightFlameWeapon</t>
        </is>
      </c>
    </row>
    <row r="101">
      <c r="B101" s="6" t="inlineStr">
        <is>
          <t xml:space="preserve">  ↳ HeatRayBeam3</t>
        </is>
      </c>
      <c r="C101" s="6" t="inlineStr">
        <is>
          <t>Armament@3</t>
        </is>
      </c>
      <c r="K101" s="5" t="n">
        <v>2000</v>
      </c>
      <c r="L101" s="5" t="n">
        <v>8</v>
      </c>
      <c r="M101" s="5" t="n">
        <v>1</v>
      </c>
      <c r="N101" s="5" t="n"/>
      <c r="O101" s="5" t="n">
        <v>8212</v>
      </c>
      <c r="P101" s="5" t="n">
        <v>1</v>
      </c>
      <c r="Q101">
        <f>L101+IF(M101&gt;1,N(N101)*(M101-1),0)</f>
        <v/>
      </c>
      <c r="R101">
        <f>IFERROR(K101*MAX(M101,1)/Q101*P101,0)</f>
        <v/>
      </c>
      <c r="AA101" s="6" t="inlineStr">
        <is>
          <t>^LaserWeapon, ^MediumChemicalWeapon, ^LightFlameWeapon</t>
        </is>
      </c>
    </row>
    <row r="102">
      <c r="B102" s="6" t="inlineStr">
        <is>
          <t xml:space="preserve">  ↳ HeatRayBeam4</t>
        </is>
      </c>
      <c r="C102" s="6" t="inlineStr">
        <is>
          <t>Armament@4</t>
        </is>
      </c>
      <c r="K102" s="5" t="n">
        <v>2000</v>
      </c>
      <c r="L102" s="5" t="n">
        <v>8</v>
      </c>
      <c r="M102" s="5" t="n">
        <v>1</v>
      </c>
      <c r="N102" s="5" t="n"/>
      <c r="O102" s="5" t="n">
        <v>8212</v>
      </c>
      <c r="P102" s="5" t="n">
        <v>1</v>
      </c>
      <c r="Q102">
        <f>L102+IF(M102&gt;1,N(N102)*(M102-1),0)</f>
        <v/>
      </c>
      <c r="R102">
        <f>IFERROR(K102*MAX(M102,1)/Q102*P102,0)</f>
        <v/>
      </c>
      <c r="AA102" s="6" t="inlineStr">
        <is>
          <t>^LaserWeapon, ^MediumChemicalWeapon, ^LightFlameWeapon</t>
        </is>
      </c>
    </row>
    <row r="103">
      <c r="A103" t="inlineStr">
        <is>
          <t>redalert</t>
        </is>
      </c>
      <c r="B103" t="inlineStr">
        <is>
          <t>ra1_soviets_heavyindustrialminer</t>
        </is>
      </c>
      <c r="C103" t="inlineStr">
        <is>
          <t>Soviet Heavy Industrial Miner</t>
        </is>
      </c>
      <c r="D103" t="inlineStr"/>
      <c r="E103" s="5" t="n">
        <v>135000</v>
      </c>
      <c r="F103" s="5" t="n">
        <v>80</v>
      </c>
      <c r="G103" t="inlineStr">
        <is>
          <t>Medium</t>
        </is>
      </c>
      <c r="H103" s="5" t="n">
        <v>1</v>
      </c>
      <c r="I103" s="5" t="n">
        <v>1</v>
      </c>
      <c r="J103" s="5" t="n">
        <v>1</v>
      </c>
      <c r="W103" s="5" t="n">
        <v>1200</v>
      </c>
    </row>
    <row r="104">
      <c r="A104" t="inlineStr">
        <is>
          <t>redalert</t>
        </is>
      </c>
      <c r="B104" t="inlineStr">
        <is>
          <t>ra1_soviets_heavytank</t>
        </is>
      </c>
      <c r="C104" t="inlineStr">
        <is>
          <t>Soviet Heavy Tank</t>
        </is>
      </c>
      <c r="D104" t="inlineStr"/>
      <c r="E104" s="5" t="n">
        <v>150000</v>
      </c>
      <c r="F104" s="5" t="n">
        <v>70</v>
      </c>
      <c r="G104" t="inlineStr">
        <is>
          <t>Heavy</t>
        </is>
      </c>
      <c r="H104" s="5" t="n">
        <v>1</v>
      </c>
      <c r="I104" s="5" t="n">
        <v>1</v>
      </c>
      <c r="J104" s="5" t="n">
        <v>1</v>
      </c>
      <c r="O104">
        <f>MAX(O105,O106)</f>
        <v/>
      </c>
      <c r="R104">
        <f>R105+R106</f>
        <v/>
      </c>
      <c r="S104">
        <f>(E104/100000+F104/100+(O104/1000)*J104/5+R104/200)*200*I104*H104</f>
        <v/>
      </c>
      <c r="T104">
        <f>((E104*F104/25000)+((O104/1000)*J104*R104/2.5))*I104*H104</f>
        <v/>
      </c>
      <c r="U104">
        <f>(E104*F104*(O104/1000)*J104*R104*I104*H104)/12500000</f>
        <v/>
      </c>
      <c r="V104">
        <f>(S104+T104+U104)/3</f>
        <v/>
      </c>
      <c r="W104" s="5" t="n">
        <v>1000</v>
      </c>
      <c r="X104">
        <f>IFERROR(V104-W104,"")</f>
        <v/>
      </c>
      <c r="Y104">
        <f>IFERROR(ABS(X104)/MAX(W104,1),"")</f>
        <v/>
      </c>
      <c r="Z104">
        <f>IFERROR((W104-(((E104/100000+F104/100+R104/200)*200*I104*H104)+((E104*F104/25000)*I104*H104))/3)/(((J104/5)*200*I104*H104)+((J104*R104/2.5)*I104*H104)+((E104*F104*J104*R104*I104*H104)/12500000))/3*1000,"")</f>
        <v/>
      </c>
    </row>
    <row r="105">
      <c r="B105" s="6" t="inlineStr">
        <is>
          <t xml:space="preserve">  ↳ 105mm</t>
        </is>
      </c>
      <c r="C105" s="6" t="inlineStr">
        <is>
          <t>Armament</t>
        </is>
      </c>
      <c r="K105" s="5" t="n">
        <v>10000</v>
      </c>
      <c r="L105" s="5" t="n">
        <v>76</v>
      </c>
      <c r="M105" s="5" t="n">
        <v>2</v>
      </c>
      <c r="N105" s="5" t="n">
        <v>5</v>
      </c>
      <c r="O105" s="5" t="n">
        <v>5469</v>
      </c>
      <c r="P105" s="5" t="n">
        <v>1</v>
      </c>
      <c r="Q105">
        <f>L105+IF(M105&gt;1,N(N105)*(M105-1),0)</f>
        <v/>
      </c>
      <c r="R105">
        <f>IFERROR(K105*MAX(M105,1)/Q105*P105,0)</f>
        <v/>
      </c>
      <c r="AA105" s="6" t="inlineStr">
        <is>
          <t>^MediumCannon</t>
        </is>
      </c>
    </row>
    <row r="106">
      <c r="B106" s="6" t="inlineStr">
        <is>
          <t xml:space="preserve">  ↳ 105mmThermobaric</t>
        </is>
      </c>
      <c r="C106" s="6" t="inlineStr">
        <is>
          <t>Armament@Upgrade</t>
        </is>
      </c>
      <c r="K106" s="5" t="n">
        <v>6000</v>
      </c>
      <c r="L106" s="5" t="n">
        <v>76</v>
      </c>
      <c r="M106" s="5" t="n">
        <v>2</v>
      </c>
      <c r="N106" s="5" t="n">
        <v>5</v>
      </c>
      <c r="O106" s="5" t="n">
        <v>5469</v>
      </c>
      <c r="P106" s="5" t="n">
        <v>1</v>
      </c>
      <c r="Q106">
        <f>L106+IF(M106&gt;1,N(N106)*(M106-1),0)</f>
        <v/>
      </c>
      <c r="R106">
        <f>IFERROR(K106*MAX(M106,1)/Q106*P106,0)</f>
        <v/>
      </c>
      <c r="AA106" s="6" t="inlineStr">
        <is>
          <t>^MediumFlameWeapon, ^MediumCannon</t>
        </is>
      </c>
    </row>
    <row r="107">
      <c r="A107" t="inlineStr">
        <is>
          <t>redalert</t>
        </is>
      </c>
      <c r="B107" t="inlineStr">
        <is>
          <t>ra1_soviets_heavyteslatank</t>
        </is>
      </c>
      <c r="C107" t="inlineStr">
        <is>
          <t>Heavy Tesla Tank</t>
        </is>
      </c>
      <c r="D107" t="inlineStr"/>
      <c r="E107" s="5" t="n">
        <v>150000</v>
      </c>
      <c r="F107" s="5" t="n">
        <v>60</v>
      </c>
      <c r="G107" t="inlineStr">
        <is>
          <t>Medium</t>
        </is>
      </c>
      <c r="H107" s="5" t="n">
        <v>0.75</v>
      </c>
      <c r="I107" s="5" t="n">
        <v>1</v>
      </c>
      <c r="J107" s="5" t="n">
        <v>1.25</v>
      </c>
      <c r="O107">
        <f>MAX(O108,O109,O110)</f>
        <v/>
      </c>
      <c r="R107">
        <f>R108+R109+R110</f>
        <v/>
      </c>
      <c r="S107">
        <f>(E107/100000+F107/100+(O107/1000)*J107/5+R107/200)*200*I107*H107</f>
        <v/>
      </c>
      <c r="T107">
        <f>((E107*F107/25000)+((O107/1000)*J107*R107/2.5))*I107*H107</f>
        <v/>
      </c>
      <c r="U107">
        <f>(E107*F107*(O107/1000)*J107*R107*I107*H107)/12500000</f>
        <v/>
      </c>
      <c r="V107">
        <f>(S107+T107+U107)/3</f>
        <v/>
      </c>
      <c r="W107" s="5" t="n">
        <v>3500</v>
      </c>
      <c r="X107">
        <f>IFERROR(V107-W107,"")</f>
        <v/>
      </c>
      <c r="Y107">
        <f>IFERROR(ABS(X107)/MAX(W107,1),"")</f>
        <v/>
      </c>
      <c r="Z107">
        <f>IFERROR((W107-(((E107/100000+F107/100+R107/200)*200*I107*H107)+((E107*F107/25000)*I107*H107))/3)/(((J107/5)*200*I107*H107)+((J107*R107/2.5)*I107*H107)+((E107*F107*J107*R107*I107*H107)/12500000))/3*1000,"")</f>
        <v/>
      </c>
    </row>
    <row r="108">
      <c r="B108" s="6" t="inlineStr">
        <is>
          <t xml:space="preserve">  ↳ PointDefenseTesla</t>
        </is>
      </c>
      <c r="C108" s="6" t="inlineStr">
        <is>
          <t>Armament@pointdefense</t>
        </is>
      </c>
      <c r="K108" s="5" t="n">
        <v>10000</v>
      </c>
      <c r="L108" s="5" t="n">
        <v>10</v>
      </c>
      <c r="M108" s="5" t="n">
        <v>1</v>
      </c>
      <c r="N108" s="5" t="n"/>
      <c r="O108" s="5" t="n">
        <v>6650</v>
      </c>
      <c r="P108" s="5" t="n">
        <v>1</v>
      </c>
      <c r="Q108">
        <f>L108+IF(M108&gt;1,N(N108)*(M108-1),0)</f>
        <v/>
      </c>
      <c r="R108">
        <f>IFERROR(K108*MAX(M108,1)/Q108*P108,0)</f>
        <v/>
      </c>
      <c r="AA108" s="6" t="inlineStr">
        <is>
          <t>^TeslaWeapon</t>
        </is>
      </c>
    </row>
    <row r="109">
      <c r="B109" s="6" t="inlineStr">
        <is>
          <t xml:space="preserve">  ↳ TTankZap2EMP</t>
        </is>
      </c>
      <c r="C109" s="6" t="inlineStr">
        <is>
          <t>Armament</t>
        </is>
      </c>
      <c r="K109" s="5" t="n">
        <v>40000</v>
      </c>
      <c r="L109" s="5" t="n">
        <v>80</v>
      </c>
      <c r="M109" s="5" t="n">
        <v>1</v>
      </c>
      <c r="N109" s="5" t="n"/>
      <c r="O109" s="5" t="n">
        <v>6650</v>
      </c>
      <c r="P109" s="5" t="n">
        <v>1</v>
      </c>
      <c r="Q109">
        <f>L109+IF(M109&gt;1,N(N109)*(M109-1),0)</f>
        <v/>
      </c>
      <c r="R109">
        <f>IFERROR(K109*MAX(M109,1)/Q109*P109,0)</f>
        <v/>
      </c>
      <c r="AA109" s="6" t="inlineStr">
        <is>
          <t>^TeslaChargedWeapon</t>
        </is>
      </c>
    </row>
    <row r="110">
      <c r="B110" s="6" t="inlineStr">
        <is>
          <t xml:space="preserve">  ↳ TTankZap2EMPArc</t>
        </is>
      </c>
      <c r="C110" s="6" t="inlineStr">
        <is>
          <t>Armament@Arcing</t>
        </is>
      </c>
      <c r="K110" s="5" t="n">
        <v>40000</v>
      </c>
      <c r="L110" s="5" t="n">
        <v>80</v>
      </c>
      <c r="M110" s="5" t="n">
        <v>1</v>
      </c>
      <c r="N110" s="5" t="n"/>
      <c r="O110" s="5" t="n">
        <v>6650</v>
      </c>
      <c r="P110" s="5" t="n">
        <v>1</v>
      </c>
      <c r="Q110">
        <f>L110+IF(M110&gt;1,N(N110)*(M110-1),0)</f>
        <v/>
      </c>
      <c r="R110">
        <f>IFERROR(K110*MAX(M110,1)/Q110*P110,0)</f>
        <v/>
      </c>
      <c r="AA110" s="6" t="inlineStr">
        <is>
          <t>^TeslaChargedWeapon</t>
        </is>
      </c>
    </row>
    <row r="111">
      <c r="A111" t="inlineStr">
        <is>
          <t>redalert</t>
        </is>
      </c>
      <c r="B111" t="inlineStr">
        <is>
          <t>ra1_soviets_kotinnucleartank</t>
        </is>
      </c>
      <c r="C111" t="inlineStr">
        <is>
          <t>Kotin Nuclear Tank</t>
        </is>
      </c>
      <c r="D111" t="inlineStr"/>
      <c r="E111" s="5" t="n">
        <v>240000</v>
      </c>
      <c r="F111" s="5" t="n">
        <v>65</v>
      </c>
      <c r="G111" t="inlineStr">
        <is>
          <t>Heavy</t>
        </is>
      </c>
      <c r="H111" s="5" t="n">
        <v>1</v>
      </c>
      <c r="I111" s="5" t="n">
        <v>1</v>
      </c>
      <c r="J111" s="5" t="n">
        <v>1.25</v>
      </c>
      <c r="O111">
        <f>MAX(O112,O113)</f>
        <v/>
      </c>
      <c r="R111">
        <f>R112+R113</f>
        <v/>
      </c>
      <c r="S111">
        <f>(E111/100000+F111/100+(O111/1000)*J111/5+R111/200)*200*I111*H111</f>
        <v/>
      </c>
      <c r="T111">
        <f>((E111*F111/25000)+((O111/1000)*J111*R111/2.5))*I111*H111</f>
        <v/>
      </c>
      <c r="U111">
        <f>(E111*F111*(O111/1000)*J111*R111*I111*H111)/12500000</f>
        <v/>
      </c>
      <c r="V111">
        <f>(S111+T111+U111)/3</f>
        <v/>
      </c>
      <c r="W111" s="5" t="n">
        <v>1800</v>
      </c>
      <c r="X111">
        <f>IFERROR(V111-W111,"")</f>
        <v/>
      </c>
      <c r="Y111">
        <f>IFERROR(ABS(X111)/MAX(W111,1),"")</f>
        <v/>
      </c>
      <c r="Z111">
        <f>IFERROR((W111-(((E111/100000+F111/100+R111/200)*200*I111*H111)+((E111*F111/25000)*I111*H111))/3)/(((J111/5)*200*I111*H111)+((J111*R111/2.5)*I111*H111)+((E111*F111*J111*R111*I111*H111)/12500000))/3*1000,"")</f>
        <v/>
      </c>
    </row>
    <row r="112">
      <c r="B112" s="6" t="inlineStr">
        <is>
          <t xml:space="preserve">  ↳ KotinCannon</t>
        </is>
      </c>
      <c r="C112" s="6" t="inlineStr">
        <is>
          <t>Armament</t>
        </is>
      </c>
      <c r="K112" s="5" t="n">
        <v>6000</v>
      </c>
      <c r="L112" s="5" t="n">
        <v>96</v>
      </c>
      <c r="M112" s="5" t="n">
        <v>2</v>
      </c>
      <c r="N112" s="5" t="n">
        <v>4</v>
      </c>
      <c r="O112" s="5" t="n">
        <v>6427</v>
      </c>
      <c r="P112" s="5" t="n">
        <v>1</v>
      </c>
      <c r="Q112">
        <f>L112+IF(M112&gt;1,N(N112)*(M112-1),0)</f>
        <v/>
      </c>
      <c r="R112">
        <f>IFERROR(K112*MAX(M112,1)/Q112*P112,0)</f>
        <v/>
      </c>
      <c r="AA112" s="6" t="inlineStr">
        <is>
          <t>^HeavyCannon, ^MediumCannon</t>
        </is>
      </c>
    </row>
    <row r="113">
      <c r="B113" s="6" t="inlineStr">
        <is>
          <t xml:space="preserve">  ↳ KotinCannonThermobaric</t>
        </is>
      </c>
      <c r="C113" s="6" t="inlineStr">
        <is>
          <t>Armament@Upgrade</t>
        </is>
      </c>
      <c r="K113" s="5" t="n">
        <v>4000</v>
      </c>
      <c r="L113" s="5" t="n">
        <v>96</v>
      </c>
      <c r="M113" s="5" t="n">
        <v>2</v>
      </c>
      <c r="N113" s="5" t="n">
        <v>4</v>
      </c>
      <c r="O113" s="5" t="n">
        <v>6427</v>
      </c>
      <c r="P113" s="5" t="n">
        <v>1</v>
      </c>
      <c r="Q113">
        <f>L113+IF(M113&gt;1,N(N113)*(M113-1),0)</f>
        <v/>
      </c>
      <c r="R113">
        <f>IFERROR(K113*MAX(M113,1)/Q113*P113,0)</f>
        <v/>
      </c>
      <c r="AA113" s="6" t="inlineStr">
        <is>
          <t>^HeavyBomb, ^MediumFlameWeapon, ^HeavyCannon, ^MediumCannon</t>
        </is>
      </c>
    </row>
    <row r="114">
      <c r="A114" t="inlineStr">
        <is>
          <t>redalert</t>
        </is>
      </c>
      <c r="B114" t="inlineStr">
        <is>
          <t>ra1_soviets_madtank</t>
        </is>
      </c>
      <c r="C114" t="inlineStr">
        <is>
          <t>MAD Tank</t>
        </is>
      </c>
      <c r="D114" t="inlineStr"/>
      <c r="E114" s="5" t="n">
        <v>300000</v>
      </c>
      <c r="F114" s="5" t="n">
        <v>60</v>
      </c>
      <c r="G114" t="inlineStr">
        <is>
          <t>Heavy</t>
        </is>
      </c>
      <c r="H114" s="5" t="n">
        <v>1</v>
      </c>
      <c r="I114" s="5" t="n">
        <v>1</v>
      </c>
      <c r="J114" s="5" t="n">
        <v>1</v>
      </c>
      <c r="O114">
        <f>MAX(O115)</f>
        <v/>
      </c>
      <c r="R114">
        <f>R115</f>
        <v/>
      </c>
      <c r="S114">
        <f>(E114/100000+F114/100+(O114/1000)*J114/5+R114/200)*200*I114*H114</f>
        <v/>
      </c>
      <c r="T114">
        <f>((E114*F114/25000)+((O114/1000)*J114*R114/2.5))*I114*H114</f>
        <v/>
      </c>
      <c r="U114">
        <f>(E114*F114*(O114/1000)*J114*R114*I114*H114)/12500000</f>
        <v/>
      </c>
      <c r="V114">
        <f>(S114+T114+U114)/3</f>
        <v/>
      </c>
      <c r="W114" s="5" t="n">
        <v>3000</v>
      </c>
      <c r="X114">
        <f>IFERROR(V114-W114,"")</f>
        <v/>
      </c>
      <c r="Y114">
        <f>IFERROR(ABS(X114)/MAX(W114,1),"")</f>
        <v/>
      </c>
      <c r="Z114">
        <f>IFERROR((W114-(((E114/100000+F114/100+R114/200)*200*I114*H114)+((E114*F114/25000)*I114*H114))/3)/(((J114/5)*200*I114*H114)+((J114*R114/2.5)*I114*H114)+((E114*F114*J114*R114*I114*H114)/12500000))/3*1000,"")</f>
        <v/>
      </c>
    </row>
    <row r="115">
      <c r="B115" s="6" t="inlineStr">
        <is>
          <t xml:space="preserve">  ↳ MADTankTargeting</t>
        </is>
      </c>
      <c r="C115" s="6" t="inlineStr">
        <is>
          <t>Armament@PRIMARY</t>
        </is>
      </c>
      <c r="K115" s="5" t="n"/>
      <c r="L115" s="5" t="n"/>
      <c r="M115" s="5" t="n">
        <v>1</v>
      </c>
      <c r="N115" s="5" t="n"/>
      <c r="O115" s="5" t="n">
        <v>2500</v>
      </c>
      <c r="P115" s="5" t="n">
        <v>1</v>
      </c>
      <c r="Q115">
        <f>L115+IF(M115&gt;1,N(N115)*(M115-1),0)</f>
        <v/>
      </c>
      <c r="R115">
        <f>IFERROR(K115*MAX(M115,1)/Q115*P115,0)</f>
        <v/>
      </c>
      <c r="AA115" s="6" t="inlineStr">
        <is>
          <t>DemoTruckTargeting</t>
        </is>
      </c>
    </row>
    <row r="116">
      <c r="A116" t="inlineStr">
        <is>
          <t>redalert</t>
        </is>
      </c>
      <c r="B116" t="inlineStr">
        <is>
          <t>ra1_soviets_mammothtank</t>
        </is>
      </c>
      <c r="C116" t="inlineStr">
        <is>
          <t>Soviet Mammoth Tank</t>
        </is>
      </c>
      <c r="D116" t="inlineStr"/>
      <c r="E116" s="5" t="n">
        <v>375000</v>
      </c>
      <c r="F116" s="5" t="n">
        <v>50</v>
      </c>
      <c r="G116" t="inlineStr">
        <is>
          <t>Superheavy</t>
        </is>
      </c>
      <c r="H116" s="5" t="n">
        <v>0.75</v>
      </c>
      <c r="I116" s="5" t="n">
        <v>1</v>
      </c>
      <c r="J116" s="5" t="n">
        <v>1</v>
      </c>
      <c r="O116">
        <f>MAX(O117,O118,O119,O120,O121,O122,O123,O124,O125,O126)</f>
        <v/>
      </c>
      <c r="R116">
        <f>R117+R118+R119+R120+R121+R122+R123+R124+R125+R126</f>
        <v/>
      </c>
      <c r="S116">
        <f>(E116/100000+F116/100+(O116/1000)*J116/5+R116/200)*200*I116*H116</f>
        <v/>
      </c>
      <c r="T116">
        <f>((E116*F116/25000)+((O116/1000)*J116*R116/2.5))*I116*H116</f>
        <v/>
      </c>
      <c r="U116">
        <f>(E116*F116*(O116/1000)*J116*R116*I116*H116)/12500000</f>
        <v/>
      </c>
      <c r="V116">
        <f>(S116+T116+U116)/3</f>
        <v/>
      </c>
      <c r="W116" s="5" t="n">
        <v>2000</v>
      </c>
      <c r="X116">
        <f>IFERROR(V116-W116,"")</f>
        <v/>
      </c>
      <c r="Y116">
        <f>IFERROR(ABS(X116)/MAX(W116,1),"")</f>
        <v/>
      </c>
      <c r="Z116">
        <f>IFERROR((W116-(((E116/100000+F116/100+R116/200)*200*I116*H116)+((E116*F116/25000)*I116*H116))/3)/(((J116/5)*200*I116*H116)+((J116*R116/2.5)*I116*H116)+((E116*F116*J116*R116*I116*H116)/12500000))/3*1000,"")</f>
        <v/>
      </c>
    </row>
    <row r="117">
      <c r="B117" s="6" t="inlineStr">
        <is>
          <t xml:space="preserve">  ↳ ra120mm</t>
        </is>
      </c>
      <c r="C117" s="6" t="inlineStr">
        <is>
          <t>Armament@PRIMARY</t>
        </is>
      </c>
      <c r="K117" s="5" t="n">
        <v>6000</v>
      </c>
      <c r="L117" s="5" t="n">
        <v>95</v>
      </c>
      <c r="M117" s="5" t="n">
        <v>2</v>
      </c>
      <c r="N117" s="5" t="n">
        <v>8</v>
      </c>
      <c r="O117" s="5" t="n">
        <v>6412</v>
      </c>
      <c r="P117" s="5" t="n">
        <v>1</v>
      </c>
      <c r="Q117">
        <f>L117+IF(M117&gt;1,N(N117)*(M117-1),0)</f>
        <v/>
      </c>
      <c r="R117">
        <f>IFERROR(K117*MAX(M117,1)/Q117*P117,0)</f>
        <v/>
      </c>
      <c r="AA117" s="6" t="inlineStr">
        <is>
          <t>^HeavyCannon, ^MediumCannon, ^ShrapnelWeapon, ^TankDestroyerCannon</t>
        </is>
      </c>
    </row>
    <row r="118">
      <c r="B118" s="6" t="inlineStr">
        <is>
          <t xml:space="preserve">  ↳ ra120mmTargetingComputer</t>
        </is>
      </c>
      <c r="C118" s="6" t="inlineStr">
        <is>
          <t>Armament@PRIMARYTargetingComputer</t>
        </is>
      </c>
      <c r="K118" s="5" t="n">
        <v>6000</v>
      </c>
      <c r="L118" s="5" t="n">
        <v>95</v>
      </c>
      <c r="M118" s="5" t="n">
        <v>2</v>
      </c>
      <c r="N118" s="5" t="n">
        <v>8</v>
      </c>
      <c r="O118" s="5" t="n">
        <v>6412</v>
      </c>
      <c r="P118" s="5" t="n">
        <v>1</v>
      </c>
      <c r="Q118">
        <f>L118+IF(M118&gt;1,N(N118)*(M118-1),0)</f>
        <v/>
      </c>
      <c r="R118">
        <f>IFERROR(K118*MAX(M118,1)/Q118*P118,0)</f>
        <v/>
      </c>
      <c r="AA118" s="6" t="inlineStr">
        <is>
          <t>^HeavyCannon, ^MediumCannon, ^ShrapnelWeapon, ^TankDestroyerCannon</t>
        </is>
      </c>
    </row>
    <row r="119">
      <c r="B119" s="6" t="inlineStr">
        <is>
          <t xml:space="preserve">  ↳ ra120mmThermobaric</t>
        </is>
      </c>
      <c r="C119" s="6" t="inlineStr">
        <is>
          <t>Armament@Upgrade</t>
        </is>
      </c>
      <c r="K119" s="5" t="n">
        <v>8000</v>
      </c>
      <c r="L119" s="5" t="n">
        <v>95</v>
      </c>
      <c r="M119" s="5" t="n">
        <v>2</v>
      </c>
      <c r="N119" s="5" t="n">
        <v>8</v>
      </c>
      <c r="O119" s="5" t="n">
        <v>6412</v>
      </c>
      <c r="P119" s="5" t="n">
        <v>1</v>
      </c>
      <c r="Q119">
        <f>L119+IF(M119&gt;1,N(N119)*(M119-1),0)</f>
        <v/>
      </c>
      <c r="R119">
        <f>IFERROR(K119*MAX(M119,1)/Q119*P119,0)</f>
        <v/>
      </c>
      <c r="AA119" s="6" t="inlineStr">
        <is>
          <t>^HeavyFlameWeapon, ^HeavyBomb, ^HeavyCannon</t>
        </is>
      </c>
    </row>
    <row r="120">
      <c r="B120" s="6" t="inlineStr">
        <is>
          <t xml:space="preserve">  ↳ ra120mmThermobaricTargetingComputer</t>
        </is>
      </c>
      <c r="C120" s="6" t="inlineStr">
        <is>
          <t>Armament@UpgradeTargetingComputer</t>
        </is>
      </c>
      <c r="K120" s="5" t="n">
        <v>8000</v>
      </c>
      <c r="L120" s="5" t="n">
        <v>95</v>
      </c>
      <c r="M120" s="5" t="n">
        <v>2</v>
      </c>
      <c r="N120" s="5" t="n">
        <v>8</v>
      </c>
      <c r="O120" s="5" t="n">
        <v>6412</v>
      </c>
      <c r="P120" s="5" t="n">
        <v>1</v>
      </c>
      <c r="Q120">
        <f>L120+IF(M120&gt;1,N(N120)*(M120-1),0)</f>
        <v/>
      </c>
      <c r="R120">
        <f>IFERROR(K120*MAX(M120,1)/Q120*P120,0)</f>
        <v/>
      </c>
      <c r="AA120" s="6" t="inlineStr">
        <is>
          <t>^HeavyFlameWeapon, ^HeavyBomb, ^HeavyCannon</t>
        </is>
      </c>
    </row>
    <row r="121">
      <c r="B121" s="6" t="inlineStr">
        <is>
          <t xml:space="preserve">  ↳ MammothTusk</t>
        </is>
      </c>
      <c r="C121" s="6" t="inlineStr">
        <is>
          <t>Armament@SECONDARY</t>
        </is>
      </c>
      <c r="K121" s="5" t="n">
        <v>6000</v>
      </c>
      <c r="L121" s="5" t="n">
        <v>91</v>
      </c>
      <c r="M121" s="5" t="n">
        <v>2</v>
      </c>
      <c r="N121" s="5" t="n">
        <v>12</v>
      </c>
      <c r="O121" s="5" t="n">
        <v>6412</v>
      </c>
      <c r="P121" s="5" t="n">
        <v>1</v>
      </c>
      <c r="Q121">
        <f>L121+IF(M121&gt;1,N(N121)*(M121-1),0)</f>
        <v/>
      </c>
      <c r="R121">
        <f>IFERROR(K121*MAX(M121,1)/Q121*P121,0)</f>
        <v/>
      </c>
      <c r="AA121" s="6" t="inlineStr">
        <is>
          <t>^Grenade, ^FlakWeapon, ^MediumMissile, ^HeavyMissile, ^ImpactGlow</t>
        </is>
      </c>
    </row>
    <row r="122">
      <c r="B122" s="6" t="inlineStr">
        <is>
          <t xml:space="preserve">  ↳ MammothTuskTargetingComputer</t>
        </is>
      </c>
      <c r="C122" s="6" t="inlineStr">
        <is>
          <t>Armament@SECONDARYTargetingComputer</t>
        </is>
      </c>
      <c r="K122" s="5" t="n">
        <v>6000</v>
      </c>
      <c r="L122" s="5" t="n">
        <v>91</v>
      </c>
      <c r="M122" s="5" t="n">
        <v>2</v>
      </c>
      <c r="N122" s="5" t="n">
        <v>12</v>
      </c>
      <c r="O122" s="5" t="n">
        <v>6412</v>
      </c>
      <c r="P122" s="5" t="n">
        <v>1</v>
      </c>
      <c r="Q122">
        <f>L122+IF(M122&gt;1,N(N122)*(M122-1),0)</f>
        <v/>
      </c>
      <c r="R122">
        <f>IFERROR(K122*MAX(M122,1)/Q122*P122,0)</f>
        <v/>
      </c>
      <c r="AA122" s="6" t="inlineStr">
        <is>
          <t>^Grenade, ^FlakWeapon, ^MediumMissile, ^HeavyMissile, ^ImpactGlow</t>
        </is>
      </c>
    </row>
    <row r="123">
      <c r="B123" s="6" t="inlineStr">
        <is>
          <t xml:space="preserve">  ↳ MammothTuskTesla</t>
        </is>
      </c>
      <c r="C123" s="6" t="inlineStr">
        <is>
          <t>Armament@TeslaSECONDARY</t>
        </is>
      </c>
      <c r="K123" s="5" t="n">
        <v>8000</v>
      </c>
      <c r="L123" s="5" t="n">
        <v>91</v>
      </c>
      <c r="M123" s="5" t="n">
        <v>2</v>
      </c>
      <c r="N123" s="5" t="n">
        <v>12</v>
      </c>
      <c r="O123" s="5" t="n">
        <v>6412</v>
      </c>
      <c r="P123" s="5" t="n">
        <v>1</v>
      </c>
      <c r="Q123">
        <f>L123+IF(M123&gt;1,N(N123)*(M123-1),0)</f>
        <v/>
      </c>
      <c r="R123">
        <f>IFERROR(K123*MAX(M123,1)/Q123*P123,0)</f>
        <v/>
      </c>
      <c r="AA123" s="6" t="inlineStr">
        <is>
          <t>^Grenade, ^LightFlameWeapon, ^TeslaWeapon, ^HeavyMissile</t>
        </is>
      </c>
    </row>
    <row r="124">
      <c r="B124" s="6" t="inlineStr">
        <is>
          <t xml:space="preserve">  ↳ MammothTuskTeslaTargetingComputer</t>
        </is>
      </c>
      <c r="C124" s="6" t="inlineStr">
        <is>
          <t>Armament@TeslaSECONDARYTargetingComputer</t>
        </is>
      </c>
      <c r="K124" s="5" t="n">
        <v>8000</v>
      </c>
      <c r="L124" s="5" t="n">
        <v>91</v>
      </c>
      <c r="M124" s="5" t="n">
        <v>2</v>
      </c>
      <c r="N124" s="5" t="n">
        <v>12</v>
      </c>
      <c r="O124" s="5" t="n">
        <v>6412</v>
      </c>
      <c r="P124" s="5" t="n">
        <v>1</v>
      </c>
      <c r="Q124">
        <f>L124+IF(M124&gt;1,N(N124)*(M124-1),0)</f>
        <v/>
      </c>
      <c r="R124">
        <f>IFERROR(K124*MAX(M124,1)/Q124*P124,0)</f>
        <v/>
      </c>
      <c r="AA124" s="6" t="inlineStr">
        <is>
          <t>^Grenade, ^LightFlameWeapon, ^TeslaWeapon, ^HeavyMissile</t>
        </is>
      </c>
    </row>
    <row r="125">
      <c r="B125" s="6" t="inlineStr">
        <is>
          <t xml:space="preserve">  ↳ MammothTuskThermobaric</t>
        </is>
      </c>
      <c r="C125" s="6" t="inlineStr">
        <is>
          <t>Armament@NukeSECONDARY</t>
        </is>
      </c>
      <c r="K125" s="5" t="n">
        <v>4000</v>
      </c>
      <c r="L125" s="5" t="n">
        <v>91</v>
      </c>
      <c r="M125" s="5" t="n">
        <v>2</v>
      </c>
      <c r="N125" s="5" t="n">
        <v>12</v>
      </c>
      <c r="O125" s="5" t="n">
        <v>6412</v>
      </c>
      <c r="P125" s="5" t="n">
        <v>1</v>
      </c>
      <c r="Q125">
        <f>L125+IF(M125&gt;1,N(N125)*(M125-1),0)</f>
        <v/>
      </c>
      <c r="R125">
        <f>IFERROR(K125*MAX(M125,1)/Q125*P125,0)</f>
        <v/>
      </c>
      <c r="AA125" s="6" t="inlineStr">
        <is>
          <t>^LightFlameWeapon, ^MediumFlameWeapon, ^HeavyFlameWeapon, ^Grenade, ^FlakWeapon, ^ShrapnelWeapon, ^MediumMissile, ^HeavyMissile</t>
        </is>
      </c>
    </row>
    <row r="126">
      <c r="B126" s="6" t="inlineStr">
        <is>
          <t xml:space="preserve">  ↳ MammothTuskThermobaricTargetingComputer</t>
        </is>
      </c>
      <c r="C126" s="6" t="inlineStr">
        <is>
          <t>Armament@NukeSECONDARYTargetingComputer</t>
        </is>
      </c>
      <c r="K126" s="5" t="n">
        <v>4000</v>
      </c>
      <c r="L126" s="5" t="n">
        <v>91</v>
      </c>
      <c r="M126" s="5" t="n">
        <v>2</v>
      </c>
      <c r="N126" s="5" t="n">
        <v>12</v>
      </c>
      <c r="O126" s="5" t="n">
        <v>6412</v>
      </c>
      <c r="P126" s="5" t="n">
        <v>1</v>
      </c>
      <c r="Q126">
        <f>L126+IF(M126&gt;1,N(N126)*(M126-1),0)</f>
        <v/>
      </c>
      <c r="R126">
        <f>IFERROR(K126*MAX(M126,1)/Q126*P126,0)</f>
        <v/>
      </c>
      <c r="AA126" s="6" t="inlineStr">
        <is>
          <t>^LightFlameWeapon, ^MediumFlameWeapon, ^HeavyFlameWeapon, ^Grenade, ^FlakWeapon, ^ShrapnelWeapon, ^MediumMissile, ^HeavyMissile</t>
        </is>
      </c>
    </row>
    <row r="127">
      <c r="A127" t="inlineStr">
        <is>
          <t>redalert</t>
        </is>
      </c>
      <c r="B127" t="inlineStr">
        <is>
          <t>ra1_soviets_mobileconstructionvehicle</t>
        </is>
      </c>
      <c r="C127" t="inlineStr">
        <is>
          <t>Soviet Mobile Construction Vehicle</t>
        </is>
      </c>
      <c r="D127" t="inlineStr"/>
      <c r="E127" s="5" t="n">
        <v>300000</v>
      </c>
      <c r="F127" s="5" t="n">
        <v>75</v>
      </c>
      <c r="G127" t="inlineStr">
        <is>
          <t>Medium</t>
        </is>
      </c>
      <c r="H127" s="5" t="n">
        <v>1</v>
      </c>
      <c r="I127" s="5" t="n">
        <v>1</v>
      </c>
      <c r="J127" s="5" t="n">
        <v>1</v>
      </c>
      <c r="W127" s="5" t="n">
        <v>5000</v>
      </c>
    </row>
    <row r="128">
      <c r="A128" t="inlineStr">
        <is>
          <t>redalert</t>
        </is>
      </c>
      <c r="B128" t="inlineStr">
        <is>
          <t>ra1_soviets_monstertank</t>
        </is>
      </c>
      <c r="C128" t="inlineStr">
        <is>
          <t>Monster Tank</t>
        </is>
      </c>
      <c r="D128" t="inlineStr"/>
      <c r="E128" s="5" t="n">
        <v>1000000</v>
      </c>
      <c r="F128" s="5" t="n">
        <v>45</v>
      </c>
      <c r="G128" t="inlineStr">
        <is>
          <t>Superheavy</t>
        </is>
      </c>
      <c r="H128" s="5" t="n">
        <v>0.75</v>
      </c>
      <c r="I128" s="5" t="n">
        <v>0.4</v>
      </c>
      <c r="J128" s="5" t="n">
        <v>1</v>
      </c>
      <c r="O128">
        <f>MAX(O129,O130,O131,O132,O133)</f>
        <v/>
      </c>
      <c r="R128">
        <f>R129+R130+R131+R132+R133</f>
        <v/>
      </c>
      <c r="S128">
        <f>(E128/100000+F128/100+(O128/1000)*J128/5+R128/200)*200*I128*H128</f>
        <v/>
      </c>
      <c r="T128">
        <f>((E128*F128/25000)+((O128/1000)*J128*R128/2.5))*I128*H128</f>
        <v/>
      </c>
      <c r="U128">
        <f>(E128*F128*(O128/1000)*J128*R128*I128*H128)/12500000</f>
        <v/>
      </c>
      <c r="V128">
        <f>(S128+T128+U128)/3</f>
        <v/>
      </c>
      <c r="W128" s="5" t="n">
        <v>10000</v>
      </c>
      <c r="X128">
        <f>IFERROR(V128-W128,"")</f>
        <v/>
      </c>
      <c r="Y128">
        <f>IFERROR(ABS(X128)/MAX(W128,1),"")</f>
        <v/>
      </c>
      <c r="Z128">
        <f>IFERROR((W128-(((E128/100000+F128/100+R128/200)*200*I128*H128)+((E128*F128/25000)*I128*H128))/3)/(((J128/5)*200*I128*H128)+((J128*R128/2.5)*I128*H128)+((E128*F128*J128*R128*I128*H128)/12500000))/3*1000,"")</f>
        <v/>
      </c>
    </row>
    <row r="129">
      <c r="B129" s="6" t="inlineStr">
        <is>
          <t xml:space="preserve">  ↳ MonsterTank120mm</t>
        </is>
      </c>
      <c r="C129" s="6" t="inlineStr">
        <is>
          <t>Armament@PRIMARY</t>
        </is>
      </c>
      <c r="K129" s="5" t="n">
        <v>40000</v>
      </c>
      <c r="L129" s="5" t="n">
        <v>103</v>
      </c>
      <c r="M129" s="5" t="n">
        <v>2</v>
      </c>
      <c r="N129" s="5" t="n">
        <v>32</v>
      </c>
      <c r="O129" s="5" t="n">
        <v>7833</v>
      </c>
      <c r="P129" s="5" t="n">
        <v>1</v>
      </c>
      <c r="Q129">
        <f>L129+IF(M129&gt;1,N(N129)*(M129-1),0)</f>
        <v/>
      </c>
      <c r="R129">
        <f>IFERROR(K129*MAX(M129,1)/Q129*P129,0)</f>
        <v/>
      </c>
      <c r="AA129" s="6" t="inlineStr">
        <is>
          <t>^NuclearWarhead, ^HeavyCannon</t>
        </is>
      </c>
    </row>
    <row r="130">
      <c r="B130" s="6" t="inlineStr">
        <is>
          <t xml:space="preserve">  ↳ MonsterTank120mmThermobaric</t>
        </is>
      </c>
      <c r="C130" s="6" t="inlineStr">
        <is>
          <t>Armament@Upgrade</t>
        </is>
      </c>
      <c r="K130" s="5" t="n">
        <v>40000</v>
      </c>
      <c r="L130" s="5" t="n">
        <v>103</v>
      </c>
      <c r="M130" s="5" t="n">
        <v>2</v>
      </c>
      <c r="N130" s="5" t="n">
        <v>32</v>
      </c>
      <c r="O130" s="5" t="n">
        <v>7833</v>
      </c>
      <c r="P130" s="5" t="n">
        <v>1</v>
      </c>
      <c r="Q130">
        <f>L130+IF(M130&gt;1,N(N130)*(M130-1),0)</f>
        <v/>
      </c>
      <c r="R130">
        <f>IFERROR(K130*MAX(M130,1)/Q130*P130,0)</f>
        <v/>
      </c>
      <c r="AA130" s="6" t="inlineStr">
        <is>
          <t>^HeavyFlameWeapon, ^NuclearWarhead, ^HeavyCannon</t>
        </is>
      </c>
    </row>
    <row r="131">
      <c r="B131" s="6" t="inlineStr">
        <is>
          <t xml:space="preserve">  ↳ MonsterTankTusk</t>
        </is>
      </c>
      <c r="C131" s="6" t="inlineStr">
        <is>
          <t>Armament@SECONDARY</t>
        </is>
      </c>
      <c r="K131" s="5" t="n">
        <v>20000</v>
      </c>
      <c r="L131" s="5" t="n">
        <v>125</v>
      </c>
      <c r="M131" s="5" t="n">
        <v>4</v>
      </c>
      <c r="N131" s="5" t="n"/>
      <c r="O131" s="5" t="n">
        <v>7833</v>
      </c>
      <c r="P131" s="5" t="n">
        <v>1</v>
      </c>
      <c r="Q131">
        <f>L131+IF(M131&gt;1,N(N131)*(M131-1),0)</f>
        <v/>
      </c>
      <c r="R131">
        <f>IFERROR(K131*MAX(M131,1)/Q131*P131,0)</f>
        <v/>
      </c>
      <c r="AA131" s="6" t="inlineStr">
        <is>
          <t>^HeavyBomb, ^HeavyMissile</t>
        </is>
      </c>
    </row>
    <row r="132">
      <c r="B132" s="6" t="inlineStr">
        <is>
          <t xml:space="preserve">  ↳ MonsterTankTuskTesla</t>
        </is>
      </c>
      <c r="C132" s="6" t="inlineStr">
        <is>
          <t>Armament@TeslaSECONDARY</t>
        </is>
      </c>
      <c r="K132" s="5" t="n">
        <v>26750</v>
      </c>
      <c r="L132" s="5" t="n">
        <v>125</v>
      </c>
      <c r="M132" s="5" t="n">
        <v>4</v>
      </c>
      <c r="N132" s="5" t="n">
        <v>3</v>
      </c>
      <c r="O132" s="5" t="n">
        <v>7833</v>
      </c>
      <c r="P132" s="5" t="n">
        <v>1</v>
      </c>
      <c r="Q132">
        <f>L132+IF(M132&gt;1,N(N132)*(M132-1),0)</f>
        <v/>
      </c>
      <c r="R132">
        <f>IFERROR(K132*MAX(M132,1)/Q132*P132,0)</f>
        <v/>
      </c>
      <c r="AA132" s="6" t="inlineStr">
        <is>
          <t>^Grenade, ^LightFlameWeapon, ^TeslaWeapon, ^HeavyMissile</t>
        </is>
      </c>
    </row>
    <row r="133">
      <c r="B133" s="6" t="inlineStr">
        <is>
          <t xml:space="preserve">  ↳ MonsterTankTuskThermobaric</t>
        </is>
      </c>
      <c r="C133" s="6" t="inlineStr">
        <is>
          <t>Armament@NukeSECONDARY</t>
        </is>
      </c>
      <c r="K133" s="5" t="n">
        <v>13250</v>
      </c>
      <c r="L133" s="5" t="n">
        <v>125</v>
      </c>
      <c r="M133" s="5" t="n">
        <v>4</v>
      </c>
      <c r="N133" s="5" t="n">
        <v>3</v>
      </c>
      <c r="O133" s="5" t="n">
        <v>7833</v>
      </c>
      <c r="P133" s="5" t="n">
        <v>1</v>
      </c>
      <c r="Q133">
        <f>L133+IF(M133&gt;1,N(N133)*(M133-1),0)</f>
        <v/>
      </c>
      <c r="R133">
        <f>IFERROR(K133*MAX(M133,1)/Q133*P133,0)</f>
        <v/>
      </c>
      <c r="AA133" s="6" t="inlineStr">
        <is>
          <t>^LightFlameWeapon, ^MediumFlameWeapon, ^HeavyFlameWeapon, ^Grenade, ^FlakWeapon, ^ShrapnelWeapon, ^MediumMissile, ^HeavyMissile</t>
        </is>
      </c>
    </row>
    <row r="134">
      <c r="A134" t="inlineStr">
        <is>
          <t>redalert</t>
        </is>
      </c>
      <c r="B134" t="inlineStr">
        <is>
          <t>ra1_soviets_nuclearv2launcher</t>
        </is>
      </c>
      <c r="C134" t="inlineStr">
        <is>
          <t>Nuclear V2 Launcher</t>
        </is>
      </c>
      <c r="D134" t="inlineStr"/>
      <c r="E134" s="5" t="n">
        <v>40000</v>
      </c>
      <c r="F134" s="5" t="n">
        <v>80</v>
      </c>
      <c r="G134" t="inlineStr">
        <is>
          <t>Medium</t>
        </is>
      </c>
      <c r="H134" s="5" t="n">
        <v>1</v>
      </c>
      <c r="I134" s="5" t="n">
        <v>1</v>
      </c>
      <c r="J134" s="5" t="n">
        <v>1</v>
      </c>
      <c r="O134">
        <f>MAX(O135,O136)</f>
        <v/>
      </c>
      <c r="R134">
        <f>R135+R136</f>
        <v/>
      </c>
      <c r="S134">
        <f>(E134/100000+F134/100+(O134/1000)*J134/5+R134/200)*200*I134*H134</f>
        <v/>
      </c>
      <c r="T134">
        <f>((E134*F134/25000)+((O134/1000)*J134*R134/2.5))*I134*H134</f>
        <v/>
      </c>
      <c r="U134">
        <f>(E134*F134*(O134/1000)*J134*R134*I134*H134)/12500000</f>
        <v/>
      </c>
      <c r="V134">
        <f>(S134+T134+U134)/3</f>
        <v/>
      </c>
      <c r="W134" s="5" t="n">
        <v>2300</v>
      </c>
      <c r="X134">
        <f>IFERROR(V134-W134,"")</f>
        <v/>
      </c>
      <c r="Y134">
        <f>IFERROR(ABS(X134)/MAX(W134,1),"")</f>
        <v/>
      </c>
      <c r="Z134">
        <f>IFERROR((W134-(((E134/100000+F134/100+R134/200)*200*I134*H134)+((E134*F134/25000)*I134*H134))/3)/(((J134/5)*200*I134*H134)+((J134*R134/2.5)*I134*H134)+((E134*F134*J134*R134*I134*H134)/12500000))/3*1000,"")</f>
        <v/>
      </c>
    </row>
    <row r="135">
      <c r="B135" s="6" t="inlineStr">
        <is>
          <t xml:space="preserve">  ↳ SCUDNUKE</t>
        </is>
      </c>
      <c r="C135" s="6" t="inlineStr">
        <is>
          <t>Armament@PRIMARY</t>
        </is>
      </c>
      <c r="K135" s="5" t="n">
        <v>20000</v>
      </c>
      <c r="L135" s="5" t="n">
        <v>158</v>
      </c>
      <c r="M135" s="5" t="n">
        <v>1</v>
      </c>
      <c r="N135" s="5" t="n"/>
      <c r="O135" s="5" t="n">
        <v>12550</v>
      </c>
      <c r="P135" s="5" t="n">
        <v>1</v>
      </c>
      <c r="Q135">
        <f>L135+IF(M135&gt;1,N(N135)*(M135-1),0)</f>
        <v/>
      </c>
      <c r="R135">
        <f>IFERROR(K135*MAX(M135,1)/Q135*P135,0)</f>
        <v/>
      </c>
      <c r="AA135" s="6" t="inlineStr">
        <is>
          <t>^HeavyMissile, ^MediumMissile, ^LightMissile, ^HeavyBomb, ^ShrapnelWeapon, ^Grenade, ^HeavyChemicalWeapon, ^MediumChemicalWeapon, ^LightChemicalWeapon, ^HeavyFlameWeapon, ^MediumFlameWeapon, ^LightFlameWeapon, ^TankDestroyerCannon, ^FlakWeapon, ^NuclearWarhead</t>
        </is>
      </c>
    </row>
    <row r="136">
      <c r="B136" s="6" t="inlineStr">
        <is>
          <t xml:space="preserve">  ↳ SCUDNUKEThermobaric</t>
        </is>
      </c>
      <c r="C136" s="6" t="inlineStr">
        <is>
          <t>Armament@Upgrade</t>
        </is>
      </c>
      <c r="K136" s="5" t="n">
        <v>20000</v>
      </c>
      <c r="L136" s="5" t="n">
        <v>158</v>
      </c>
      <c r="M136" s="5" t="n">
        <v>1</v>
      </c>
      <c r="N136" s="5" t="n"/>
      <c r="O136" s="5" t="n">
        <v>12550</v>
      </c>
      <c r="P136" s="5" t="n">
        <v>1</v>
      </c>
      <c r="Q136">
        <f>L136+IF(M136&gt;1,N(N136)*(M136-1),0)</f>
        <v/>
      </c>
      <c r="R136">
        <f>IFERROR(K136*MAX(M136,1)/Q136*P136,0)</f>
        <v/>
      </c>
      <c r="AA136" s="6" t="inlineStr">
        <is>
          <t>^HeavyMissile, ^MediumMissile, ^LightMissile, ^HeavyBomb, ^ShrapnelWeapon, ^Grenade, ^HeavyChemicalWeapon, ^MediumChemicalWeapon, ^LightChemicalWeapon, ^HeavyFlameWeapon, ^MediumFlameWeapon, ^LightFlameWeapon, ^TankDestroyerCannon, ^FlakWeapon, ^NuclearWarhead</t>
        </is>
      </c>
    </row>
    <row r="137">
      <c r="A137" t="inlineStr">
        <is>
          <t>redalert</t>
        </is>
      </c>
      <c r="B137" t="inlineStr">
        <is>
          <t>ra1_soviets_nukedemotruck</t>
        </is>
      </c>
      <c r="C137" t="inlineStr">
        <is>
          <t>Nuke Demo Truck</t>
        </is>
      </c>
      <c r="D137" t="inlineStr"/>
      <c r="E137" s="5" t="n">
        <v>20000</v>
      </c>
      <c r="F137" s="5" t="n">
        <v>100</v>
      </c>
      <c r="G137" t="inlineStr">
        <is>
          <t>Light</t>
        </is>
      </c>
      <c r="H137" s="5" t="n">
        <v>1</v>
      </c>
      <c r="I137" s="5" t="n">
        <v>1</v>
      </c>
      <c r="J137" s="5" t="n">
        <v>1</v>
      </c>
      <c r="O137">
        <f>MAX(O138)</f>
        <v/>
      </c>
      <c r="R137">
        <f>R138</f>
        <v/>
      </c>
      <c r="S137">
        <f>(E137/100000+F137/100+(O137/1000)*J137/5+R137/200)*200*I137*H137</f>
        <v/>
      </c>
      <c r="T137">
        <f>((E137*F137/25000)+((O137/1000)*J137*R137/2.5))*I137*H137</f>
        <v/>
      </c>
      <c r="U137">
        <f>(E137*F137*(O137/1000)*J137*R137*I137*H137)/12500000</f>
        <v/>
      </c>
      <c r="V137">
        <f>(S137+T137+U137)/3</f>
        <v/>
      </c>
      <c r="W137" s="5" t="n">
        <v>1500</v>
      </c>
      <c r="X137">
        <f>IFERROR(V137-W137,"")</f>
        <v/>
      </c>
      <c r="Y137">
        <f>IFERROR(ABS(X137)/MAX(W137,1),"")</f>
        <v/>
      </c>
      <c r="Z137">
        <f>IFERROR((W137-(((E137/100000+F137/100+R137/200)*200*I137*H137)+((E137*F137/25000)*I137*H137))/3)/(((J137/5)*200*I137*H137)+((J137*R137/2.5)*I137*H137)+((E137*F137*J137*R137*I137*H137)/12500000))/3*1000,"")</f>
        <v/>
      </c>
    </row>
    <row r="138">
      <c r="B138" s="6" t="inlineStr">
        <is>
          <t xml:space="preserve">  ↳ DemoTruckTargeting</t>
        </is>
      </c>
      <c r="C138" s="6" t="inlineStr">
        <is>
          <t>Armament@PRIMARY</t>
        </is>
      </c>
      <c r="K138" s="5" t="n"/>
      <c r="L138" s="5" t="n"/>
      <c r="M138" s="5" t="n">
        <v>1</v>
      </c>
      <c r="N138" s="5" t="n"/>
      <c r="O138" s="5" t="n">
        <v>2000</v>
      </c>
      <c r="P138" s="5" t="n">
        <v>1</v>
      </c>
      <c r="Q138">
        <f>L138+IF(M138&gt;1,N(N138)*(M138-1),0)</f>
        <v/>
      </c>
      <c r="R138">
        <f>IFERROR(K138*MAX(M138,1)/Q138*P138,0)</f>
        <v/>
      </c>
      <c r="AA138" s="6" t="inlineStr"/>
    </row>
    <row r="139">
      <c r="A139" t="inlineStr">
        <is>
          <t>redalert</t>
        </is>
      </c>
      <c r="B139" t="inlineStr">
        <is>
          <t>ra1_soviets_oretruck</t>
        </is>
      </c>
      <c r="C139" t="inlineStr">
        <is>
          <t>Soviet Ore Truck</t>
        </is>
      </c>
      <c r="D139" t="inlineStr"/>
      <c r="E139" s="5" t="n">
        <v>100000</v>
      </c>
      <c r="F139" s="5" t="n">
        <v>90</v>
      </c>
      <c r="G139" t="inlineStr">
        <is>
          <t>Medium</t>
        </is>
      </c>
      <c r="H139" s="5" t="n">
        <v>1</v>
      </c>
      <c r="I139" s="5" t="n">
        <v>1</v>
      </c>
      <c r="J139" s="5" t="n">
        <v>1</v>
      </c>
      <c r="W139" s="5" t="n">
        <v>1000</v>
      </c>
    </row>
    <row r="140">
      <c r="A140" t="inlineStr">
        <is>
          <t>redalert</t>
        </is>
      </c>
      <c r="B140" t="inlineStr">
        <is>
          <t>ra1_soviets_siegemammothtank</t>
        </is>
      </c>
      <c r="C140" t="inlineStr">
        <is>
          <t>Siege Mammoth Tank</t>
        </is>
      </c>
      <c r="D140" t="inlineStr"/>
      <c r="E140" s="5" t="n">
        <v>625000</v>
      </c>
      <c r="F140" s="5" t="n">
        <v>45</v>
      </c>
      <c r="G140" t="inlineStr">
        <is>
          <t>Superheavy</t>
        </is>
      </c>
      <c r="H140" s="5" t="n">
        <v>1</v>
      </c>
      <c r="I140" s="5" t="n">
        <v>1</v>
      </c>
      <c r="J140" s="5" t="n">
        <v>1</v>
      </c>
      <c r="O140">
        <f>MAX(O141,O142,O143,O144,O145,O146,O147,O148)</f>
        <v/>
      </c>
      <c r="R140">
        <f>R141+R142+R143+R144+R145+R146+R147+R148</f>
        <v/>
      </c>
      <c r="S140">
        <f>(E140/100000+F140/100+(O140/1000)*J140/5+R140/200)*200*I140*H140</f>
        <v/>
      </c>
      <c r="T140">
        <f>((E140*F140/25000)+((O140/1000)*J140*R140/2.5))*I140*H140</f>
        <v/>
      </c>
      <c r="U140">
        <f>(E140*F140*(O140/1000)*J140*R140*I140*H140)/12500000</f>
        <v/>
      </c>
      <c r="V140">
        <f>(S140+T140+U140)/3</f>
        <v/>
      </c>
      <c r="W140" s="5" t="n">
        <v>4000</v>
      </c>
      <c r="X140">
        <f>IFERROR(V140-W140,"")</f>
        <v/>
      </c>
      <c r="Y140">
        <f>IFERROR(ABS(X140)/MAX(W140,1),"")</f>
        <v/>
      </c>
      <c r="Z140">
        <f>IFERROR((W140-(((E140/100000+F140/100+R140/200)*200*I140*H140)+((E140*F140/25000)*I140*H140))/3)/(((J140/5)*200*I140*H140)+((J140*R140/2.5)*I140*H140)+((E140*F140*J140*R140*I140*H140)/12500000))/3*1000,"")</f>
        <v/>
      </c>
    </row>
    <row r="141">
      <c r="B141" s="6" t="inlineStr">
        <is>
          <t xml:space="preserve">  ↳ ra120mm2</t>
        </is>
      </c>
      <c r="C141" s="6" t="inlineStr">
        <is>
          <t>Armament@PRIMARY</t>
        </is>
      </c>
      <c r="K141" s="5" t="n">
        <v>16000</v>
      </c>
      <c r="L141" s="5" t="n">
        <v>125</v>
      </c>
      <c r="M141" s="5" t="n">
        <v>2</v>
      </c>
      <c r="N141" s="5" t="n">
        <v>10</v>
      </c>
      <c r="O141" s="5" t="n">
        <v>6666</v>
      </c>
      <c r="P141" s="5" t="n">
        <v>1</v>
      </c>
      <c r="Q141">
        <f>L141+IF(M141&gt;1,N(N141)*(M141-1),0)</f>
        <v/>
      </c>
      <c r="R141">
        <f>IFERROR(K141*MAX(M141,1)/Q141*P141,0)</f>
        <v/>
      </c>
      <c r="AA141" s="6" t="inlineStr">
        <is>
          <t>^LightChemicalWeapon, ^MediumFlameWeapon, ^HeavyCannon</t>
        </is>
      </c>
    </row>
    <row r="142">
      <c r="B142" s="6" t="inlineStr">
        <is>
          <t xml:space="preserve">  ↳ ra120mm2TargetingComputer</t>
        </is>
      </c>
      <c r="C142" s="6" t="inlineStr">
        <is>
          <t>Armament@PRIMARYTargetingComputer</t>
        </is>
      </c>
      <c r="K142" s="5" t="n">
        <v>16000</v>
      </c>
      <c r="L142" s="5" t="n">
        <v>105</v>
      </c>
      <c r="M142" s="5" t="n">
        <v>2</v>
      </c>
      <c r="N142" s="5" t="n">
        <v>10</v>
      </c>
      <c r="O142" s="5" t="n">
        <v>6666</v>
      </c>
      <c r="P142" s="5" t="n">
        <v>1</v>
      </c>
      <c r="Q142">
        <f>L142+IF(M142&gt;1,N(N142)*(M142-1),0)</f>
        <v/>
      </c>
      <c r="R142">
        <f>IFERROR(K142*MAX(M142,1)/Q142*P142,0)</f>
        <v/>
      </c>
      <c r="AA142" s="6" t="inlineStr">
        <is>
          <t>^LightChemicalWeapon, ^MediumFlameWeapon, ^HeavyCannon</t>
        </is>
      </c>
    </row>
    <row r="143">
      <c r="B143" s="6" t="inlineStr">
        <is>
          <t xml:space="preserve">  ↳ ra120mm2Thermobaric</t>
        </is>
      </c>
      <c r="C143" s="6" t="inlineStr">
        <is>
          <t>Armament@Upgrade</t>
        </is>
      </c>
      <c r="K143" s="5" t="n">
        <v>16000</v>
      </c>
      <c r="L143" s="5" t="n">
        <v>125</v>
      </c>
      <c r="M143" s="5" t="n">
        <v>2</v>
      </c>
      <c r="N143" s="5" t="n">
        <v>10</v>
      </c>
      <c r="O143" s="5" t="n">
        <v>6666</v>
      </c>
      <c r="P143" s="5" t="n">
        <v>1</v>
      </c>
      <c r="Q143">
        <f>L143+IF(M143&gt;1,N(N143)*(M143-1),0)</f>
        <v/>
      </c>
      <c r="R143">
        <f>IFERROR(K143*MAX(M143,1)/Q143*P143,0)</f>
        <v/>
      </c>
      <c r="AA143" s="6" t="inlineStr">
        <is>
          <t>^HeavyFlameWeapon, ^HeavyBomb, ^HeavyCannon</t>
        </is>
      </c>
    </row>
    <row r="144">
      <c r="B144" s="6" t="inlineStr">
        <is>
          <t xml:space="preserve">  ↳ ra120mm2ThermobaricTargetingComputer</t>
        </is>
      </c>
      <c r="C144" s="6" t="inlineStr">
        <is>
          <t>Armament@UpgradeTargetingComputer</t>
        </is>
      </c>
      <c r="K144" s="5" t="n">
        <v>16000</v>
      </c>
      <c r="L144" s="5" t="n">
        <v>105</v>
      </c>
      <c r="M144" s="5" t="n">
        <v>2</v>
      </c>
      <c r="N144" s="5" t="n">
        <v>10</v>
      </c>
      <c r="O144" s="5" t="n">
        <v>6666</v>
      </c>
      <c r="P144" s="5" t="n">
        <v>1</v>
      </c>
      <c r="Q144">
        <f>L144+IF(M144&gt;1,N(N144)*(M144-1),0)</f>
        <v/>
      </c>
      <c r="R144">
        <f>IFERROR(K144*MAX(M144,1)/Q144*P144,0)</f>
        <v/>
      </c>
      <c r="AA144" s="6" t="inlineStr">
        <is>
          <t>^HeavyFlameWeapon, ^HeavyBomb, ^HeavyCannon</t>
        </is>
      </c>
    </row>
    <row r="145">
      <c r="B145" s="6" t="inlineStr">
        <is>
          <t xml:space="preserve">  ↳ MammothTusk2</t>
        </is>
      </c>
      <c r="C145" s="6" t="inlineStr">
        <is>
          <t>Armament@SECONDARY</t>
        </is>
      </c>
      <c r="K145" s="5" t="n">
        <v>16000</v>
      </c>
      <c r="L145" s="5" t="n">
        <v>125</v>
      </c>
      <c r="M145" s="5" t="n">
        <v>2</v>
      </c>
      <c r="N145" s="5" t="n">
        <v>10</v>
      </c>
      <c r="O145" s="5" t="n">
        <v>6666</v>
      </c>
      <c r="P145" s="5" t="n">
        <v>1</v>
      </c>
      <c r="Q145">
        <f>L145+IF(M145&gt;1,N(N145)*(M145-1),0)</f>
        <v/>
      </c>
      <c r="R145">
        <f>IFERROR(K145*MAX(M145,1)/Q145*P145,0)</f>
        <v/>
      </c>
      <c r="AA145" s="6" t="inlineStr">
        <is>
          <t>^LightFlameWeapon, ^MediumChemicalWeapon, ^HeavyMissile, ^ImpactGlow</t>
        </is>
      </c>
    </row>
    <row r="146">
      <c r="B146" s="6" t="inlineStr">
        <is>
          <t xml:space="preserve">  ↳ MammothTusk2TargetingComputer</t>
        </is>
      </c>
      <c r="C146" s="6" t="inlineStr">
        <is>
          <t>Armament@SECONDARYTargetingComputer</t>
        </is>
      </c>
      <c r="K146" s="5" t="n">
        <v>16000</v>
      </c>
      <c r="L146" s="5" t="n">
        <v>105</v>
      </c>
      <c r="M146" s="5" t="n">
        <v>2</v>
      </c>
      <c r="N146" s="5" t="n">
        <v>10</v>
      </c>
      <c r="O146" s="5" t="n">
        <v>6666</v>
      </c>
      <c r="P146" s="5" t="n">
        <v>1</v>
      </c>
      <c r="Q146">
        <f>L146+IF(M146&gt;1,N(N146)*(M146-1),0)</f>
        <v/>
      </c>
      <c r="R146">
        <f>IFERROR(K146*MAX(M146,1)/Q146*P146,0)</f>
        <v/>
      </c>
      <c r="AA146" s="6" t="inlineStr">
        <is>
          <t>^LightFlameWeapon, ^MediumChemicalWeapon, ^HeavyMissile, ^ImpactGlow</t>
        </is>
      </c>
    </row>
    <row r="147">
      <c r="B147" s="6" t="inlineStr">
        <is>
          <t xml:space="preserve">  ↳ MammothTusk2Thermobaric</t>
        </is>
      </c>
      <c r="C147" s="6" t="inlineStr">
        <is>
          <t>Armament@UpgradeSECONDARY</t>
        </is>
      </c>
      <c r="K147" s="5" t="n">
        <v>16000</v>
      </c>
      <c r="L147" s="5" t="n">
        <v>125</v>
      </c>
      <c r="M147" s="5" t="n">
        <v>2</v>
      </c>
      <c r="N147" s="5" t="n">
        <v>10</v>
      </c>
      <c r="O147" s="5" t="n">
        <v>6666</v>
      </c>
      <c r="P147" s="5" t="n">
        <v>1</v>
      </c>
      <c r="Q147">
        <f>L147+IF(M147&gt;1,N(N147)*(M147-1),0)</f>
        <v/>
      </c>
      <c r="R147">
        <f>IFERROR(K147*MAX(M147,1)/Q147*P147,0)</f>
        <v/>
      </c>
      <c r="AA147" s="6" t="inlineStr">
        <is>
          <t>^HeavyFlameWeapon, ^HeavyBomb, ^HeavyMissile</t>
        </is>
      </c>
    </row>
    <row r="148">
      <c r="B148" s="6" t="inlineStr">
        <is>
          <t xml:space="preserve">  ↳ MammothTusk2ThermobaricTargetingComputer</t>
        </is>
      </c>
      <c r="C148" s="6" t="inlineStr">
        <is>
          <t>Armament@UpgradeSECONDARYTargetingComputer</t>
        </is>
      </c>
      <c r="K148" s="5" t="n">
        <v>16000</v>
      </c>
      <c r="L148" s="5" t="n">
        <v>105</v>
      </c>
      <c r="M148" s="5" t="n">
        <v>2</v>
      </c>
      <c r="N148" s="5" t="n">
        <v>10</v>
      </c>
      <c r="O148" s="5" t="n">
        <v>6666</v>
      </c>
      <c r="P148" s="5" t="n">
        <v>1</v>
      </c>
      <c r="Q148">
        <f>L148+IF(M148&gt;1,N(N148)*(M148-1),0)</f>
        <v/>
      </c>
      <c r="R148">
        <f>IFERROR(K148*MAX(M148,1)/Q148*P148,0)</f>
        <v/>
      </c>
      <c r="AA148" s="6" t="inlineStr">
        <is>
          <t>^HeavyFlameWeapon, ^HeavyBomb, ^HeavyMissile</t>
        </is>
      </c>
    </row>
    <row r="149">
      <c r="A149" t="inlineStr">
        <is>
          <t>redalert</t>
        </is>
      </c>
      <c r="B149" t="inlineStr">
        <is>
          <t>ra1_soviets_stalinfist</t>
        </is>
      </c>
      <c r="C149" t="inlineStr">
        <is>
          <t>Stalin Fist</t>
        </is>
      </c>
      <c r="D149" t="inlineStr"/>
      <c r="E149" s="5" t="n">
        <v>100000</v>
      </c>
      <c r="F149" s="5" t="n">
        <v>60</v>
      </c>
      <c r="G149" t="inlineStr">
        <is>
          <t>Heavy</t>
        </is>
      </c>
      <c r="H149" s="5" t="n">
        <v>1</v>
      </c>
      <c r="I149" s="5" t="n">
        <v>1</v>
      </c>
      <c r="J149" s="5" t="n">
        <v>1</v>
      </c>
      <c r="W149" s="5" t="n">
        <v>7000</v>
      </c>
    </row>
    <row r="150">
      <c r="A150" t="inlineStr">
        <is>
          <t>redalert</t>
        </is>
      </c>
      <c r="B150" t="inlineStr">
        <is>
          <t>ra1_soviets_teslatank</t>
        </is>
      </c>
      <c r="C150" t="inlineStr">
        <is>
          <t>Tesla Tank</t>
        </is>
      </c>
      <c r="D150" t="inlineStr"/>
      <c r="E150" s="5" t="n">
        <v>40000</v>
      </c>
      <c r="F150" s="5" t="n">
        <v>80</v>
      </c>
      <c r="G150" t="inlineStr">
        <is>
          <t>Light</t>
        </is>
      </c>
      <c r="H150" s="5" t="n">
        <v>1</v>
      </c>
      <c r="I150" s="5" t="n">
        <v>1</v>
      </c>
      <c r="J150" s="5" t="n">
        <v>1</v>
      </c>
      <c r="O150">
        <f>MAX(O151,O152,O153)</f>
        <v/>
      </c>
      <c r="R150">
        <f>R151+R152+R153</f>
        <v/>
      </c>
      <c r="S150">
        <f>(E150/100000+F150/100+(O150/1000)*J150/5+R150/200)*200*I150*H150</f>
        <v/>
      </c>
      <c r="T150">
        <f>((E150*F150/25000)+((O150/1000)*J150*R150/2.5))*I150*H150</f>
        <v/>
      </c>
      <c r="U150">
        <f>(E150*F150*(O150/1000)*J150*R150*I150*H150)/12500000</f>
        <v/>
      </c>
      <c r="V150">
        <f>(S150+T150+U150)/3</f>
        <v/>
      </c>
      <c r="W150" s="5" t="n">
        <v>1700</v>
      </c>
      <c r="X150">
        <f>IFERROR(V150-W150,"")</f>
        <v/>
      </c>
      <c r="Y150">
        <f>IFERROR(ABS(X150)/MAX(W150,1),"")</f>
        <v/>
      </c>
      <c r="Z150">
        <f>IFERROR((W150-(((E150/100000+F150/100+R150/200)*200*I150*H150)+((E150*F150/25000)*I150*H150))/3)/(((J150/5)*200*I150*H150)+((J150*R150/2.5)*I150*H150)+((E150*F150*J150*R150*I150*H150)/12500000))/3*1000,"")</f>
        <v/>
      </c>
    </row>
    <row r="151">
      <c r="B151" s="6" t="inlineStr">
        <is>
          <t xml:space="preserve">  ↳ TTankZap</t>
        </is>
      </c>
      <c r="C151" s="6" t="inlineStr">
        <is>
          <t>Armament</t>
        </is>
      </c>
      <c r="K151" s="5" t="n">
        <v>40000</v>
      </c>
      <c r="L151" s="5" t="n">
        <v>80</v>
      </c>
      <c r="M151" s="5" t="n">
        <v>1</v>
      </c>
      <c r="N151" s="5" t="n"/>
      <c r="O151" s="5" t="n">
        <v>7300</v>
      </c>
      <c r="P151" s="5" t="n">
        <v>1</v>
      </c>
      <c r="Q151">
        <f>L151+IF(M151&gt;1,N(N151)*(M151-1),0)</f>
        <v/>
      </c>
      <c r="R151">
        <f>IFERROR(K151*MAX(M151,1)/Q151*P151,0)</f>
        <v/>
      </c>
      <c r="AA151" s="6" t="inlineStr">
        <is>
          <t>^TeslaWeapon</t>
        </is>
      </c>
    </row>
    <row r="152">
      <c r="B152" s="6" t="inlineStr">
        <is>
          <t xml:space="preserve">  ↳ TTankZapEMP</t>
        </is>
      </c>
      <c r="C152" s="6" t="inlineStr">
        <is>
          <t>Armament@Upgrade1</t>
        </is>
      </c>
      <c r="K152" s="5" t="n">
        <v>40000</v>
      </c>
      <c r="L152" s="5" t="n">
        <v>80</v>
      </c>
      <c r="M152" s="5" t="n">
        <v>1</v>
      </c>
      <c r="N152" s="5" t="n"/>
      <c r="O152" s="5" t="n">
        <v>7300</v>
      </c>
      <c r="P152" s="5" t="n">
        <v>1</v>
      </c>
      <c r="Q152">
        <f>L152+IF(M152&gt;1,N(N152)*(M152-1),0)</f>
        <v/>
      </c>
      <c r="R152">
        <f>IFERROR(K152*MAX(M152,1)/Q152*P152,0)</f>
        <v/>
      </c>
      <c r="AA152" s="6" t="inlineStr">
        <is>
          <t>^TeslaWeapon</t>
        </is>
      </c>
    </row>
    <row r="153">
      <c r="B153" s="6" t="inlineStr">
        <is>
          <t xml:space="preserve">  ↳ TTankZapEMPArc</t>
        </is>
      </c>
      <c r="C153" s="6" t="inlineStr">
        <is>
          <t>Armament@Upgrade2</t>
        </is>
      </c>
      <c r="K153" s="5" t="n">
        <v>40000</v>
      </c>
      <c r="L153" s="5" t="n">
        <v>80</v>
      </c>
      <c r="M153" s="5" t="n">
        <v>1</v>
      </c>
      <c r="N153" s="5" t="n"/>
      <c r="O153" s="5" t="n">
        <v>7300</v>
      </c>
      <c r="P153" s="5" t="n">
        <v>1</v>
      </c>
      <c r="Q153">
        <f>L153+IF(M153&gt;1,N(N153)*(M153-1),0)</f>
        <v/>
      </c>
      <c r="R153">
        <f>IFERROR(K153*MAX(M153,1)/Q153*P153,0)</f>
        <v/>
      </c>
      <c r="AA153" s="6" t="inlineStr">
        <is>
          <t>^TeslaWeapon</t>
        </is>
      </c>
    </row>
    <row r="154">
      <c r="A154" t="inlineStr">
        <is>
          <t>redalert</t>
        </is>
      </c>
      <c r="B154" t="inlineStr">
        <is>
          <t>ra1_soviets_v1rockettruck</t>
        </is>
      </c>
      <c r="C154" t="inlineStr">
        <is>
          <t>V1 Rocket Truck</t>
        </is>
      </c>
      <c r="D154" t="inlineStr"/>
      <c r="E154" s="5" t="n">
        <v>25000</v>
      </c>
      <c r="F154" s="5" t="n">
        <v>100</v>
      </c>
      <c r="G154" t="inlineStr">
        <is>
          <t>Light</t>
        </is>
      </c>
      <c r="H154" s="5" t="n">
        <v>1</v>
      </c>
      <c r="I154" s="5" t="n">
        <v>0.5</v>
      </c>
      <c r="J154" s="5" t="n">
        <v>1</v>
      </c>
      <c r="O154">
        <f>MAX(O155,O156)</f>
        <v/>
      </c>
      <c r="R154">
        <f>R155+R156</f>
        <v/>
      </c>
      <c r="S154">
        <f>(E154/100000+F154/100+(O154/1000)*J154/5+R154/200)*200*I154*H154</f>
        <v/>
      </c>
      <c r="T154">
        <f>((E154*F154/25000)+((O154/1000)*J154*R154/2.5))*I154*H154</f>
        <v/>
      </c>
      <c r="U154">
        <f>(E154*F154*(O154/1000)*J154*R154*I154*H154)/12500000</f>
        <v/>
      </c>
      <c r="V154">
        <f>(S154+T154+U154)/3</f>
        <v/>
      </c>
      <c r="W154" s="5" t="n">
        <v>850</v>
      </c>
      <c r="X154">
        <f>IFERROR(V154-W154,"")</f>
        <v/>
      </c>
      <c r="Y154">
        <f>IFERROR(ABS(X154)/MAX(W154,1),"")</f>
        <v/>
      </c>
      <c r="Z154">
        <f>IFERROR((W154-(((E154/100000+F154/100+R154/200)*200*I154*H154)+((E154*F154/25000)*I154*H154))/3)/(((J154/5)*200*I154*H154)+((J154*R154/2.5)*I154*H154)+((E154*F154*J154*R154*I154*H154)/12500000))/3*1000,"")</f>
        <v/>
      </c>
    </row>
    <row r="155">
      <c r="B155" s="6" t="inlineStr">
        <is>
          <t xml:space="preserve">  ↳ v1rockets</t>
        </is>
      </c>
      <c r="C155" s="6" t="inlineStr">
        <is>
          <t>Armament</t>
        </is>
      </c>
      <c r="K155" s="5" t="n">
        <v>12000</v>
      </c>
      <c r="L155" s="5" t="n">
        <v>115</v>
      </c>
      <c r="M155" s="5" t="n">
        <v>4</v>
      </c>
      <c r="N155" s="5" t="n">
        <v>5</v>
      </c>
      <c r="O155" s="5" t="n">
        <v>9595</v>
      </c>
      <c r="P155" s="5" t="n">
        <v>1</v>
      </c>
      <c r="Q155">
        <f>L155+IF(M155&gt;1,N(N155)*(M155-1),0)</f>
        <v/>
      </c>
      <c r="R155">
        <f>IFERROR(K155*MAX(M155,1)/Q155*P155,0)</f>
        <v/>
      </c>
      <c r="AA155" s="6" t="inlineStr">
        <is>
          <t>^MediumMissile, ^Grenade</t>
        </is>
      </c>
    </row>
    <row r="156">
      <c r="B156" s="6" t="inlineStr">
        <is>
          <t xml:space="preserve">  ↳ v1rocketsThermobaric</t>
        </is>
      </c>
      <c r="C156" s="6" t="inlineStr">
        <is>
          <t>Armament@Upgrade</t>
        </is>
      </c>
      <c r="K156" s="5" t="n">
        <v>8000</v>
      </c>
      <c r="L156" s="5" t="n">
        <v>115</v>
      </c>
      <c r="M156" s="5" t="n">
        <v>4</v>
      </c>
      <c r="N156" s="5" t="n">
        <v>5</v>
      </c>
      <c r="O156" s="5" t="n">
        <v>9595</v>
      </c>
      <c r="P156" s="5" t="n">
        <v>1</v>
      </c>
      <c r="Q156">
        <f>L156+IF(M156&gt;1,N(N156)*(M156-1),0)</f>
        <v/>
      </c>
      <c r="R156">
        <f>IFERROR(K156*MAX(M156,1)/Q156*P156,0)</f>
        <v/>
      </c>
      <c r="AA156" s="6" t="inlineStr">
        <is>
          <t>^MediumMissile, ^Grenade, ^HeavyFlameWeapon</t>
        </is>
      </c>
    </row>
    <row r="157">
      <c r="A157" t="inlineStr">
        <is>
          <t>redalert</t>
        </is>
      </c>
      <c r="B157" t="inlineStr">
        <is>
          <t>ra1_soviets_v2rocketlauncher</t>
        </is>
      </c>
      <c r="C157" t="inlineStr">
        <is>
          <t>V2 Rocket Launcher</t>
        </is>
      </c>
      <c r="D157" t="inlineStr"/>
      <c r="E157" s="5" t="n">
        <v>30000</v>
      </c>
      <c r="F157" s="5" t="n">
        <v>85</v>
      </c>
      <c r="G157" t="inlineStr">
        <is>
          <t>Medium</t>
        </is>
      </c>
      <c r="H157" s="5" t="n">
        <v>0.75</v>
      </c>
      <c r="I157" s="5" t="n">
        <v>0.5</v>
      </c>
      <c r="J157" s="5" t="n">
        <v>1</v>
      </c>
      <c r="O157">
        <f>MAX(O158,O159,O160)</f>
        <v/>
      </c>
      <c r="R157">
        <f>R158+R159+R160</f>
        <v/>
      </c>
      <c r="S157">
        <f>(E157/100000+F157/100+(O157/1000)*J157/5+R157/200)*200*I157*H157</f>
        <v/>
      </c>
      <c r="T157">
        <f>((E157*F157/25000)+((O157/1000)*J157*R157/2.5))*I157*H157</f>
        <v/>
      </c>
      <c r="U157">
        <f>(E157*F157*(O157/1000)*J157*R157*I157*H157)/12500000</f>
        <v/>
      </c>
      <c r="V157">
        <f>(S157+T157+U157)/3</f>
        <v/>
      </c>
      <c r="W157" s="5" t="n">
        <v>1600</v>
      </c>
      <c r="X157">
        <f>IFERROR(V157-W157,"")</f>
        <v/>
      </c>
      <c r="Y157">
        <f>IFERROR(ABS(X157)/MAX(W157,1),"")</f>
        <v/>
      </c>
      <c r="Z157">
        <f>IFERROR((W157-(((E157/100000+F157/100+R157/200)*200*I157*H157)+((E157*F157/25000)*I157*H157))/3)/(((J157/5)*200*I157*H157)+((J157*R157/2.5)*I157*H157)+((E157*F157*J157*R157*I157*H157)/12500000))/3*1000,"")</f>
        <v/>
      </c>
    </row>
    <row r="158">
      <c r="B158" s="6" t="inlineStr">
        <is>
          <t xml:space="preserve">  ↳ SCUD</t>
        </is>
      </c>
      <c r="C158" s="6" t="inlineStr">
        <is>
          <t>Armament@PRIMARY</t>
        </is>
      </c>
      <c r="K158" s="5" t="n">
        <v>60000</v>
      </c>
      <c r="L158" s="5" t="n">
        <v>120</v>
      </c>
      <c r="M158" s="5" t="n">
        <v>1</v>
      </c>
      <c r="N158" s="5" t="n"/>
      <c r="O158" s="5" t="n">
        <v>14110</v>
      </c>
      <c r="P158" s="5" t="n">
        <v>1</v>
      </c>
      <c r="Q158">
        <f>L158+IF(M158&gt;1,N(N158)*(M158-1),0)</f>
        <v/>
      </c>
      <c r="R158">
        <f>IFERROR(K158*MAX(M158,1)/Q158*P158,0)</f>
        <v/>
      </c>
      <c r="AA158" s="6" t="inlineStr">
        <is>
          <t>^HeavyMissile, ^HeavyFlameWeapon</t>
        </is>
      </c>
    </row>
    <row r="159">
      <c r="B159" s="6" t="inlineStr">
        <is>
          <t xml:space="preserve">  ↳ SCUDThermobaric</t>
        </is>
      </c>
      <c r="C159" s="6" t="inlineStr">
        <is>
          <t>Armament@HE</t>
        </is>
      </c>
      <c r="K159" s="5" t="n">
        <v>40000</v>
      </c>
      <c r="L159" s="5" t="n">
        <v>120</v>
      </c>
      <c r="M159" s="5" t="n">
        <v>1</v>
      </c>
      <c r="N159" s="5" t="n"/>
      <c r="O159" s="5" t="n">
        <v>14110</v>
      </c>
      <c r="P159" s="5" t="n">
        <v>1</v>
      </c>
      <c r="Q159">
        <f>L159+IF(M159&gt;1,N(N159)*(M159-1),0)</f>
        <v/>
      </c>
      <c r="R159">
        <f>IFERROR(K159*MAX(M159,1)/Q159*P159,0)</f>
        <v/>
      </c>
      <c r="AA159" s="6" t="inlineStr">
        <is>
          <t>^HeavyBomb, ^HeavyMissile, ^HeavyFlameWeapon</t>
        </is>
      </c>
    </row>
    <row r="160">
      <c r="B160" s="6" t="inlineStr">
        <is>
          <t xml:space="preserve">  ↳ SCUDTesla</t>
        </is>
      </c>
      <c r="C160" s="6" t="inlineStr">
        <is>
          <t>Armament@Tesla</t>
        </is>
      </c>
      <c r="K160" s="5" t="n">
        <v>30000</v>
      </c>
      <c r="L160" s="5" t="n">
        <v>120</v>
      </c>
      <c r="M160" s="5" t="n">
        <v>1</v>
      </c>
      <c r="N160" s="5" t="n"/>
      <c r="O160" s="5" t="n">
        <v>14110</v>
      </c>
      <c r="P160" s="5" t="n">
        <v>1</v>
      </c>
      <c r="Q160">
        <f>L160+IF(M160&gt;1,N(N160)*(M160-1),0)</f>
        <v/>
      </c>
      <c r="R160">
        <f>IFERROR(K160*MAX(M160,1)/Q160*P160,0)</f>
        <v/>
      </c>
      <c r="AA160" s="6" t="inlineStr">
        <is>
          <t>^TeslaWeapon, ^HeavyMissile, ^HeavyFlameWeapon</t>
        </is>
      </c>
    </row>
    <row r="161">
      <c r="A161" s="3" t="inlineStr">
        <is>
          <t>AIRCRAFT</t>
        </is>
      </c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</row>
    <row r="162">
      <c r="A162" t="inlineStr">
        <is>
          <t>redalert</t>
        </is>
      </c>
      <c r="B162" t="inlineStr">
        <is>
          <t>ra1_soviets_armoredyak</t>
        </is>
      </c>
      <c r="C162" t="inlineStr">
        <is>
          <t>Armored Yak</t>
        </is>
      </c>
      <c r="D162" t="inlineStr"/>
      <c r="E162" s="5" t="n">
        <v>80000</v>
      </c>
      <c r="F162" s="5" t="n">
        <v>135</v>
      </c>
      <c r="G162" t="inlineStr">
        <is>
          <t>Fighter</t>
        </is>
      </c>
      <c r="H162" s="5" t="n">
        <v>1</v>
      </c>
      <c r="I162" s="5" t="n">
        <v>1</v>
      </c>
      <c r="J162" s="5" t="n">
        <v>1</v>
      </c>
      <c r="O162">
        <f>MAX(O163,O164,O165,O166)</f>
        <v/>
      </c>
      <c r="R162">
        <f>R163+R164+R165+R166</f>
        <v/>
      </c>
      <c r="S162">
        <f>(E162/100000+F162/100+(O162/1000)*J162/5+R162/200)*200*I162*H162</f>
        <v/>
      </c>
      <c r="T162">
        <f>((E162*F162/25000)+((O162/1000)*J162*R162/2.5))*I162*H162</f>
        <v/>
      </c>
      <c r="U162">
        <f>(E162*F162*(O162/1000)*J162*R162*I162*H162)/12500000</f>
        <v/>
      </c>
      <c r="V162">
        <f>(S162+T162+U162)/3</f>
        <v/>
      </c>
      <c r="W162" s="5" t="n">
        <v>1600</v>
      </c>
      <c r="X162">
        <f>IFERROR(V162-W162,"")</f>
        <v/>
      </c>
      <c r="Y162">
        <f>IFERROR(ABS(X162)/MAX(W162,1),"")</f>
        <v/>
      </c>
      <c r="Z162">
        <f>IFERROR((W162-(((E162/100000+F162/100+R162/200)*200*I162*H162)+((E162*F162/25000)*I162*H162))/3)/(((J162/5)*200*I162*H162)+((J162*R162/2.5)*I162*H162)+((E162*F162*J162*R162*I162*H162)/12500000))/3*1000,"")</f>
        <v/>
      </c>
    </row>
    <row r="163">
      <c r="B163" s="6" t="inlineStr">
        <is>
          <t xml:space="preserve">  ↳ ArmoredYakChainGun</t>
        </is>
      </c>
      <c r="C163" s="6" t="inlineStr">
        <is>
          <t>Armament@PRIMARY</t>
        </is>
      </c>
      <c r="K163" s="5" t="n">
        <v>4000</v>
      </c>
      <c r="L163" s="5" t="n">
        <v>148</v>
      </c>
      <c r="M163" s="5" t="n">
        <v>10</v>
      </c>
      <c r="N163" s="5" t="n">
        <v>3</v>
      </c>
      <c r="O163" s="5" t="n">
        <v>6460</v>
      </c>
      <c r="P163" s="5" t="n">
        <v>1</v>
      </c>
      <c r="Q163">
        <f>L163+IF(M163&gt;1,N(N163)*(M163-1),0)</f>
        <v/>
      </c>
      <c r="R163">
        <f>IFERROR(K163*MAX(M163,1)/Q163*P163,0)</f>
        <v/>
      </c>
      <c r="AA163" s="6" t="inlineStr">
        <is>
          <t>^Chaingun</t>
        </is>
      </c>
    </row>
    <row r="164">
      <c r="B164" s="6" t="inlineStr">
        <is>
          <t xml:space="preserve">  ↳ ArmoredYakChainGun</t>
        </is>
      </c>
      <c r="C164" s="6" t="inlineStr">
        <is>
          <t>Armament@SECONDARY</t>
        </is>
      </c>
      <c r="K164" s="5" t="n">
        <v>4000</v>
      </c>
      <c r="L164" s="5" t="n">
        <v>148</v>
      </c>
      <c r="M164" s="5" t="n">
        <v>10</v>
      </c>
      <c r="N164" s="5" t="n">
        <v>3</v>
      </c>
      <c r="O164" s="5" t="n">
        <v>6460</v>
      </c>
      <c r="P164" s="5" t="n">
        <v>1</v>
      </c>
      <c r="Q164">
        <f>L164+IF(M164&gt;1,N(N164)*(M164-1),0)</f>
        <v/>
      </c>
      <c r="R164">
        <f>IFERROR(K164*MAX(M164,1)/Q164*P164,0)</f>
        <v/>
      </c>
      <c r="AA164" s="6" t="inlineStr">
        <is>
          <t>^Chaingun</t>
        </is>
      </c>
    </row>
    <row r="165">
      <c r="B165" s="6" t="inlineStr">
        <is>
          <t xml:space="preserve">  ↳ IncendiaryArmoredYakChainGun</t>
        </is>
      </c>
      <c r="C165" s="6" t="inlineStr">
        <is>
          <t>Armament@Upgrade1</t>
        </is>
      </c>
      <c r="K165" s="5" t="n">
        <v>4000</v>
      </c>
      <c r="L165" s="5" t="n">
        <v>148</v>
      </c>
      <c r="M165" s="5" t="n">
        <v>10</v>
      </c>
      <c r="N165" s="5" t="n">
        <v>3</v>
      </c>
      <c r="O165" s="5" t="n">
        <v>6460</v>
      </c>
      <c r="P165" s="5" t="n">
        <v>1</v>
      </c>
      <c r="Q165">
        <f>L165+IF(M165&gt;1,N(N165)*(M165-1),0)</f>
        <v/>
      </c>
      <c r="R165">
        <f>IFERROR(K165*MAX(M165,1)/Q165*P165,0)</f>
        <v/>
      </c>
      <c r="AA165" s="6" t="inlineStr">
        <is>
          <t>^Chaingun, ^LightFlameWeapon, ^IncendiaryBulletProjectile</t>
        </is>
      </c>
    </row>
    <row r="166">
      <c r="B166" s="6" t="inlineStr">
        <is>
          <t xml:space="preserve">  ↳ IncendiaryArmoredYakChainGun</t>
        </is>
      </c>
      <c r="C166" s="6" t="inlineStr">
        <is>
          <t>Armament@Upgrade2</t>
        </is>
      </c>
      <c r="K166" s="5" t="n">
        <v>4000</v>
      </c>
      <c r="L166" s="5" t="n">
        <v>148</v>
      </c>
      <c r="M166" s="5" t="n">
        <v>10</v>
      </c>
      <c r="N166" s="5" t="n">
        <v>3</v>
      </c>
      <c r="O166" s="5" t="n">
        <v>6460</v>
      </c>
      <c r="P166" s="5" t="n">
        <v>1</v>
      </c>
      <c r="Q166">
        <f>L166+IF(M166&gt;1,N(N166)*(M166-1),0)</f>
        <v/>
      </c>
      <c r="R166">
        <f>IFERROR(K166*MAX(M166,1)/Q166*P166,0)</f>
        <v/>
      </c>
      <c r="AA166" s="6" t="inlineStr">
        <is>
          <t>^Chaingun, ^LightFlameWeapon, ^IncendiaryBulletProjectile</t>
        </is>
      </c>
    </row>
    <row r="167">
      <c r="A167" t="inlineStr">
        <is>
          <t>redalert</t>
        </is>
      </c>
      <c r="B167" t="inlineStr">
        <is>
          <t>ra1_soviets_hindattackhelicopter</t>
        </is>
      </c>
      <c r="C167" t="inlineStr">
        <is>
          <t>Hind Attack Helicopter</t>
        </is>
      </c>
      <c r="D167" t="inlineStr"/>
      <c r="E167" s="5" t="n">
        <v>100000</v>
      </c>
      <c r="F167" s="5" t="n">
        <v>120</v>
      </c>
      <c r="G167" t="inlineStr">
        <is>
          <t>Helicopter</t>
        </is>
      </c>
      <c r="H167" s="5" t="n">
        <v>1</v>
      </c>
      <c r="I167" s="5" t="n">
        <v>1</v>
      </c>
      <c r="J167" s="5" t="n">
        <v>1</v>
      </c>
      <c r="O167">
        <f>MAX(O168,O169,O170,O171,O172,O173,O174,O175,O176,O177,O178,O179,O180)</f>
        <v/>
      </c>
      <c r="R167">
        <f>R168+R169+R170+R171+R172+R173+R174+R175+R176+R177+R178+R179+R180</f>
        <v/>
      </c>
      <c r="S167">
        <f>(E167/100000+F167/100+(O167/1000)*J167/5+R167/200)*200*I167*H167</f>
        <v/>
      </c>
      <c r="T167">
        <f>((E167*F167/25000)+((O167/1000)*J167*R167/2.5))*I167*H167</f>
        <v/>
      </c>
      <c r="U167">
        <f>(E167*F167*(O167/1000)*J167*R167*I167*H167)/12500000</f>
        <v/>
      </c>
      <c r="V167">
        <f>(S167+T167+U167)/3</f>
        <v/>
      </c>
      <c r="W167" s="5" t="n">
        <v>1800</v>
      </c>
      <c r="X167">
        <f>IFERROR(V167-W167,"")</f>
        <v/>
      </c>
      <c r="Y167">
        <f>IFERROR(ABS(X167)/MAX(W167,1),"")</f>
        <v/>
      </c>
      <c r="Z167">
        <f>IFERROR((W167-(((E167/100000+F167/100+R167/200)*200*I167*H167)+((E167*F167/25000)*I167*H167))/3)/(((J167/5)*200*I167*H167)+((J167*R167/2.5)*I167*H167)+((E167*F167*J167*R167*I167*H167)/12500000))/3*1000,"")</f>
        <v/>
      </c>
    </row>
    <row r="168">
      <c r="B168" s="6" t="inlineStr">
        <is>
          <t xml:space="preserve">  ↳ HindMissiles</t>
        </is>
      </c>
      <c r="C168" s="6" t="inlineStr">
        <is>
          <t>Armament@Missiles</t>
        </is>
      </c>
      <c r="K168" s="5" t="n">
        <v>2000</v>
      </c>
      <c r="L168" s="5" t="n">
        <v>16</v>
      </c>
      <c r="M168" s="5" t="n">
        <v>1</v>
      </c>
      <c r="N168" s="5" t="n"/>
      <c r="O168" s="5" t="n">
        <v>5528</v>
      </c>
      <c r="P168" s="5" t="n">
        <v>1</v>
      </c>
      <c r="Q168">
        <f>L168+IF(M168&gt;1,N(N168)*(M168-1),0)</f>
        <v/>
      </c>
      <c r="R168">
        <f>IFERROR(K168*MAX(M168,1)/Q168*P168,0)</f>
        <v/>
      </c>
      <c r="AA168" s="6" t="inlineStr">
        <is>
          <t>^Grenade, ^ShrapnelWeapon, ^HeavyCannon, ^MediumMissile</t>
        </is>
      </c>
    </row>
    <row r="169">
      <c r="B169" s="6" t="inlineStr">
        <is>
          <t xml:space="preserve">  ↳ HindMissiles</t>
        </is>
      </c>
      <c r="C169" s="6" t="inlineStr">
        <is>
          <t>Armament@MissilesRocketPod1</t>
        </is>
      </c>
      <c r="K169" s="5" t="n">
        <v>2000</v>
      </c>
      <c r="L169" s="5" t="n">
        <v>16</v>
      </c>
      <c r="M169" s="5" t="n">
        <v>1</v>
      </c>
      <c r="N169" s="5" t="n"/>
      <c r="O169" s="5" t="n">
        <v>5528</v>
      </c>
      <c r="P169" s="5" t="n">
        <v>1</v>
      </c>
      <c r="Q169">
        <f>L169+IF(M169&gt;1,N(N169)*(M169-1),0)</f>
        <v/>
      </c>
      <c r="R169">
        <f>IFERROR(K169*MAX(M169,1)/Q169*P169,0)</f>
        <v/>
      </c>
      <c r="AA169" s="6" t="inlineStr">
        <is>
          <t>^Grenade, ^ShrapnelWeapon, ^HeavyCannon, ^MediumMissile</t>
        </is>
      </c>
    </row>
    <row r="170">
      <c r="B170" s="6" t="inlineStr">
        <is>
          <t xml:space="preserve">  ↳ HindMissiles</t>
        </is>
      </c>
      <c r="C170" s="6" t="inlineStr">
        <is>
          <t>Armament@MissilesRocketPod2</t>
        </is>
      </c>
      <c r="K170" s="5" t="n">
        <v>2000</v>
      </c>
      <c r="L170" s="5" t="n">
        <v>16</v>
      </c>
      <c r="M170" s="5" t="n">
        <v>1</v>
      </c>
      <c r="N170" s="5" t="n"/>
      <c r="O170" s="5" t="n">
        <v>5528</v>
      </c>
      <c r="P170" s="5" t="n">
        <v>1</v>
      </c>
      <c r="Q170">
        <f>L170+IF(M170&gt;1,N(N170)*(M170-1),0)</f>
        <v/>
      </c>
      <c r="R170">
        <f>IFERROR(K170*MAX(M170,1)/Q170*P170,0)</f>
        <v/>
      </c>
      <c r="AA170" s="6" t="inlineStr">
        <is>
          <t>^Grenade, ^ShrapnelWeapon, ^HeavyCannon, ^MediumMissile</t>
        </is>
      </c>
    </row>
    <row r="171">
      <c r="B171" s="6" t="inlineStr">
        <is>
          <t xml:space="preserve">  ↳ HindMissilesThermobaric</t>
        </is>
      </c>
      <c r="C171" s="6" t="inlineStr">
        <is>
          <t>Armament@MissilesHE</t>
        </is>
      </c>
      <c r="K171" s="5" t="n">
        <v>2000</v>
      </c>
      <c r="L171" s="5" t="n">
        <v>16</v>
      </c>
      <c r="M171" s="5" t="n">
        <v>1</v>
      </c>
      <c r="N171" s="5" t="n"/>
      <c r="O171" s="5" t="n">
        <v>5528</v>
      </c>
      <c r="P171" s="5" t="n">
        <v>1</v>
      </c>
      <c r="Q171">
        <f>L171+IF(M171&gt;1,N(N171)*(M171-1),0)</f>
        <v/>
      </c>
      <c r="R171">
        <f>IFERROR(K171*MAX(M171,1)/Q171*P171,0)</f>
        <v/>
      </c>
      <c r="AA171" s="6" t="inlineStr">
        <is>
          <t>^Grenade, ^ShrapnelWeapon, ^MediumFlameWeapon, ^HeavyCannon, ^MediumMissile</t>
        </is>
      </c>
    </row>
    <row r="172">
      <c r="B172" s="6" t="inlineStr">
        <is>
          <t xml:space="preserve">  ↳ HindMissilesThermobaric</t>
        </is>
      </c>
      <c r="C172" s="6" t="inlineStr">
        <is>
          <t>Armament@MissilesHERocketPod1</t>
        </is>
      </c>
      <c r="K172" s="5" t="n">
        <v>2000</v>
      </c>
      <c r="L172" s="5" t="n">
        <v>16</v>
      </c>
      <c r="M172" s="5" t="n">
        <v>1</v>
      </c>
      <c r="N172" s="5" t="n"/>
      <c r="O172" s="5" t="n">
        <v>5528</v>
      </c>
      <c r="P172" s="5" t="n">
        <v>1</v>
      </c>
      <c r="Q172">
        <f>L172+IF(M172&gt;1,N(N172)*(M172-1),0)</f>
        <v/>
      </c>
      <c r="R172">
        <f>IFERROR(K172*MAX(M172,1)/Q172*P172,0)</f>
        <v/>
      </c>
      <c r="AA172" s="6" t="inlineStr">
        <is>
          <t>^Grenade, ^ShrapnelWeapon, ^MediumFlameWeapon, ^HeavyCannon, ^MediumMissile</t>
        </is>
      </c>
    </row>
    <row r="173">
      <c r="B173" s="6" t="inlineStr">
        <is>
          <t xml:space="preserve">  ↳ HindMissilesThermobaric</t>
        </is>
      </c>
      <c r="C173" s="6" t="inlineStr">
        <is>
          <t>Armament@MissilesHERocketPod2</t>
        </is>
      </c>
      <c r="K173" s="5" t="n">
        <v>2000</v>
      </c>
      <c r="L173" s="5" t="n">
        <v>16</v>
      </c>
      <c r="M173" s="5" t="n">
        <v>1</v>
      </c>
      <c r="N173" s="5" t="n"/>
      <c r="O173" s="5" t="n">
        <v>5528</v>
      </c>
      <c r="P173" s="5" t="n">
        <v>1</v>
      </c>
      <c r="Q173">
        <f>L173+IF(M173&gt;1,N(N173)*(M173-1),0)</f>
        <v/>
      </c>
      <c r="R173">
        <f>IFERROR(K173*MAX(M173,1)/Q173*P173,0)</f>
        <v/>
      </c>
      <c r="AA173" s="6" t="inlineStr">
        <is>
          <t>^Grenade, ^ShrapnelWeapon, ^MediumFlameWeapon, ^HeavyCannon, ^MediumMissile</t>
        </is>
      </c>
    </row>
    <row r="174">
      <c r="B174" s="6" t="inlineStr">
        <is>
          <t xml:space="preserve">  ↳ HindMissilesNuclear</t>
        </is>
      </c>
      <c r="C174" s="6" t="inlineStr">
        <is>
          <t>Armament@MissilesNuke</t>
        </is>
      </c>
      <c r="K174" s="5" t="n">
        <v>2000</v>
      </c>
      <c r="L174" s="5" t="n">
        <v>16</v>
      </c>
      <c r="M174" s="5" t="n">
        <v>1</v>
      </c>
      <c r="N174" s="5" t="n"/>
      <c r="O174" s="5" t="n">
        <v>5528</v>
      </c>
      <c r="P174" s="5" t="n">
        <v>1</v>
      </c>
      <c r="Q174">
        <f>L174+IF(M174&gt;1,N(N174)*(M174-1),0)</f>
        <v/>
      </c>
      <c r="R174">
        <f>IFERROR(K174*MAX(M174,1)/Q174*P174,0)</f>
        <v/>
      </c>
      <c r="AA174" s="6" t="inlineStr">
        <is>
          <t>^TankDestroyerCannon, ^MediumFlameWeapon, ^NuclearWarhead, ^MediumMissile</t>
        </is>
      </c>
    </row>
    <row r="175">
      <c r="B175" s="6" t="inlineStr">
        <is>
          <t xml:space="preserve">  ↳ HindMissilesNuclear</t>
        </is>
      </c>
      <c r="C175" s="6" t="inlineStr">
        <is>
          <t>Armament@MissilesNukeRocketPod1</t>
        </is>
      </c>
      <c r="K175" s="5" t="n">
        <v>2000</v>
      </c>
      <c r="L175" s="5" t="n">
        <v>16</v>
      </c>
      <c r="M175" s="5" t="n">
        <v>1</v>
      </c>
      <c r="N175" s="5" t="n"/>
      <c r="O175" s="5" t="n">
        <v>5528</v>
      </c>
      <c r="P175" s="5" t="n">
        <v>1</v>
      </c>
      <c r="Q175">
        <f>L175+IF(M175&gt;1,N(N175)*(M175-1),0)</f>
        <v/>
      </c>
      <c r="R175">
        <f>IFERROR(K175*MAX(M175,1)/Q175*P175,0)</f>
        <v/>
      </c>
      <c r="AA175" s="6" t="inlineStr">
        <is>
          <t>^TankDestroyerCannon, ^MediumFlameWeapon, ^NuclearWarhead, ^MediumMissile</t>
        </is>
      </c>
    </row>
    <row r="176">
      <c r="B176" s="6" t="inlineStr">
        <is>
          <t xml:space="preserve">  ↳ HindMissilesNuclear</t>
        </is>
      </c>
      <c r="C176" s="6" t="inlineStr">
        <is>
          <t>Armament@MissilesNukeRocketPod2</t>
        </is>
      </c>
      <c r="K176" s="5" t="n">
        <v>2000</v>
      </c>
      <c r="L176" s="5" t="n">
        <v>16</v>
      </c>
      <c r="M176" s="5" t="n">
        <v>1</v>
      </c>
      <c r="N176" s="5" t="n"/>
      <c r="O176" s="5" t="n">
        <v>5528</v>
      </c>
      <c r="P176" s="5" t="n">
        <v>1</v>
      </c>
      <c r="Q176">
        <f>L176+IF(M176&gt;1,N(N176)*(M176-1),0)</f>
        <v/>
      </c>
      <c r="R176">
        <f>IFERROR(K176*MAX(M176,1)/Q176*P176,0)</f>
        <v/>
      </c>
      <c r="AA176" s="6" t="inlineStr">
        <is>
          <t>^TankDestroyerCannon, ^MediumFlameWeapon, ^NuclearWarhead, ^MediumMissile</t>
        </is>
      </c>
    </row>
    <row r="177">
      <c r="B177" s="6" t="inlineStr">
        <is>
          <t xml:space="preserve">  ↳ ChainGun</t>
        </is>
      </c>
      <c r="C177" s="6" t="inlineStr">
        <is>
          <t>Armament@PRIMARY</t>
        </is>
      </c>
      <c r="K177" s="5" t="n">
        <v>2000</v>
      </c>
      <c r="L177" s="5" t="n">
        <v>8</v>
      </c>
      <c r="M177" s="5" t="n">
        <v>1</v>
      </c>
      <c r="N177" s="5" t="n"/>
      <c r="O177" s="5" t="n">
        <v>5528</v>
      </c>
      <c r="P177" s="5" t="n">
        <v>1</v>
      </c>
      <c r="Q177">
        <f>L177+IF(M177&gt;1,N(N177)*(M177-1),0)</f>
        <v/>
      </c>
      <c r="R177">
        <f>IFERROR(K177*MAX(M177,1)/Q177*P177,0)</f>
        <v/>
      </c>
      <c r="AA177" s="6" t="inlineStr">
        <is>
          <t>^Chaingun</t>
        </is>
      </c>
    </row>
    <row r="178">
      <c r="B178" s="6" t="inlineStr">
        <is>
          <t xml:space="preserve">  ↳ ChainGun</t>
        </is>
      </c>
      <c r="C178" s="6" t="inlineStr">
        <is>
          <t>Armament@SECONDARY</t>
        </is>
      </c>
      <c r="K178" s="5" t="n">
        <v>2000</v>
      </c>
      <c r="L178" s="5" t="n">
        <v>8</v>
      </c>
      <c r="M178" s="5" t="n">
        <v>1</v>
      </c>
      <c r="N178" s="5" t="n"/>
      <c r="O178" s="5" t="n">
        <v>5528</v>
      </c>
      <c r="P178" s="5" t="n">
        <v>1</v>
      </c>
      <c r="Q178">
        <f>L178+IF(M178&gt;1,N(N178)*(M178-1),0)</f>
        <v/>
      </c>
      <c r="R178">
        <f>IFERROR(K178*MAX(M178,1)/Q178*P178,0)</f>
        <v/>
      </c>
      <c r="AA178" s="6" t="inlineStr">
        <is>
          <t>^Chaingun</t>
        </is>
      </c>
    </row>
    <row r="179">
      <c r="B179" s="6" t="inlineStr">
        <is>
          <t xml:space="preserve">  ↳ IncendiaryChainGun</t>
        </is>
      </c>
      <c r="C179" s="6" t="inlineStr">
        <is>
          <t>Armament@Upgrade1</t>
        </is>
      </c>
      <c r="K179" s="5" t="n">
        <v>2000</v>
      </c>
      <c r="L179" s="5" t="n">
        <v>8</v>
      </c>
      <c r="M179" s="5" t="n">
        <v>1</v>
      </c>
      <c r="N179" s="5" t="n"/>
      <c r="O179" s="5" t="n">
        <v>5528</v>
      </c>
      <c r="P179" s="5" t="n">
        <v>1</v>
      </c>
      <c r="Q179">
        <f>L179+IF(M179&gt;1,N(N179)*(M179-1),0)</f>
        <v/>
      </c>
      <c r="R179">
        <f>IFERROR(K179*MAX(M179,1)/Q179*P179,0)</f>
        <v/>
      </c>
      <c r="AA179" s="6" t="inlineStr">
        <is>
          <t>^Chaingun, ^LightFlameWeapon, ^IncendiaryBulletProjectile</t>
        </is>
      </c>
    </row>
    <row r="180">
      <c r="B180" s="6" t="inlineStr">
        <is>
          <t xml:space="preserve">  ↳ IncendiaryChainGun</t>
        </is>
      </c>
      <c r="C180" s="6" t="inlineStr">
        <is>
          <t>Armament@Upgrade2</t>
        </is>
      </c>
      <c r="K180" s="5" t="n">
        <v>2000</v>
      </c>
      <c r="L180" s="5" t="n">
        <v>8</v>
      </c>
      <c r="M180" s="5" t="n">
        <v>1</v>
      </c>
      <c r="N180" s="5" t="n"/>
      <c r="O180" s="5" t="n">
        <v>5528</v>
      </c>
      <c r="P180" s="5" t="n">
        <v>1</v>
      </c>
      <c r="Q180">
        <f>L180+IF(M180&gt;1,N(N180)*(M180-1),0)</f>
        <v/>
      </c>
      <c r="R180">
        <f>IFERROR(K180*MAX(M180,1)/Q180*P180,0)</f>
        <v/>
      </c>
      <c r="AA180" s="6" t="inlineStr">
        <is>
          <t>^Chaingun, ^LightFlameWeapon, ^IncendiaryBulletProjectile</t>
        </is>
      </c>
    </row>
    <row r="181">
      <c r="A181" t="inlineStr">
        <is>
          <t>redalert</t>
        </is>
      </c>
      <c r="B181" t="inlineStr">
        <is>
          <t>ra1_soviets_hiptransport</t>
        </is>
      </c>
      <c r="C181" t="inlineStr">
        <is>
          <t>Hip Transport</t>
        </is>
      </c>
      <c r="D181" t="inlineStr"/>
      <c r="E181" s="5" t="n">
        <v>150000</v>
      </c>
      <c r="F181" s="5" t="n">
        <v>100</v>
      </c>
      <c r="G181" t="inlineStr">
        <is>
          <t>Helicopter</t>
        </is>
      </c>
      <c r="H181" s="5" t="n">
        <v>1</v>
      </c>
      <c r="I181" s="5" t="n">
        <v>1</v>
      </c>
      <c r="J181" s="5" t="n">
        <v>1</v>
      </c>
      <c r="W181" s="5" t="n">
        <v>2500</v>
      </c>
    </row>
    <row r="182">
      <c r="A182" t="inlineStr">
        <is>
          <t>redalert</t>
        </is>
      </c>
      <c r="B182" t="inlineStr">
        <is>
          <t>ra1_soviets_kamovattackhelicopter</t>
        </is>
      </c>
      <c r="C182" t="inlineStr">
        <is>
          <t>Kamov Attack Helicopter</t>
        </is>
      </c>
      <c r="D182" t="inlineStr"/>
      <c r="E182" s="5" t="n">
        <v>122500</v>
      </c>
      <c r="F182" s="5" t="n">
        <v>125</v>
      </c>
      <c r="G182" t="inlineStr">
        <is>
          <t>Helicopter</t>
        </is>
      </c>
      <c r="H182" s="5" t="n">
        <v>1</v>
      </c>
      <c r="I182" s="5" t="n">
        <v>1</v>
      </c>
      <c r="J182" s="5" t="n">
        <v>1</v>
      </c>
      <c r="O182">
        <f>MAX(O183,O184,O185,O186,O187,O188,O189,O190,O191,O192,O193,O194)</f>
        <v/>
      </c>
      <c r="R182">
        <f>R183+R184+R185+R186+R187+R188+R189+R190+R191+R192+R193+R194</f>
        <v/>
      </c>
      <c r="S182">
        <f>(E182/100000+F182/100+(O182/1000)*J182/5+R182/200)*200*I182*H182</f>
        <v/>
      </c>
      <c r="T182">
        <f>((E182*F182/25000)+((O182/1000)*J182*R182/2.5))*I182*H182</f>
        <v/>
      </c>
      <c r="U182">
        <f>(E182*F182*(O182/1000)*J182*R182*I182*H182)/12500000</f>
        <v/>
      </c>
      <c r="V182">
        <f>(S182+T182+U182)/3</f>
        <v/>
      </c>
      <c r="W182" s="5" t="n">
        <v>2100</v>
      </c>
      <c r="X182">
        <f>IFERROR(V182-W182,"")</f>
        <v/>
      </c>
      <c r="Y182">
        <f>IFERROR(ABS(X182)/MAX(W182,1),"")</f>
        <v/>
      </c>
      <c r="Z182">
        <f>IFERROR((W182-(((E182/100000+F182/100+R182/200)*200*I182*H182)+((E182*F182/25000)*I182*H182))/3)/(((J182/5)*200*I182*H182)+((J182*R182/2.5)*I182*H182)+((E182*F182*J182*R182*I182*H182)/12500000))/3*1000,"")</f>
        <v/>
      </c>
    </row>
    <row r="183">
      <c r="B183" s="6" t="inlineStr">
        <is>
          <t xml:space="preserve">  ↳ KamovTesla</t>
        </is>
      </c>
      <c r="C183" s="6" t="inlineStr">
        <is>
          <t>Armament@Tesla</t>
        </is>
      </c>
      <c r="K183" s="5" t="n">
        <v>16000</v>
      </c>
      <c r="L183" s="5" t="n">
        <v>32</v>
      </c>
      <c r="M183" s="5" t="n">
        <v>1</v>
      </c>
      <c r="N183" s="5" t="n"/>
      <c r="O183" s="5" t="n">
        <v>5528</v>
      </c>
      <c r="P183" s="5" t="n">
        <v>1</v>
      </c>
      <c r="Q183">
        <f>L183+IF(M183&gt;1,N(N183)*(M183-1),0)</f>
        <v/>
      </c>
      <c r="R183">
        <f>IFERROR(K183*MAX(M183,1)/Q183*P183,0)</f>
        <v/>
      </c>
      <c r="AA183" s="6" t="inlineStr">
        <is>
          <t>^LightMissile, ^TeslaWeapon</t>
        </is>
      </c>
    </row>
    <row r="184">
      <c r="B184" s="6" t="inlineStr">
        <is>
          <t xml:space="preserve">  ↳ KamovTeslaArc</t>
        </is>
      </c>
      <c r="C184" s="6" t="inlineStr">
        <is>
          <t>Armament@Arcing</t>
        </is>
      </c>
      <c r="K184" s="5" t="n">
        <v>16000</v>
      </c>
      <c r="L184" s="5" t="n">
        <v>32</v>
      </c>
      <c r="M184" s="5" t="n">
        <v>1</v>
      </c>
      <c r="N184" s="5" t="n"/>
      <c r="O184" s="5" t="n">
        <v>5528</v>
      </c>
      <c r="P184" s="5" t="n">
        <v>1</v>
      </c>
      <c r="Q184">
        <f>L184+IF(M184&gt;1,N(N184)*(M184-1),0)</f>
        <v/>
      </c>
      <c r="R184">
        <f>IFERROR(K184*MAX(M184,1)/Q184*P184,0)</f>
        <v/>
      </c>
      <c r="AA184" s="6" t="inlineStr">
        <is>
          <t>^LightMissile, ^TeslaWeapon</t>
        </is>
      </c>
    </row>
    <row r="185">
      <c r="B185" s="6" t="inlineStr">
        <is>
          <t xml:space="preserve">  ↳ HindMissiles</t>
        </is>
      </c>
      <c r="C185" s="6" t="inlineStr">
        <is>
          <t>Armament@Missiles</t>
        </is>
      </c>
      <c r="K185" s="5" t="n">
        <v>2000</v>
      </c>
      <c r="L185" s="5" t="n">
        <v>16</v>
      </c>
      <c r="M185" s="5" t="n">
        <v>1</v>
      </c>
      <c r="N185" s="5" t="n"/>
      <c r="O185" s="5" t="n">
        <v>5528</v>
      </c>
      <c r="P185" s="5" t="n">
        <v>1</v>
      </c>
      <c r="Q185">
        <f>L185+IF(M185&gt;1,N(N185)*(M185-1),0)</f>
        <v/>
      </c>
      <c r="R185">
        <f>IFERROR(K185*MAX(M185,1)/Q185*P185,0)</f>
        <v/>
      </c>
      <c r="AA185" s="6" t="inlineStr">
        <is>
          <t>^Grenade, ^ShrapnelWeapon, ^HeavyCannon, ^MediumMissile</t>
        </is>
      </c>
    </row>
    <row r="186">
      <c r="B186" s="6" t="inlineStr">
        <is>
          <t xml:space="preserve">  ↳ HindMissiles</t>
        </is>
      </c>
      <c r="C186" s="6" t="inlineStr">
        <is>
          <t>Armament@MissilesRocketPod1</t>
        </is>
      </c>
      <c r="K186" s="5" t="n">
        <v>2000</v>
      </c>
      <c r="L186" s="5" t="n">
        <v>16</v>
      </c>
      <c r="M186" s="5" t="n">
        <v>1</v>
      </c>
      <c r="N186" s="5" t="n"/>
      <c r="O186" s="5" t="n">
        <v>5528</v>
      </c>
      <c r="P186" s="5" t="n">
        <v>1</v>
      </c>
      <c r="Q186">
        <f>L186+IF(M186&gt;1,N(N186)*(M186-1),0)</f>
        <v/>
      </c>
      <c r="R186">
        <f>IFERROR(K186*MAX(M186,1)/Q186*P186,0)</f>
        <v/>
      </c>
      <c r="AA186" s="6" t="inlineStr">
        <is>
          <t>^Grenade, ^ShrapnelWeapon, ^HeavyCannon, ^MediumMissile</t>
        </is>
      </c>
    </row>
    <row r="187">
      <c r="B187" s="6" t="inlineStr">
        <is>
          <t xml:space="preserve">  ↳ HindMissiles</t>
        </is>
      </c>
      <c r="C187" s="6" t="inlineStr">
        <is>
          <t>Armament@MissilesRocketPod2</t>
        </is>
      </c>
      <c r="K187" s="5" t="n">
        <v>2000</v>
      </c>
      <c r="L187" s="5" t="n">
        <v>16</v>
      </c>
      <c r="M187" s="5" t="n">
        <v>1</v>
      </c>
      <c r="N187" s="5" t="n"/>
      <c r="O187" s="5" t="n">
        <v>5528</v>
      </c>
      <c r="P187" s="5" t="n">
        <v>1</v>
      </c>
      <c r="Q187">
        <f>L187+IF(M187&gt;1,N(N187)*(M187-1),0)</f>
        <v/>
      </c>
      <c r="R187">
        <f>IFERROR(K187*MAX(M187,1)/Q187*P187,0)</f>
        <v/>
      </c>
      <c r="AA187" s="6" t="inlineStr">
        <is>
          <t>^Grenade, ^ShrapnelWeapon, ^HeavyCannon, ^MediumMissile</t>
        </is>
      </c>
    </row>
    <row r="188">
      <c r="B188" s="6" t="inlineStr">
        <is>
          <t xml:space="preserve">  ↳ KamovMissilesTesla</t>
        </is>
      </c>
      <c r="C188" s="6" t="inlineStr">
        <is>
          <t>Armament@MissilesUpgrade</t>
        </is>
      </c>
      <c r="K188" s="5" t="n">
        <v>2000</v>
      </c>
      <c r="L188" s="5" t="n">
        <v>16</v>
      </c>
      <c r="M188" s="5" t="n">
        <v>1</v>
      </c>
      <c r="N188" s="5" t="n"/>
      <c r="O188" s="5" t="n">
        <v>5528</v>
      </c>
      <c r="P188" s="5" t="n">
        <v>1</v>
      </c>
      <c r="Q188">
        <f>L188+IF(M188&gt;1,N(N188)*(M188-1),0)</f>
        <v/>
      </c>
      <c r="R188">
        <f>IFERROR(K188*MAX(M188,1)/Q188*P188,0)</f>
        <v/>
      </c>
      <c r="AA188" s="6" t="inlineStr">
        <is>
          <t>^Grenade, ^ShrapnelWeapon, ^MediumFlameWeapon, ^TeslaWeapon, ^MediumMissile</t>
        </is>
      </c>
    </row>
    <row r="189">
      <c r="B189" s="6" t="inlineStr">
        <is>
          <t xml:space="preserve">  ↳ KamovMissilesTesla</t>
        </is>
      </c>
      <c r="C189" s="6" t="inlineStr">
        <is>
          <t>Armament@MissilesUpgradeRocketPod1</t>
        </is>
      </c>
      <c r="K189" s="5" t="n">
        <v>2000</v>
      </c>
      <c r="L189" s="5" t="n">
        <v>16</v>
      </c>
      <c r="M189" s="5" t="n">
        <v>1</v>
      </c>
      <c r="N189" s="5" t="n"/>
      <c r="O189" s="5" t="n">
        <v>5528</v>
      </c>
      <c r="P189" s="5" t="n">
        <v>1</v>
      </c>
      <c r="Q189">
        <f>L189+IF(M189&gt;1,N(N189)*(M189-1),0)</f>
        <v/>
      </c>
      <c r="R189">
        <f>IFERROR(K189*MAX(M189,1)/Q189*P189,0)</f>
        <v/>
      </c>
      <c r="AA189" s="6" t="inlineStr">
        <is>
          <t>^Grenade, ^ShrapnelWeapon, ^MediumFlameWeapon, ^TeslaWeapon, ^MediumMissile</t>
        </is>
      </c>
    </row>
    <row r="190">
      <c r="B190" s="6" t="inlineStr">
        <is>
          <t xml:space="preserve">  ↳ KamovMissilesTesla</t>
        </is>
      </c>
      <c r="C190" s="6" t="inlineStr">
        <is>
          <t>Armament@MissilesUpgradeRocketPod2</t>
        </is>
      </c>
      <c r="K190" s="5" t="n">
        <v>2000</v>
      </c>
      <c r="L190" s="5" t="n">
        <v>16</v>
      </c>
      <c r="M190" s="5" t="n">
        <v>1</v>
      </c>
      <c r="N190" s="5" t="n"/>
      <c r="O190" s="5" t="n">
        <v>5528</v>
      </c>
      <c r="P190" s="5" t="n">
        <v>1</v>
      </c>
      <c r="Q190">
        <f>L190+IF(M190&gt;1,N(N190)*(M190-1),0)</f>
        <v/>
      </c>
      <c r="R190">
        <f>IFERROR(K190*MAX(M190,1)/Q190*P190,0)</f>
        <v/>
      </c>
      <c r="AA190" s="6" t="inlineStr">
        <is>
          <t>^Grenade, ^ShrapnelWeapon, ^MediumFlameWeapon, ^TeslaWeapon, ^MediumMissile</t>
        </is>
      </c>
    </row>
    <row r="191">
      <c r="B191" s="6" t="inlineStr">
        <is>
          <t xml:space="preserve">  ↳ ChainGun</t>
        </is>
      </c>
      <c r="C191" s="6" t="inlineStr">
        <is>
          <t>Armament@PRIMARY</t>
        </is>
      </c>
      <c r="K191" s="5" t="n">
        <v>2000</v>
      </c>
      <c r="L191" s="5" t="n">
        <v>8</v>
      </c>
      <c r="M191" s="5" t="n">
        <v>1</v>
      </c>
      <c r="N191" s="5" t="n"/>
      <c r="O191" s="5" t="n">
        <v>5528</v>
      </c>
      <c r="P191" s="5" t="n">
        <v>1</v>
      </c>
      <c r="Q191">
        <f>L191+IF(M191&gt;1,N(N191)*(M191-1),0)</f>
        <v/>
      </c>
      <c r="R191">
        <f>IFERROR(K191*MAX(M191,1)/Q191*P191,0)</f>
        <v/>
      </c>
      <c r="AA191" s="6" t="inlineStr">
        <is>
          <t>^Chaingun</t>
        </is>
      </c>
    </row>
    <row r="192">
      <c r="B192" s="6" t="inlineStr">
        <is>
          <t xml:space="preserve">  ↳ ChainGun</t>
        </is>
      </c>
      <c r="C192" s="6" t="inlineStr">
        <is>
          <t>Armament@SECONDARY</t>
        </is>
      </c>
      <c r="K192" s="5" t="n">
        <v>2000</v>
      </c>
      <c r="L192" s="5" t="n">
        <v>8</v>
      </c>
      <c r="M192" s="5" t="n">
        <v>1</v>
      </c>
      <c r="N192" s="5" t="n"/>
      <c r="O192" s="5" t="n">
        <v>5528</v>
      </c>
      <c r="P192" s="5" t="n">
        <v>1</v>
      </c>
      <c r="Q192">
        <f>L192+IF(M192&gt;1,N(N192)*(M192-1),0)</f>
        <v/>
      </c>
      <c r="R192">
        <f>IFERROR(K192*MAX(M192,1)/Q192*P192,0)</f>
        <v/>
      </c>
      <c r="AA192" s="6" t="inlineStr">
        <is>
          <t>^Chaingun</t>
        </is>
      </c>
    </row>
    <row r="193">
      <c r="B193" s="6" t="inlineStr">
        <is>
          <t xml:space="preserve">  ↳ IncendiaryChainGun</t>
        </is>
      </c>
      <c r="C193" s="6" t="inlineStr">
        <is>
          <t>Armament@Upgrade1</t>
        </is>
      </c>
      <c r="K193" s="5" t="n">
        <v>2000</v>
      </c>
      <c r="L193" s="5" t="n">
        <v>8</v>
      </c>
      <c r="M193" s="5" t="n">
        <v>1</v>
      </c>
      <c r="N193" s="5" t="n"/>
      <c r="O193" s="5" t="n">
        <v>5528</v>
      </c>
      <c r="P193" s="5" t="n">
        <v>1</v>
      </c>
      <c r="Q193">
        <f>L193+IF(M193&gt;1,N(N193)*(M193-1),0)</f>
        <v/>
      </c>
      <c r="R193">
        <f>IFERROR(K193*MAX(M193,1)/Q193*P193,0)</f>
        <v/>
      </c>
      <c r="AA193" s="6" t="inlineStr">
        <is>
          <t>^Chaingun, ^LightFlameWeapon, ^IncendiaryBulletProjectile</t>
        </is>
      </c>
    </row>
    <row r="194">
      <c r="B194" s="6" t="inlineStr">
        <is>
          <t xml:space="preserve">  ↳ IncendiaryChainGun</t>
        </is>
      </c>
      <c r="C194" s="6" t="inlineStr">
        <is>
          <t>Armament@Upgrade2</t>
        </is>
      </c>
      <c r="K194" s="5" t="n">
        <v>2000</v>
      </c>
      <c r="L194" s="5" t="n">
        <v>8</v>
      </c>
      <c r="M194" s="5" t="n">
        <v>1</v>
      </c>
      <c r="N194" s="5" t="n"/>
      <c r="O194" s="5" t="n">
        <v>5528</v>
      </c>
      <c r="P194" s="5" t="n">
        <v>1</v>
      </c>
      <c r="Q194">
        <f>L194+IF(M194&gt;1,N(N194)*(M194-1),0)</f>
        <v/>
      </c>
      <c r="R194">
        <f>IFERROR(K194*MAX(M194,1)/Q194*P194,0)</f>
        <v/>
      </c>
      <c r="AA194" s="6" t="inlineStr">
        <is>
          <t>^Chaingun, ^LightFlameWeapon, ^IncendiaryBulletProjectile</t>
        </is>
      </c>
    </row>
    <row r="195">
      <c r="A195" t="inlineStr">
        <is>
          <t>redalert</t>
        </is>
      </c>
      <c r="B195" t="inlineStr">
        <is>
          <t>ra1_soviets_migattackbomber</t>
        </is>
      </c>
      <c r="C195" t="inlineStr">
        <is>
          <t>Mig Attack Bomber</t>
        </is>
      </c>
      <c r="D195" t="inlineStr"/>
      <c r="E195" s="5" t="n">
        <v>40000</v>
      </c>
      <c r="F195" s="5" t="n">
        <v>200</v>
      </c>
      <c r="G195" t="inlineStr">
        <is>
          <t>Bomber</t>
        </is>
      </c>
      <c r="H195" s="5" t="n">
        <v>1</v>
      </c>
      <c r="I195" s="5" t="n">
        <v>1</v>
      </c>
      <c r="J195" s="5" t="n">
        <v>1</v>
      </c>
      <c r="O195">
        <f>MAX(O196,O197,O198,O199,O200,O201)</f>
        <v/>
      </c>
      <c r="R195">
        <f>R196+R197+R198+R199+R200+R201</f>
        <v/>
      </c>
      <c r="S195">
        <f>(E195/100000+F195/100+(O195/1000)*J195/5+R195/200)*200*I195*H195</f>
        <v/>
      </c>
      <c r="T195">
        <f>((E195*F195/25000)+((O195/1000)*J195*R195/2.5))*I195*H195</f>
        <v/>
      </c>
      <c r="U195">
        <f>(E195*F195*(O195/1000)*J195*R195*I195*H195)/12500000</f>
        <v/>
      </c>
      <c r="V195">
        <f>(S195+T195+U195)/3</f>
        <v/>
      </c>
      <c r="W195" s="5" t="n">
        <v>1400</v>
      </c>
      <c r="X195">
        <f>IFERROR(V195-W195,"")</f>
        <v/>
      </c>
      <c r="Y195">
        <f>IFERROR(ABS(X195)/MAX(W195,1),"")</f>
        <v/>
      </c>
      <c r="Z195">
        <f>IFERROR((W195-(((E195/100000+F195/100+R195/200)*200*I195*H195)+((E195*F195/25000)*I195*H195))/3)/(((J195/5)*200*I195*H195)+((J195*R195/2.5)*I195*H195)+((E195*F195*J195*R195*I195*H195)/12500000))/3*1000,"")</f>
        <v/>
      </c>
    </row>
    <row r="196">
      <c r="B196" s="6" t="inlineStr">
        <is>
          <t xml:space="preserve">  ↳ Maverick</t>
        </is>
      </c>
      <c r="C196" s="6" t="inlineStr">
        <is>
          <t>Armament@Rockets1</t>
        </is>
      </c>
      <c r="K196" s="5" t="n">
        <v>40000</v>
      </c>
      <c r="L196" s="5" t="n">
        <v>50</v>
      </c>
      <c r="M196" s="5" t="n">
        <v>2</v>
      </c>
      <c r="N196" s="5" t="n">
        <v>4</v>
      </c>
      <c r="O196" s="5" t="n">
        <v>5900</v>
      </c>
      <c r="P196" s="5" t="n">
        <v>1</v>
      </c>
      <c r="Q196">
        <f>L196+IF(M196&gt;1,N(N196)*(M196-1),0)</f>
        <v/>
      </c>
      <c r="R196">
        <f>IFERROR(K196*MAX(M196,1)/Q196*P196,0)</f>
        <v/>
      </c>
      <c r="AA196" s="6" t="inlineStr">
        <is>
          <t>^MediumMissile</t>
        </is>
      </c>
    </row>
    <row r="197">
      <c r="B197" s="6" t="inlineStr">
        <is>
          <t xml:space="preserve">  ↳ Maverick</t>
        </is>
      </c>
      <c r="C197" s="6" t="inlineStr">
        <is>
          <t>Armament@Rockets2</t>
        </is>
      </c>
      <c r="K197" s="5" t="n">
        <v>40000</v>
      </c>
      <c r="L197" s="5" t="n">
        <v>50</v>
      </c>
      <c r="M197" s="5" t="n">
        <v>2</v>
      </c>
      <c r="N197" s="5" t="n">
        <v>4</v>
      </c>
      <c r="O197" s="5" t="n">
        <v>5900</v>
      </c>
      <c r="P197" s="5" t="n">
        <v>1</v>
      </c>
      <c r="Q197">
        <f>L197+IF(M197&gt;1,N(N197)*(M197-1),0)</f>
        <v/>
      </c>
      <c r="R197">
        <f>IFERROR(K197*MAX(M197,1)/Q197*P197,0)</f>
        <v/>
      </c>
      <c r="AA197" s="6" t="inlineStr">
        <is>
          <t>^MediumMissile</t>
        </is>
      </c>
    </row>
    <row r="198">
      <c r="B198" s="6" t="inlineStr">
        <is>
          <t xml:space="preserve">  ↳ TeslaMaverick</t>
        </is>
      </c>
      <c r="C198" s="6" t="inlineStr">
        <is>
          <t>Armament@TeslaUpgrade1</t>
        </is>
      </c>
      <c r="K198" s="5" t="n">
        <v>16000</v>
      </c>
      <c r="L198" s="5" t="n">
        <v>50</v>
      </c>
      <c r="M198" s="5" t="n">
        <v>2</v>
      </c>
      <c r="N198" s="5" t="n">
        <v>4</v>
      </c>
      <c r="O198" s="5" t="n">
        <v>5900</v>
      </c>
      <c r="P198" s="5" t="n">
        <v>1</v>
      </c>
      <c r="Q198">
        <f>L198+IF(M198&gt;1,N(N198)*(M198-1),0)</f>
        <v/>
      </c>
      <c r="R198">
        <f>IFERROR(K198*MAX(M198,1)/Q198*P198,0)</f>
        <v/>
      </c>
      <c r="AA198" s="6" t="inlineStr">
        <is>
          <t>^TeslaWeapon, ^MediumMissile</t>
        </is>
      </c>
    </row>
    <row r="199">
      <c r="B199" s="6" t="inlineStr">
        <is>
          <t xml:space="preserve">  ↳ TeslaMaverick</t>
        </is>
      </c>
      <c r="C199" s="6" t="inlineStr">
        <is>
          <t>Armament@TeslaUpgrade2</t>
        </is>
      </c>
      <c r="K199" s="5" t="n">
        <v>16000</v>
      </c>
      <c r="L199" s="5" t="n">
        <v>50</v>
      </c>
      <c r="M199" s="5" t="n">
        <v>2</v>
      </c>
      <c r="N199" s="5" t="n">
        <v>4</v>
      </c>
      <c r="O199" s="5" t="n">
        <v>5900</v>
      </c>
      <c r="P199" s="5" t="n">
        <v>1</v>
      </c>
      <c r="Q199">
        <f>L199+IF(M199&gt;1,N(N199)*(M199-1),0)</f>
        <v/>
      </c>
      <c r="R199">
        <f>IFERROR(K199*MAX(M199,1)/Q199*P199,0)</f>
        <v/>
      </c>
      <c r="AA199" s="6" t="inlineStr">
        <is>
          <t>^TeslaWeapon, ^MediumMissile</t>
        </is>
      </c>
    </row>
    <row r="200">
      <c r="B200" s="6" t="inlineStr">
        <is>
          <t xml:space="preserve">  ↳ ThermobaricMaverick</t>
        </is>
      </c>
      <c r="C200" s="6" t="inlineStr">
        <is>
          <t>Armament@NuclearUpgrade1</t>
        </is>
      </c>
      <c r="K200" s="5" t="n">
        <v>12000</v>
      </c>
      <c r="L200" s="5" t="n">
        <v>50</v>
      </c>
      <c r="M200" s="5" t="n">
        <v>2</v>
      </c>
      <c r="N200" s="5" t="n">
        <v>4</v>
      </c>
      <c r="O200" s="5" t="n">
        <v>5900</v>
      </c>
      <c r="P200" s="5" t="n">
        <v>1</v>
      </c>
      <c r="Q200">
        <f>L200+IF(M200&gt;1,N(N200)*(M200-1),0)</f>
        <v/>
      </c>
      <c r="R200">
        <f>IFERROR(K200*MAX(M200,1)/Q200*P200,0)</f>
        <v/>
      </c>
      <c r="AA200" s="6" t="inlineStr">
        <is>
          <t>^NuclearWarhead, ^HeavyMissile, ^MediumFlameWeapon, ^MediumMissile</t>
        </is>
      </c>
    </row>
    <row r="201">
      <c r="B201" s="6" t="inlineStr">
        <is>
          <t xml:space="preserve">  ↳ ThermobaricMaverick</t>
        </is>
      </c>
      <c r="C201" s="6" t="inlineStr">
        <is>
          <t>Armament@NuclearUpgrade2</t>
        </is>
      </c>
      <c r="K201" s="5" t="n">
        <v>12000</v>
      </c>
      <c r="L201" s="5" t="n">
        <v>50</v>
      </c>
      <c r="M201" s="5" t="n">
        <v>2</v>
      </c>
      <c r="N201" s="5" t="n">
        <v>4</v>
      </c>
      <c r="O201" s="5" t="n">
        <v>5900</v>
      </c>
      <c r="P201" s="5" t="n">
        <v>1</v>
      </c>
      <c r="Q201">
        <f>L201+IF(M201&gt;1,N(N201)*(M201-1),0)</f>
        <v/>
      </c>
      <c r="R201">
        <f>IFERROR(K201*MAX(M201,1)/Q201*P201,0)</f>
        <v/>
      </c>
      <c r="AA201" s="6" t="inlineStr">
        <is>
          <t>^NuclearWarhead, ^HeavyMissile, ^MediumFlameWeapon, ^MediumMissile</t>
        </is>
      </c>
    </row>
    <row r="202">
      <c r="A202" t="inlineStr">
        <is>
          <t>redalert</t>
        </is>
      </c>
      <c r="B202" t="inlineStr">
        <is>
          <t>ra1_soviets_nuclearyak</t>
        </is>
      </c>
      <c r="C202" t="inlineStr">
        <is>
          <t>Nuclear Yak</t>
        </is>
      </c>
      <c r="D202" t="inlineStr"/>
      <c r="E202" s="5" t="n">
        <v>64000</v>
      </c>
      <c r="F202" s="5" t="n">
        <v>190</v>
      </c>
      <c r="G202" t="inlineStr">
        <is>
          <t>Fighter</t>
        </is>
      </c>
      <c r="H202" s="5" t="n">
        <v>1</v>
      </c>
      <c r="I202" s="5" t="n">
        <v>1</v>
      </c>
      <c r="J202" s="5" t="n">
        <v>1</v>
      </c>
      <c r="O202">
        <f>MAX(O203,O204,O205,O206,O207)</f>
        <v/>
      </c>
      <c r="R202">
        <f>R203+R204+R205+R206+R207</f>
        <v/>
      </c>
      <c r="S202">
        <f>(E202/100000+F202/100+(O202/1000)*J202/5+R202/200)*200*I202*H202</f>
        <v/>
      </c>
      <c r="T202">
        <f>((E202*F202/25000)+((O202/1000)*J202*R202/2.5))*I202*H202</f>
        <v/>
      </c>
      <c r="U202">
        <f>(E202*F202*(O202/1000)*J202*R202*I202*H202)/12500000</f>
        <v/>
      </c>
      <c r="V202">
        <f>(S202+T202+U202)/3</f>
        <v/>
      </c>
      <c r="W202" s="5" t="n">
        <v>2000</v>
      </c>
      <c r="X202">
        <f>IFERROR(V202-W202,"")</f>
        <v/>
      </c>
      <c r="Y202">
        <f>IFERROR(ABS(X202)/MAX(W202,1),"")</f>
        <v/>
      </c>
      <c r="Z202">
        <f>IFERROR((W202-(((E202/100000+F202/100+R202/200)*200*I202*H202)+((E202*F202/25000)*I202*H202))/3)/(((J202/5)*200*I202*H202)+((J202*R202/2.5)*I202*H202)+((E202*F202*J202*R202*I202*H202)/12500000))/3*1000,"")</f>
        <v/>
      </c>
    </row>
    <row r="203">
      <c r="B203" s="6" t="inlineStr">
        <is>
          <t xml:space="preserve">  ↳ YakNuclearBomb</t>
        </is>
      </c>
      <c r="C203" s="6" t="inlineStr">
        <is>
          <t>Armament@BOMBS</t>
        </is>
      </c>
      <c r="K203" s="5" t="n">
        <v>50000</v>
      </c>
      <c r="L203" s="5" t="n">
        <v>125</v>
      </c>
      <c r="M203" s="5" t="n">
        <v>1</v>
      </c>
      <c r="N203" s="5" t="n"/>
      <c r="O203" s="5" t="n">
        <v>1250</v>
      </c>
      <c r="P203" s="5" t="n">
        <v>1</v>
      </c>
      <c r="Q203">
        <f>L203+IF(M203&gt;1,N(N203)*(M203-1),0)</f>
        <v/>
      </c>
      <c r="R203">
        <f>IFERROR(K203*MAX(M203,1)/Q203*P203,0)</f>
        <v/>
      </c>
      <c r="AA203" s="6" t="inlineStr">
        <is>
          <t>^HeavyBomb, ^HeavyChemicalWeapon, ^HeavyFlameWeapon, ^NuclearWarhead</t>
        </is>
      </c>
    </row>
    <row r="204">
      <c r="B204" s="6" t="inlineStr">
        <is>
          <t xml:space="preserve">  ↳ YakChainGun</t>
        </is>
      </c>
      <c r="C204" s="6" t="inlineStr">
        <is>
          <t>Armament@PRIMARY</t>
        </is>
      </c>
      <c r="K204" s="5" t="n">
        <v>4000</v>
      </c>
      <c r="L204" s="5" t="n">
        <v>100</v>
      </c>
      <c r="M204" s="5" t="n">
        <v>8</v>
      </c>
      <c r="N204" s="5" t="n">
        <v>3</v>
      </c>
      <c r="O204" s="5" t="n">
        <v>7000</v>
      </c>
      <c r="P204" s="5" t="n">
        <v>1</v>
      </c>
      <c r="Q204">
        <f>L204+IF(M204&gt;1,N(N204)*(M204-1),0)</f>
        <v/>
      </c>
      <c r="R204">
        <f>IFERROR(K204*MAX(M204,1)/Q204*P204,0)</f>
        <v/>
      </c>
      <c r="AA204" s="6" t="inlineStr">
        <is>
          <t>^Chaingun</t>
        </is>
      </c>
    </row>
    <row r="205">
      <c r="B205" s="6" t="inlineStr">
        <is>
          <t xml:space="preserve">  ↳ YakChainGun</t>
        </is>
      </c>
      <c r="C205" s="6" t="inlineStr">
        <is>
          <t>Armament@SECONDARY</t>
        </is>
      </c>
      <c r="K205" s="5" t="n">
        <v>4000</v>
      </c>
      <c r="L205" s="5" t="n">
        <v>100</v>
      </c>
      <c r="M205" s="5" t="n">
        <v>8</v>
      </c>
      <c r="N205" s="5" t="n">
        <v>3</v>
      </c>
      <c r="O205" s="5" t="n">
        <v>7000</v>
      </c>
      <c r="P205" s="5" t="n">
        <v>1</v>
      </c>
      <c r="Q205">
        <f>L205+IF(M205&gt;1,N(N205)*(M205-1),0)</f>
        <v/>
      </c>
      <c r="R205">
        <f>IFERROR(K205*MAX(M205,1)/Q205*P205,0)</f>
        <v/>
      </c>
      <c r="AA205" s="6" t="inlineStr">
        <is>
          <t>^Chaingun</t>
        </is>
      </c>
    </row>
    <row r="206">
      <c r="B206" s="6" t="inlineStr">
        <is>
          <t xml:space="preserve">  ↳ IncendiaryYakChainGun</t>
        </is>
      </c>
      <c r="C206" s="6" t="inlineStr">
        <is>
          <t>Armament@Upgrade1</t>
        </is>
      </c>
      <c r="K206" s="5" t="n">
        <v>4000</v>
      </c>
      <c r="L206" s="5" t="n">
        <v>100</v>
      </c>
      <c r="M206" s="5" t="n">
        <v>8</v>
      </c>
      <c r="N206" s="5" t="n">
        <v>3</v>
      </c>
      <c r="O206" s="5" t="n">
        <v>7000</v>
      </c>
      <c r="P206" s="5" t="n">
        <v>1</v>
      </c>
      <c r="Q206">
        <f>L206+IF(M206&gt;1,N(N206)*(M206-1),0)</f>
        <v/>
      </c>
      <c r="R206">
        <f>IFERROR(K206*MAX(M206,1)/Q206*P206,0)</f>
        <v/>
      </c>
      <c r="AA206" s="6" t="inlineStr">
        <is>
          <t>^Chaingun, ^LightFlameWeapon, ^IncendiaryBulletProjectile</t>
        </is>
      </c>
    </row>
    <row r="207">
      <c r="B207" s="6" t="inlineStr">
        <is>
          <t xml:space="preserve">  ↳ IncendiaryYakChainGun</t>
        </is>
      </c>
      <c r="C207" s="6" t="inlineStr">
        <is>
          <t>Armament@Upgrade2</t>
        </is>
      </c>
      <c r="K207" s="5" t="n">
        <v>4000</v>
      </c>
      <c r="L207" s="5" t="n">
        <v>100</v>
      </c>
      <c r="M207" s="5" t="n">
        <v>8</v>
      </c>
      <c r="N207" s="5" t="n">
        <v>3</v>
      </c>
      <c r="O207" s="5" t="n">
        <v>7000</v>
      </c>
      <c r="P207" s="5" t="n">
        <v>1</v>
      </c>
      <c r="Q207">
        <f>L207+IF(M207&gt;1,N(N207)*(M207-1),0)</f>
        <v/>
      </c>
      <c r="R207">
        <f>IFERROR(K207*MAX(M207,1)/Q207*P207,0)</f>
        <v/>
      </c>
      <c r="AA207" s="6" t="inlineStr">
        <is>
          <t>^Chaingun, ^LightFlameWeapon, ^IncendiaryBulletProjectile</t>
        </is>
      </c>
    </row>
    <row r="208">
      <c r="A208" t="inlineStr">
        <is>
          <t>redalert</t>
        </is>
      </c>
      <c r="B208" t="inlineStr">
        <is>
          <t>ra1_soviets_su57attackbomber</t>
        </is>
      </c>
      <c r="C208" t="inlineStr">
        <is>
          <t>Su-57 Attack Bomber</t>
        </is>
      </c>
      <c r="D208" t="inlineStr"/>
      <c r="E208" s="5" t="n">
        <v>65000</v>
      </c>
      <c r="F208" s="5" t="n">
        <v>220</v>
      </c>
      <c r="G208" t="inlineStr">
        <is>
          <t>Bomber</t>
        </is>
      </c>
      <c r="H208" s="5" t="n">
        <v>1</v>
      </c>
      <c r="I208" s="5" t="n">
        <v>1</v>
      </c>
      <c r="J208" s="5" t="n">
        <v>1</v>
      </c>
      <c r="O208">
        <f>MAX(O209,O210,O211,O212,O213,O214)</f>
        <v/>
      </c>
      <c r="R208">
        <f>R209+R210+R211+R212+R213+R214</f>
        <v/>
      </c>
      <c r="S208">
        <f>(E208/100000+F208/100+(O208/1000)*J208/5+R208/200)*200*I208*H208</f>
        <v/>
      </c>
      <c r="T208">
        <f>((E208*F208/25000)+((O208/1000)*J208*R208/2.5))*I208*H208</f>
        <v/>
      </c>
      <c r="U208">
        <f>(E208*F208*(O208/1000)*J208*R208*I208*H208)/12500000</f>
        <v/>
      </c>
      <c r="V208">
        <f>(S208+T208+U208)/3</f>
        <v/>
      </c>
      <c r="W208" s="5" t="n">
        <v>3000</v>
      </c>
      <c r="X208">
        <f>IFERROR(V208-W208,"")</f>
        <v/>
      </c>
      <c r="Y208">
        <f>IFERROR(ABS(X208)/MAX(W208,1),"")</f>
        <v/>
      </c>
      <c r="Z208">
        <f>IFERROR((W208-(((E208/100000+F208/100+R208/200)*200*I208*H208)+((E208*F208/25000)*I208*H208))/3)/(((J208/5)*200*I208*H208)+((J208*R208/2.5)*I208*H208)+((E208*F208*J208*R208*I208*H208)/12500000))/3*1000,"")</f>
        <v/>
      </c>
    </row>
    <row r="209">
      <c r="B209" s="6" t="inlineStr">
        <is>
          <t xml:space="preserve">  ↳ NuclearMaverick</t>
        </is>
      </c>
      <c r="C209" s="6" t="inlineStr">
        <is>
          <t>Armament</t>
        </is>
      </c>
      <c r="K209" s="5" t="n">
        <v>20000</v>
      </c>
      <c r="L209" s="5" t="n">
        <v>50</v>
      </c>
      <c r="M209" s="5" t="n">
        <v>2</v>
      </c>
      <c r="N209" s="5" t="n">
        <v>4</v>
      </c>
      <c r="O209" s="5" t="n">
        <v>7890</v>
      </c>
      <c r="P209" s="5" t="n">
        <v>1</v>
      </c>
      <c r="Q209">
        <f>L209+IF(M209&gt;1,N(N209)*(M209-1),0)</f>
        <v/>
      </c>
      <c r="R209">
        <f>IFERROR(K209*MAX(M209,1)/Q209*P209,0)</f>
        <v/>
      </c>
      <c r="AA209" s="6" t="inlineStr">
        <is>
          <t>^NuclearWarhead, ^HeavyMissile</t>
        </is>
      </c>
    </row>
    <row r="210">
      <c r="B210" s="6" t="inlineStr">
        <is>
          <t xml:space="preserve">  ↳ ThermobaricNuclearMaverick</t>
        </is>
      </c>
      <c r="C210" s="6" t="inlineStr">
        <is>
          <t>Armament@HE</t>
        </is>
      </c>
      <c r="K210" s="5" t="n">
        <v>14000</v>
      </c>
      <c r="L210" s="5" t="n">
        <v>50</v>
      </c>
      <c r="M210" s="5" t="n">
        <v>2</v>
      </c>
      <c r="N210" s="5" t="n">
        <v>4</v>
      </c>
      <c r="O210" s="5" t="n">
        <v>7890</v>
      </c>
      <c r="P210" s="5" t="n">
        <v>1</v>
      </c>
      <c r="Q210">
        <f>L210+IF(M210&gt;1,N(N210)*(M210-1),0)</f>
        <v/>
      </c>
      <c r="R210">
        <f>IFERROR(K210*MAX(M210,1)/Q210*P210,0)</f>
        <v/>
      </c>
      <c r="AA210" s="6" t="inlineStr">
        <is>
          <t>^HeavyFlameWeapon, ^NuclearWarhead, ^HeavyMissile</t>
        </is>
      </c>
    </row>
    <row r="211">
      <c r="B211" s="6" t="inlineStr">
        <is>
          <t xml:space="preserve">  ↳ YakChainGun</t>
        </is>
      </c>
      <c r="C211" s="6" t="inlineStr">
        <is>
          <t>Armament@PRIMARY</t>
        </is>
      </c>
      <c r="K211" s="5" t="n">
        <v>4000</v>
      </c>
      <c r="L211" s="5" t="n">
        <v>100</v>
      </c>
      <c r="M211" s="5" t="n">
        <v>8</v>
      </c>
      <c r="N211" s="5" t="n">
        <v>3</v>
      </c>
      <c r="O211" s="5" t="n">
        <v>7000</v>
      </c>
      <c r="P211" s="5" t="n">
        <v>1</v>
      </c>
      <c r="Q211">
        <f>L211+IF(M211&gt;1,N(N211)*(M211-1),0)</f>
        <v/>
      </c>
      <c r="R211">
        <f>IFERROR(K211*MAX(M211,1)/Q211*P211,0)</f>
        <v/>
      </c>
      <c r="AA211" s="6" t="inlineStr">
        <is>
          <t>^Chaingun</t>
        </is>
      </c>
    </row>
    <row r="212">
      <c r="B212" s="6" t="inlineStr">
        <is>
          <t xml:space="preserve">  ↳ YakChainGun</t>
        </is>
      </c>
      <c r="C212" s="6" t="inlineStr">
        <is>
          <t>Armament@SECONDARY</t>
        </is>
      </c>
      <c r="K212" s="5" t="n">
        <v>4000</v>
      </c>
      <c r="L212" s="5" t="n">
        <v>100</v>
      </c>
      <c r="M212" s="5" t="n">
        <v>8</v>
      </c>
      <c r="N212" s="5" t="n">
        <v>3</v>
      </c>
      <c r="O212" s="5" t="n">
        <v>7000</v>
      </c>
      <c r="P212" s="5" t="n">
        <v>1</v>
      </c>
      <c r="Q212">
        <f>L212+IF(M212&gt;1,N(N212)*(M212-1),0)</f>
        <v/>
      </c>
      <c r="R212">
        <f>IFERROR(K212*MAX(M212,1)/Q212*P212,0)</f>
        <v/>
      </c>
      <c r="AA212" s="6" t="inlineStr">
        <is>
          <t>^Chaingun</t>
        </is>
      </c>
    </row>
    <row r="213">
      <c r="B213" s="6" t="inlineStr">
        <is>
          <t xml:space="preserve">  ↳ IncendiaryYakChainGun</t>
        </is>
      </c>
      <c r="C213" s="6" t="inlineStr">
        <is>
          <t>Armament@Upgrade1</t>
        </is>
      </c>
      <c r="K213" s="5" t="n">
        <v>4000</v>
      </c>
      <c r="L213" s="5" t="n">
        <v>100</v>
      </c>
      <c r="M213" s="5" t="n">
        <v>8</v>
      </c>
      <c r="N213" s="5" t="n">
        <v>3</v>
      </c>
      <c r="O213" s="5" t="n">
        <v>7000</v>
      </c>
      <c r="P213" s="5" t="n">
        <v>1</v>
      </c>
      <c r="Q213">
        <f>L213+IF(M213&gt;1,N(N213)*(M213-1),0)</f>
        <v/>
      </c>
      <c r="R213">
        <f>IFERROR(K213*MAX(M213,1)/Q213*P213,0)</f>
        <v/>
      </c>
      <c r="AA213" s="6" t="inlineStr">
        <is>
          <t>^Chaingun, ^LightFlameWeapon, ^IncendiaryBulletProjectile</t>
        </is>
      </c>
    </row>
    <row r="214">
      <c r="B214" s="6" t="inlineStr">
        <is>
          <t xml:space="preserve">  ↳ IncendiaryYakChainGun</t>
        </is>
      </c>
      <c r="C214" s="6" t="inlineStr">
        <is>
          <t>Armament@Upgrade2</t>
        </is>
      </c>
      <c r="K214" s="5" t="n">
        <v>4000</v>
      </c>
      <c r="L214" s="5" t="n">
        <v>100</v>
      </c>
      <c r="M214" s="5" t="n">
        <v>8</v>
      </c>
      <c r="N214" s="5" t="n">
        <v>3</v>
      </c>
      <c r="O214" s="5" t="n">
        <v>7000</v>
      </c>
      <c r="P214" s="5" t="n">
        <v>1</v>
      </c>
      <c r="Q214">
        <f>L214+IF(M214&gt;1,N(N214)*(M214-1),0)</f>
        <v/>
      </c>
      <c r="R214">
        <f>IFERROR(K214*MAX(M214,1)/Q214*P214,0)</f>
        <v/>
      </c>
      <c r="AA214" s="6" t="inlineStr">
        <is>
          <t>^Chaingun, ^LightFlameWeapon, ^IncendiaryBulletProjectile</t>
        </is>
      </c>
    </row>
    <row r="215">
      <c r="A215" t="inlineStr">
        <is>
          <t>redalert</t>
        </is>
      </c>
      <c r="B215" t="inlineStr">
        <is>
          <t>ra1_soviets_supersonicnuclearbomber</t>
        </is>
      </c>
      <c r="C215" t="inlineStr">
        <is>
          <t>Supersonic Nuclear Bomber</t>
        </is>
      </c>
      <c r="D215" t="inlineStr"/>
      <c r="E215" s="5" t="n">
        <v>125000</v>
      </c>
      <c r="F215" s="5" t="n">
        <v>200</v>
      </c>
      <c r="G215" t="inlineStr">
        <is>
          <t>Bomber</t>
        </is>
      </c>
      <c r="H215" s="5" t="n">
        <v>1</v>
      </c>
      <c r="I215" s="5" t="n">
        <v>1</v>
      </c>
      <c r="J215" s="5" t="n">
        <v>1</v>
      </c>
      <c r="O215">
        <f>MAX(O216)</f>
        <v/>
      </c>
      <c r="R215">
        <f>R216</f>
        <v/>
      </c>
      <c r="S215">
        <f>(E215/100000+F215/100+(O215/1000)*J215/5+R215/200)*200*I215*H215</f>
        <v/>
      </c>
      <c r="T215">
        <f>((E215*F215/25000)+((O215/1000)*J215*R215/2.5))*I215*H215</f>
        <v/>
      </c>
      <c r="U215">
        <f>(E215*F215*(O215/1000)*J215*R215*I215*H215)/12500000</f>
        <v/>
      </c>
      <c r="V215">
        <f>(S215+T215+U215)/3</f>
        <v/>
      </c>
      <c r="W215" s="5" t="n">
        <v>7000</v>
      </c>
      <c r="X215">
        <f>IFERROR(V215-W215,"")</f>
        <v/>
      </c>
      <c r="Y215">
        <f>IFERROR(ABS(X215)/MAX(W215,1),"")</f>
        <v/>
      </c>
      <c r="Z215">
        <f>IFERROR((W215-(((E215/100000+F215/100+R215/200)*200*I215*H215)+((E215*F215/25000)*I215*H215))/3)/(((J215/5)*200*I215*H215)+((J215*R215/2.5)*I215*H215)+((E215*F215*J215*R215*I215*H215)/12500000))/3*1000,"")</f>
        <v/>
      </c>
    </row>
    <row r="216">
      <c r="B216" s="6" t="inlineStr">
        <is>
          <t xml:space="preserve">  ↳ ParaBombNuke</t>
        </is>
      </c>
      <c r="C216" s="6" t="inlineStr">
        <is>
          <t>Armament@Nuke</t>
        </is>
      </c>
      <c r="K216" s="5" t="n">
        <v>100000</v>
      </c>
      <c r="L216" s="5" t="n">
        <v>50</v>
      </c>
      <c r="M216" s="5" t="n">
        <v>1</v>
      </c>
      <c r="N216" s="5" t="n"/>
      <c r="O216" s="5" t="n">
        <v>750</v>
      </c>
      <c r="P216" s="5" t="n">
        <v>1</v>
      </c>
      <c r="Q216">
        <f>L216+IF(M216&gt;1,N(N216)*(M216-1),0)</f>
        <v/>
      </c>
      <c r="R216">
        <f>IFERROR(K216*MAX(M216,1)/Q216*P216,0)</f>
        <v/>
      </c>
      <c r="AA216" s="6" t="inlineStr">
        <is>
          <t>^HeavyBomb, ^HeavyChemicalWeapon, ^HeavyFlameWeapon, ^NuclearWarhead</t>
        </is>
      </c>
    </row>
    <row r="217">
      <c r="A217" t="inlineStr">
        <is>
          <t>redalert</t>
        </is>
      </c>
      <c r="B217" t="inlineStr">
        <is>
          <t>ra1_soviets_teslayak</t>
        </is>
      </c>
      <c r="C217" t="inlineStr">
        <is>
          <t>Tesla Yak</t>
        </is>
      </c>
      <c r="D217" t="inlineStr"/>
      <c r="E217" s="5" t="n">
        <v>64000</v>
      </c>
      <c r="F217" s="5" t="n">
        <v>190</v>
      </c>
      <c r="G217" t="inlineStr">
        <is>
          <t>Fighter</t>
        </is>
      </c>
      <c r="H217" s="5" t="n">
        <v>1</v>
      </c>
      <c r="I217" s="5" t="n">
        <v>1</v>
      </c>
      <c r="J217" s="5" t="n">
        <v>1</v>
      </c>
      <c r="O217">
        <f>MAX(O218,O219,O220,O221,O222,O223,O224)</f>
        <v/>
      </c>
      <c r="R217">
        <f>R218+R219+R220+R221+R222+R223+R224</f>
        <v/>
      </c>
      <c r="S217">
        <f>(E217/100000+F217/100+(O217/1000)*J217/5+R217/200)*200*I217*H217</f>
        <v/>
      </c>
      <c r="T217">
        <f>((E217*F217/25000)+((O217/1000)*J217*R217/2.5))*I217*H217</f>
        <v/>
      </c>
      <c r="U217">
        <f>(E217*F217*(O217/1000)*J217*R217*I217*H217)/12500000</f>
        <v/>
      </c>
      <c r="V217">
        <f>(S217+T217+U217)/3</f>
        <v/>
      </c>
      <c r="W217" s="5" t="n">
        <v>2000</v>
      </c>
      <c r="X217">
        <f>IFERROR(V217-W217,"")</f>
        <v/>
      </c>
      <c r="Y217">
        <f>IFERROR(ABS(X217)/MAX(W217,1),"")</f>
        <v/>
      </c>
      <c r="Z217">
        <f>IFERROR((W217-(((E217/100000+F217/100+R217/200)*200*I217*H217)+((E217*F217/25000)*I217*H217))/3)/(((J217/5)*200*I217*H217)+((J217*R217/2.5)*I217*H217)+((E217*F217*J217*R217*I217*H217)/12500000))/3*1000,"")</f>
        <v/>
      </c>
    </row>
    <row r="218">
      <c r="B218" s="6" t="inlineStr">
        <is>
          <t xml:space="preserve">  ↳ YakTeslaBomb</t>
        </is>
      </c>
      <c r="C218" s="6" t="inlineStr">
        <is>
          <t>Armament@BOMBS</t>
        </is>
      </c>
      <c r="K218" s="5" t="n">
        <v>40000</v>
      </c>
      <c r="L218" s="5" t="n">
        <v>125</v>
      </c>
      <c r="M218" s="5" t="n">
        <v>1</v>
      </c>
      <c r="N218" s="5" t="n"/>
      <c r="O218" s="5" t="n">
        <v>1250</v>
      </c>
      <c r="P218" s="5" t="n">
        <v>1</v>
      </c>
      <c r="Q218">
        <f>L218+IF(M218&gt;1,N(N218)*(M218-1),0)</f>
        <v/>
      </c>
      <c r="R218">
        <f>IFERROR(K218*MAX(M218,1)/Q218*P218,0)</f>
        <v/>
      </c>
      <c r="AA218" s="6" t="inlineStr">
        <is>
          <t>^TeslaWeapon, ^HeavyBomb, ^HeavyChemicalWeapon, ^HeavyFlameWeapon</t>
        </is>
      </c>
    </row>
    <row r="219">
      <c r="B219" s="6" t="inlineStr">
        <is>
          <t xml:space="preserve">  ↳ YakTeslaGun</t>
        </is>
      </c>
      <c r="C219" s="6" t="inlineStr">
        <is>
          <t>Armament@Tesla</t>
        </is>
      </c>
      <c r="K219" s="5" t="n">
        <v>8000</v>
      </c>
      <c r="L219" s="5" t="n">
        <v>100</v>
      </c>
      <c r="M219" s="5" t="n">
        <v>8</v>
      </c>
      <c r="N219" s="5" t="n">
        <v>3</v>
      </c>
      <c r="O219" s="5" t="n">
        <v>7000</v>
      </c>
      <c r="P219" s="5" t="n">
        <v>1</v>
      </c>
      <c r="Q219">
        <f>L219+IF(M219&gt;1,N(N219)*(M219-1),0)</f>
        <v/>
      </c>
      <c r="R219">
        <f>IFERROR(K219*MAX(M219,1)/Q219*P219,0)</f>
        <v/>
      </c>
      <c r="AA219" s="6" t="inlineStr">
        <is>
          <t>^LightMissile, ^TeslaWeapon</t>
        </is>
      </c>
    </row>
    <row r="220">
      <c r="B220" s="6" t="inlineStr">
        <is>
          <t xml:space="preserve">  ↳ YakTeslaGunArc</t>
        </is>
      </c>
      <c r="C220" s="6" t="inlineStr">
        <is>
          <t>Armament@Arcing</t>
        </is>
      </c>
      <c r="K220" s="5" t="n">
        <v>8000</v>
      </c>
      <c r="L220" s="5" t="n">
        <v>100</v>
      </c>
      <c r="M220" s="5" t="n">
        <v>8</v>
      </c>
      <c r="N220" s="5" t="n">
        <v>3</v>
      </c>
      <c r="O220" s="5" t="n">
        <v>7000</v>
      </c>
      <c r="P220" s="5" t="n">
        <v>1</v>
      </c>
      <c r="Q220">
        <f>L220+IF(M220&gt;1,N(N220)*(M220-1),0)</f>
        <v/>
      </c>
      <c r="R220">
        <f>IFERROR(K220*MAX(M220,1)/Q220*P220,0)</f>
        <v/>
      </c>
      <c r="AA220" s="6" t="inlineStr">
        <is>
          <t>^LightMissile, ^TeslaWeapon</t>
        </is>
      </c>
    </row>
    <row r="221">
      <c r="B221" s="6" t="inlineStr">
        <is>
          <t xml:space="preserve">  ↳ YakChainGun</t>
        </is>
      </c>
      <c r="C221" s="6" t="inlineStr">
        <is>
          <t>Armament@PRIMARY</t>
        </is>
      </c>
      <c r="K221" s="5" t="n">
        <v>4000</v>
      </c>
      <c r="L221" s="5" t="n">
        <v>100</v>
      </c>
      <c r="M221" s="5" t="n">
        <v>8</v>
      </c>
      <c r="N221" s="5" t="n">
        <v>3</v>
      </c>
      <c r="O221" s="5" t="n">
        <v>7000</v>
      </c>
      <c r="P221" s="5" t="n">
        <v>1</v>
      </c>
      <c r="Q221">
        <f>L221+IF(M221&gt;1,N(N221)*(M221-1),0)</f>
        <v/>
      </c>
      <c r="R221">
        <f>IFERROR(K221*MAX(M221,1)/Q221*P221,0)</f>
        <v/>
      </c>
      <c r="AA221" s="6" t="inlineStr">
        <is>
          <t>^Chaingun</t>
        </is>
      </c>
    </row>
    <row r="222">
      <c r="B222" s="6" t="inlineStr">
        <is>
          <t xml:space="preserve">  ↳ YakChainGun</t>
        </is>
      </c>
      <c r="C222" s="6" t="inlineStr">
        <is>
          <t>Armament@SECONDARY</t>
        </is>
      </c>
      <c r="K222" s="5" t="n">
        <v>4000</v>
      </c>
      <c r="L222" s="5" t="n">
        <v>100</v>
      </c>
      <c r="M222" s="5" t="n">
        <v>8</v>
      </c>
      <c r="N222" s="5" t="n">
        <v>3</v>
      </c>
      <c r="O222" s="5" t="n">
        <v>7000</v>
      </c>
      <c r="P222" s="5" t="n">
        <v>1</v>
      </c>
      <c r="Q222">
        <f>L222+IF(M222&gt;1,N(N222)*(M222-1),0)</f>
        <v/>
      </c>
      <c r="R222">
        <f>IFERROR(K222*MAX(M222,1)/Q222*P222,0)</f>
        <v/>
      </c>
      <c r="AA222" s="6" t="inlineStr">
        <is>
          <t>^Chaingun</t>
        </is>
      </c>
    </row>
    <row r="223">
      <c r="B223" s="6" t="inlineStr">
        <is>
          <t xml:space="preserve">  ↳ IncendiaryYakChainGun</t>
        </is>
      </c>
      <c r="C223" s="6" t="inlineStr">
        <is>
          <t>Armament@Upgrade1</t>
        </is>
      </c>
      <c r="K223" s="5" t="n">
        <v>4000</v>
      </c>
      <c r="L223" s="5" t="n">
        <v>100</v>
      </c>
      <c r="M223" s="5" t="n">
        <v>8</v>
      </c>
      <c r="N223" s="5" t="n">
        <v>3</v>
      </c>
      <c r="O223" s="5" t="n">
        <v>7000</v>
      </c>
      <c r="P223" s="5" t="n">
        <v>1</v>
      </c>
      <c r="Q223">
        <f>L223+IF(M223&gt;1,N(N223)*(M223-1),0)</f>
        <v/>
      </c>
      <c r="R223">
        <f>IFERROR(K223*MAX(M223,1)/Q223*P223,0)</f>
        <v/>
      </c>
      <c r="AA223" s="6" t="inlineStr">
        <is>
          <t>^Chaingun, ^LightFlameWeapon, ^IncendiaryBulletProjectile</t>
        </is>
      </c>
    </row>
    <row r="224">
      <c r="B224" s="6" t="inlineStr">
        <is>
          <t xml:space="preserve">  ↳ IncendiaryYakChainGun</t>
        </is>
      </c>
      <c r="C224" s="6" t="inlineStr">
        <is>
          <t>Armament@Upgrade2</t>
        </is>
      </c>
      <c r="K224" s="5" t="n">
        <v>4000</v>
      </c>
      <c r="L224" s="5" t="n">
        <v>100</v>
      </c>
      <c r="M224" s="5" t="n">
        <v>8</v>
      </c>
      <c r="N224" s="5" t="n">
        <v>3</v>
      </c>
      <c r="O224" s="5" t="n">
        <v>7000</v>
      </c>
      <c r="P224" s="5" t="n">
        <v>1</v>
      </c>
      <c r="Q224">
        <f>L224+IF(M224&gt;1,N(N224)*(M224-1),0)</f>
        <v/>
      </c>
      <c r="R224">
        <f>IFERROR(K224*MAX(M224,1)/Q224*P224,0)</f>
        <v/>
      </c>
      <c r="AA224" s="6" t="inlineStr">
        <is>
          <t>^Chaingun, ^LightFlameWeapon, ^IncendiaryBulletProjectile</t>
        </is>
      </c>
    </row>
    <row r="225">
      <c r="A225" t="inlineStr">
        <is>
          <t>redalert</t>
        </is>
      </c>
      <c r="B225" t="inlineStr">
        <is>
          <t>ra1_soviets_yakscoutplane</t>
        </is>
      </c>
      <c r="C225" t="inlineStr">
        <is>
          <t>Yak Scout Plane</t>
        </is>
      </c>
      <c r="D225" t="inlineStr"/>
      <c r="E225" s="5" t="n">
        <v>32000</v>
      </c>
      <c r="F225" s="5" t="n">
        <v>170</v>
      </c>
      <c r="G225" t="inlineStr">
        <is>
          <t>Fighter</t>
        </is>
      </c>
      <c r="H225" s="5" t="n">
        <v>1</v>
      </c>
      <c r="I225" s="5" t="n">
        <v>1</v>
      </c>
      <c r="J225" s="5" t="n">
        <v>1</v>
      </c>
      <c r="O225">
        <f>MAX(O226,O227,O228,O229,O230)</f>
        <v/>
      </c>
      <c r="R225">
        <f>R226+R227+R228+R229+R230</f>
        <v/>
      </c>
      <c r="S225">
        <f>(E225/100000+F225/100+(O225/1000)*J225/5+R225/200)*200*I225*H225</f>
        <v/>
      </c>
      <c r="T225">
        <f>((E225*F225/25000)+((O225/1000)*J225*R225/2.5))*I225*H225</f>
        <v/>
      </c>
      <c r="U225">
        <f>(E225*F225*(O225/1000)*J225*R225*I225*H225)/12500000</f>
        <v/>
      </c>
      <c r="V225">
        <f>(S225+T225+U225)/3</f>
        <v/>
      </c>
      <c r="W225" s="5" t="n">
        <v>800</v>
      </c>
      <c r="X225">
        <f>IFERROR(V225-W225,"")</f>
        <v/>
      </c>
      <c r="Y225">
        <f>IFERROR(ABS(X225)/MAX(W225,1),"")</f>
        <v/>
      </c>
      <c r="Z225">
        <f>IFERROR((W225-(((E225/100000+F225/100+R225/200)*200*I225*H225)+((E225*F225/25000)*I225*H225))/3)/(((J225/5)*200*I225*H225)+((J225*R225/2.5)*I225*H225)+((E225*F225*J225*R225*I225*H225)/12500000))/3*1000,"")</f>
        <v/>
      </c>
    </row>
    <row r="226">
      <c r="B226" s="6" t="inlineStr">
        <is>
          <t xml:space="preserve">  ↳ YakNapalm</t>
        </is>
      </c>
      <c r="C226" s="6" t="inlineStr">
        <is>
          <t>Armament@BOMBS</t>
        </is>
      </c>
      <c r="K226" s="5" t="n">
        <v>10000</v>
      </c>
      <c r="L226" s="5" t="n">
        <v>110</v>
      </c>
      <c r="M226" s="5" t="n">
        <v>4</v>
      </c>
      <c r="N226" s="5" t="n">
        <v>3</v>
      </c>
      <c r="O226" s="5" t="n">
        <v>1840</v>
      </c>
      <c r="P226" s="5" t="n">
        <v>1</v>
      </c>
      <c r="Q226">
        <f>L226+IF(M226&gt;1,N(N226)*(M226-1),0)</f>
        <v/>
      </c>
      <c r="R226">
        <f>IFERROR(K226*MAX(M226,1)/Q226*P226,0)</f>
        <v/>
      </c>
      <c r="AA226" s="6" t="inlineStr">
        <is>
          <t>^ShrapnelWeapon, ^HeavyBomb, ^MediumFlameWeapon, ^HeavyFlameWeapon</t>
        </is>
      </c>
    </row>
    <row r="227">
      <c r="B227" s="6" t="inlineStr">
        <is>
          <t xml:space="preserve">  ↳ YakChainGun</t>
        </is>
      </c>
      <c r="C227" s="6" t="inlineStr">
        <is>
          <t>Armament@PRIMARY</t>
        </is>
      </c>
      <c r="K227" s="5" t="n">
        <v>4000</v>
      </c>
      <c r="L227" s="5" t="n">
        <v>100</v>
      </c>
      <c r="M227" s="5" t="n">
        <v>8</v>
      </c>
      <c r="N227" s="5" t="n">
        <v>3</v>
      </c>
      <c r="O227" s="5" t="n">
        <v>7000</v>
      </c>
      <c r="P227" s="5" t="n">
        <v>1</v>
      </c>
      <c r="Q227">
        <f>L227+IF(M227&gt;1,N(N227)*(M227-1),0)</f>
        <v/>
      </c>
      <c r="R227">
        <f>IFERROR(K227*MAX(M227,1)/Q227*P227,0)</f>
        <v/>
      </c>
      <c r="AA227" s="6" t="inlineStr">
        <is>
          <t>^Chaingun</t>
        </is>
      </c>
    </row>
    <row r="228">
      <c r="B228" s="6" t="inlineStr">
        <is>
          <t xml:space="preserve">  ↳ YakChainGun</t>
        </is>
      </c>
      <c r="C228" s="6" t="inlineStr">
        <is>
          <t>Armament@SECONDARY</t>
        </is>
      </c>
      <c r="K228" s="5" t="n">
        <v>4000</v>
      </c>
      <c r="L228" s="5" t="n">
        <v>100</v>
      </c>
      <c r="M228" s="5" t="n">
        <v>8</v>
      </c>
      <c r="N228" s="5" t="n">
        <v>3</v>
      </c>
      <c r="O228" s="5" t="n">
        <v>7000</v>
      </c>
      <c r="P228" s="5" t="n">
        <v>1</v>
      </c>
      <c r="Q228">
        <f>L228+IF(M228&gt;1,N(N228)*(M228-1),0)</f>
        <v/>
      </c>
      <c r="R228">
        <f>IFERROR(K228*MAX(M228,1)/Q228*P228,0)</f>
        <v/>
      </c>
      <c r="AA228" s="6" t="inlineStr">
        <is>
          <t>^Chaingun</t>
        </is>
      </c>
    </row>
    <row r="229">
      <c r="B229" s="6" t="inlineStr">
        <is>
          <t xml:space="preserve">  ↳ IncendiaryYakChainGun</t>
        </is>
      </c>
      <c r="C229" s="6" t="inlineStr">
        <is>
          <t>Armament@Upgrade1</t>
        </is>
      </c>
      <c r="K229" s="5" t="n">
        <v>4000</v>
      </c>
      <c r="L229" s="5" t="n">
        <v>100</v>
      </c>
      <c r="M229" s="5" t="n">
        <v>8</v>
      </c>
      <c r="N229" s="5" t="n">
        <v>3</v>
      </c>
      <c r="O229" s="5" t="n">
        <v>7000</v>
      </c>
      <c r="P229" s="5" t="n">
        <v>1</v>
      </c>
      <c r="Q229">
        <f>L229+IF(M229&gt;1,N(N229)*(M229-1),0)</f>
        <v/>
      </c>
      <c r="R229">
        <f>IFERROR(K229*MAX(M229,1)/Q229*P229,0)</f>
        <v/>
      </c>
      <c r="AA229" s="6" t="inlineStr">
        <is>
          <t>^Chaingun, ^LightFlameWeapon, ^IncendiaryBulletProjectile</t>
        </is>
      </c>
    </row>
    <row r="230">
      <c r="B230" s="6" t="inlineStr">
        <is>
          <t xml:space="preserve">  ↳ IncendiaryYakChainGun</t>
        </is>
      </c>
      <c r="C230" s="6" t="inlineStr">
        <is>
          <t>Armament@Upgrade2</t>
        </is>
      </c>
      <c r="K230" s="5" t="n">
        <v>4000</v>
      </c>
      <c r="L230" s="5" t="n">
        <v>100</v>
      </c>
      <c r="M230" s="5" t="n">
        <v>8</v>
      </c>
      <c r="N230" s="5" t="n">
        <v>3</v>
      </c>
      <c r="O230" s="5" t="n">
        <v>7000</v>
      </c>
      <c r="P230" s="5" t="n">
        <v>1</v>
      </c>
      <c r="Q230">
        <f>L230+IF(M230&gt;1,N(N230)*(M230-1),0)</f>
        <v/>
      </c>
      <c r="R230">
        <f>IFERROR(K230*MAX(M230,1)/Q230*P230,0)</f>
        <v/>
      </c>
      <c r="AA230" s="6" t="inlineStr">
        <is>
          <t>^Chaingun, ^LightFlameWeapon, ^IncendiaryBulletProjectile</t>
        </is>
      </c>
    </row>
    <row r="231">
      <c r="A231" s="3" t="inlineStr">
        <is>
          <t>DEFENSES</t>
        </is>
      </c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</row>
    <row r="232">
      <c r="A232" t="inlineStr">
        <is>
          <t>redalert</t>
        </is>
      </c>
      <c r="B232" t="inlineStr">
        <is>
          <t>ra1_soviets_flametower</t>
        </is>
      </c>
      <c r="C232" t="inlineStr">
        <is>
          <t>Flame Tower</t>
        </is>
      </c>
      <c r="D232" t="inlineStr"/>
      <c r="E232" s="5" t="n">
        <v>64000</v>
      </c>
      <c r="F232" s="5" t="n">
        <v>100</v>
      </c>
      <c r="G232" t="inlineStr">
        <is>
          <t>Concrete</t>
        </is>
      </c>
      <c r="H232" s="5" t="n">
        <v>1</v>
      </c>
      <c r="I232" s="5" t="n">
        <v>0.35</v>
      </c>
      <c r="J232" s="5" t="n">
        <v>1</v>
      </c>
      <c r="O232">
        <f>MAX(O233,O234)</f>
        <v/>
      </c>
      <c r="R232">
        <f>R233+R234</f>
        <v/>
      </c>
      <c r="S232">
        <f>(E232/100000+F232/100+(O232/1000)*J232/5+R232/200)*200*I232*H232</f>
        <v/>
      </c>
      <c r="T232">
        <f>((E232*F232/25000)+((O232/1000)*J232*R232/2.5))*I232*H232</f>
        <v/>
      </c>
      <c r="U232">
        <f>(E232*F232*(O232/1000)*J232*R232*I232*H232)/12500000</f>
        <v/>
      </c>
      <c r="V232">
        <f>(S232+T232+U232)/3</f>
        <v/>
      </c>
      <c r="W232" s="5" t="n">
        <v>600</v>
      </c>
      <c r="X232">
        <f>IFERROR(V232-W232,"")</f>
        <v/>
      </c>
      <c r="Y232">
        <f>IFERROR(ABS(X232)/MAX(W232,1),"")</f>
        <v/>
      </c>
      <c r="Z232">
        <f>IFERROR((W232-(((E232/100000+F232/100+R232/200)*200*I232*H232)+((E232*F232/25000)*I232*H232))/3)/(((J232/5)*200*I232*H232)+((J232*R232/2.5)*I232*H232)+((E232*F232*J232*R232*I232*H232)/12500000))/3*1000,"")</f>
        <v/>
      </c>
    </row>
    <row r="233">
      <c r="B233" s="6" t="inlineStr">
        <is>
          <t xml:space="preserve">  ↳ FireballLauncher</t>
        </is>
      </c>
      <c r="C233" s="6" t="inlineStr">
        <is>
          <t>Armament</t>
        </is>
      </c>
      <c r="K233" s="5" t="n">
        <v>18000</v>
      </c>
      <c r="L233" s="5" t="n">
        <v>30</v>
      </c>
      <c r="M233" s="5" t="n">
        <v>1</v>
      </c>
      <c r="N233" s="5" t="n"/>
      <c r="O233" s="5" t="n">
        <v>6742</v>
      </c>
      <c r="P233" s="5" t="n">
        <v>1</v>
      </c>
      <c r="Q233">
        <f>L233+IF(M233&gt;1,N(N233)*(M233-1),0)</f>
        <v/>
      </c>
      <c r="R233">
        <f>IFERROR(K233*MAX(M233,1)/Q233*P233,0)</f>
        <v/>
      </c>
      <c r="AA233" s="6" t="inlineStr">
        <is>
          <t>^MediumFlameWeapon</t>
        </is>
      </c>
    </row>
    <row r="234">
      <c r="B234" s="6" t="inlineStr">
        <is>
          <t xml:space="preserve">  ↳ FireballLauncherThermobaric</t>
        </is>
      </c>
      <c r="C234" s="6" t="inlineStr">
        <is>
          <t>Armament@Upgrade</t>
        </is>
      </c>
      <c r="K234" s="5" t="n">
        <v>10000</v>
      </c>
      <c r="L234" s="5" t="n">
        <v>30</v>
      </c>
      <c r="M234" s="5" t="n">
        <v>1</v>
      </c>
      <c r="N234" s="5" t="n"/>
      <c r="O234" s="5" t="n">
        <v>6742</v>
      </c>
      <c r="P234" s="5" t="n">
        <v>1</v>
      </c>
      <c r="Q234">
        <f>L234+IF(M234&gt;1,N(N234)*(M234-1),0)</f>
        <v/>
      </c>
      <c r="R234">
        <f>IFERROR(K234*MAX(M234,1)/Q234*P234,0)</f>
        <v/>
      </c>
      <c r="AA234" s="6" t="inlineStr">
        <is>
          <t>^HeavyFlameWeapon, ^MediumFlameWeapon</t>
        </is>
      </c>
    </row>
    <row r="235">
      <c r="A235" t="inlineStr">
        <is>
          <t>redalert</t>
        </is>
      </c>
      <c r="B235" t="inlineStr">
        <is>
          <t>ra1_soviets_ironcurtain</t>
        </is>
      </c>
      <c r="C235" t="inlineStr">
        <is>
          <t>Iron Curtain</t>
        </is>
      </c>
      <c r="D235" t="inlineStr"/>
      <c r="E235" s="5" t="n">
        <v>1000000</v>
      </c>
      <c r="F235" s="5" t="n">
        <v>100</v>
      </c>
      <c r="G235" t="inlineStr">
        <is>
          <t>Concrete</t>
        </is>
      </c>
      <c r="H235" s="5" t="n">
        <v>1</v>
      </c>
      <c r="I235" s="5" t="n">
        <v>1</v>
      </c>
      <c r="J235" s="5" t="n">
        <v>1</v>
      </c>
      <c r="W235" s="5" t="n">
        <v>5000</v>
      </c>
    </row>
    <row r="236">
      <c r="A236" t="inlineStr">
        <is>
          <t>redalert</t>
        </is>
      </c>
      <c r="B236" t="inlineStr">
        <is>
          <t>ra1_soviets_missilesilo</t>
        </is>
      </c>
      <c r="C236" t="inlineStr">
        <is>
          <t>Soviet Missile Silo</t>
        </is>
      </c>
      <c r="D236" t="inlineStr"/>
      <c r="E236" s="5" t="n">
        <v>1000000</v>
      </c>
      <c r="F236" s="5" t="n">
        <v>100</v>
      </c>
      <c r="G236" t="inlineStr">
        <is>
          <t>Concrete</t>
        </is>
      </c>
      <c r="H236" s="5" t="n">
        <v>1</v>
      </c>
      <c r="I236" s="5" t="n">
        <v>1</v>
      </c>
      <c r="J236" s="5" t="n">
        <v>1</v>
      </c>
      <c r="W236" s="5" t="n">
        <v>10000</v>
      </c>
    </row>
    <row r="237">
      <c r="A237" t="inlineStr">
        <is>
          <t>redalert</t>
        </is>
      </c>
      <c r="B237" t="inlineStr">
        <is>
          <t>ra1_soviets_samsite</t>
        </is>
      </c>
      <c r="C237" t="inlineStr">
        <is>
          <t>Soviet SAM Site</t>
        </is>
      </c>
      <c r="D237" t="inlineStr"/>
      <c r="E237" s="5" t="n">
        <v>75000</v>
      </c>
      <c r="F237" s="5" t="n">
        <v>100</v>
      </c>
      <c r="G237" t="inlineStr">
        <is>
          <t>Concrete</t>
        </is>
      </c>
      <c r="H237" s="5" t="n">
        <v>1</v>
      </c>
      <c r="I237" s="5" t="n">
        <v>0.225</v>
      </c>
      <c r="J237" s="5" t="n">
        <v>1</v>
      </c>
      <c r="O237">
        <f>MAX(O238)</f>
        <v/>
      </c>
      <c r="R237">
        <f>R238</f>
        <v/>
      </c>
      <c r="S237">
        <f>(E237/100000+F237/100+(O237/1000)*J237/5+R237/200)*200*I237*H237</f>
        <v/>
      </c>
      <c r="T237">
        <f>((E237*F237/25000)+((O237/1000)*J237*R237/2.5))*I237*H237</f>
        <v/>
      </c>
      <c r="U237">
        <f>(E237*F237*(O237/1000)*J237*R237*I237*H237)/12500000</f>
        <v/>
      </c>
      <c r="V237">
        <f>(S237+T237+U237)/3</f>
        <v/>
      </c>
      <c r="W237" s="5" t="n">
        <v>700</v>
      </c>
      <c r="X237">
        <f>IFERROR(V237-W237,"")</f>
        <v/>
      </c>
      <c r="Y237">
        <f>IFERROR(ABS(X237)/MAX(W237,1),"")</f>
        <v/>
      </c>
      <c r="Z237">
        <f>IFERROR((W237-(((E237/100000+F237/100+R237/200)*200*I237*H237)+((E237*F237/25000)*I237*H237))/3)/(((J237/5)*200*I237*H237)+((J237*R237/2.5)*I237*H237)+((E237*F237*J237*R237*I237*H237)/12500000))/3*1000,"")</f>
        <v/>
      </c>
    </row>
    <row r="238">
      <c r="B238" s="6" t="inlineStr">
        <is>
          <t xml:space="preserve">  ↳ Nike</t>
        </is>
      </c>
      <c r="C238" s="6" t="inlineStr">
        <is>
          <t>Armament</t>
        </is>
      </c>
      <c r="K238" s="5" t="n">
        <v>4000</v>
      </c>
      <c r="L238" s="5" t="n">
        <v>27</v>
      </c>
      <c r="M238" s="5" t="n">
        <v>1</v>
      </c>
      <c r="N238" s="5" t="n"/>
      <c r="O238" s="5" t="n">
        <v>12790</v>
      </c>
      <c r="P238" s="5" t="n">
        <v>1</v>
      </c>
      <c r="Q238">
        <f>L238+IF(M238&gt;1,N(N238)*(M238-1),0)</f>
        <v/>
      </c>
      <c r="R238">
        <f>IFERROR(K238*MAX(M238,1)/Q238*P238,0)</f>
        <v/>
      </c>
      <c r="AA238" s="6" t="inlineStr">
        <is>
          <t>^FlakWeapon, ^HeavyMissile, ^MediumMissile, ^LightMissile</t>
        </is>
      </c>
    </row>
    <row r="239">
      <c r="A239" t="inlineStr">
        <is>
          <t>redalert</t>
        </is>
      </c>
      <c r="B239" t="inlineStr">
        <is>
          <t>ra1_soviets_teslacoil</t>
        </is>
      </c>
      <c r="C239" t="inlineStr">
        <is>
          <t>Tesla Coil</t>
        </is>
      </c>
      <c r="D239" t="inlineStr"/>
      <c r="E239" s="5" t="n">
        <v>90000</v>
      </c>
      <c r="F239" s="5" t="n">
        <v>100</v>
      </c>
      <c r="G239" t="inlineStr">
        <is>
          <t>Steel</t>
        </is>
      </c>
      <c r="H239" s="5" t="n">
        <v>1</v>
      </c>
      <c r="I239" s="5" t="n">
        <v>1</v>
      </c>
      <c r="J239" s="5" t="n">
        <v>1</v>
      </c>
      <c r="O239">
        <f>MAX(O240,O241,O242)</f>
        <v/>
      </c>
      <c r="R239">
        <f>R240+R241+R242</f>
        <v/>
      </c>
      <c r="S239">
        <f>(E239/100000+F239/100+(O239/1000)*J239/5+R239/200)*200*I239*H239</f>
        <v/>
      </c>
      <c r="T239">
        <f>((E239*F239/25000)+((O239/1000)*J239*R239/2.5))*I239*H239</f>
        <v/>
      </c>
      <c r="U239">
        <f>(E239*F239*(O239/1000)*J239*R239*I239*H239)/12500000</f>
        <v/>
      </c>
      <c r="V239">
        <f>(S239+T239+U239)/3</f>
        <v/>
      </c>
      <c r="W239" s="5" t="n">
        <v>1500</v>
      </c>
      <c r="X239">
        <f>IFERROR(V239-W239,"")</f>
        <v/>
      </c>
      <c r="Y239">
        <f>IFERROR(ABS(X239)/MAX(W239,1),"")</f>
        <v/>
      </c>
      <c r="Z239">
        <f>IFERROR((W239-(((E239/100000+F239/100+R239/200)*200*I239*H239)+((E239*F239/25000)*I239*H239))/3)/(((J239/5)*200*I239*H239)+((J239*R239/2.5)*I239*H239)+((E239*F239*J239*R239*I239*H239)/12500000))/3*1000,"")</f>
        <v/>
      </c>
    </row>
    <row r="240">
      <c r="B240" s="6" t="inlineStr">
        <is>
          <t xml:space="preserve">  ↳ TeslaZap</t>
        </is>
      </c>
      <c r="C240" s="6" t="inlineStr">
        <is>
          <t>Armament</t>
        </is>
      </c>
      <c r="K240" s="5" t="n">
        <v>32000</v>
      </c>
      <c r="L240" s="5" t="n">
        <v>3</v>
      </c>
      <c r="M240" s="5" t="n">
        <v>1</v>
      </c>
      <c r="N240" s="5" t="n"/>
      <c r="O240" s="5" t="n">
        <v>9320</v>
      </c>
      <c r="P240" s="5" t="n">
        <v>1</v>
      </c>
      <c r="Q240">
        <f>L240+IF(M240&gt;1,N(N240)*(M240-1),0)</f>
        <v/>
      </c>
      <c r="R240">
        <f>IFERROR(K240*MAX(M240,1)/Q240*P240,0)</f>
        <v/>
      </c>
      <c r="AA240" s="6" t="inlineStr">
        <is>
          <t>^TeslaWeapon</t>
        </is>
      </c>
    </row>
    <row r="241">
      <c r="B241" s="6" t="inlineStr">
        <is>
          <t xml:space="preserve">  ↳ TeslaZapEMP</t>
        </is>
      </c>
      <c r="C241" s="6" t="inlineStr">
        <is>
          <t>Armament@Upgrade1</t>
        </is>
      </c>
      <c r="K241" s="5" t="n">
        <v>32000</v>
      </c>
      <c r="L241" s="5" t="n">
        <v>3</v>
      </c>
      <c r="M241" s="5" t="n">
        <v>1</v>
      </c>
      <c r="N241" s="5" t="n"/>
      <c r="O241" s="5" t="n">
        <v>9320</v>
      </c>
      <c r="P241" s="5" t="n">
        <v>1</v>
      </c>
      <c r="Q241">
        <f>L241+IF(M241&gt;1,N(N241)*(M241-1),0)</f>
        <v/>
      </c>
      <c r="R241">
        <f>IFERROR(K241*MAX(M241,1)/Q241*P241,0)</f>
        <v/>
      </c>
      <c r="AA241" s="6" t="inlineStr">
        <is>
          <t>^TeslaWeapon</t>
        </is>
      </c>
    </row>
    <row r="242">
      <c r="B242" s="6" t="inlineStr">
        <is>
          <t xml:space="preserve">  ↳ TeslaZapEMPArc</t>
        </is>
      </c>
      <c r="C242" s="6" t="inlineStr">
        <is>
          <t>Armament@Upgrade2</t>
        </is>
      </c>
      <c r="K242" s="5" t="n">
        <v>32000</v>
      </c>
      <c r="L242" s="5" t="n">
        <v>3</v>
      </c>
      <c r="M242" s="5" t="n">
        <v>1</v>
      </c>
      <c r="N242" s="5" t="n"/>
      <c r="O242" s="5" t="n">
        <v>9320</v>
      </c>
      <c r="P242" s="5" t="n">
        <v>1</v>
      </c>
      <c r="Q242">
        <f>L242+IF(M242&gt;1,N(N242)*(M242-1),0)</f>
        <v/>
      </c>
      <c r="R242">
        <f>IFERROR(K242*MAX(M242,1)/Q242*P242,0)</f>
        <v/>
      </c>
      <c r="AA242" s="6" t="inlineStr">
        <is>
          <t>^TeslaWeapon</t>
        </is>
      </c>
    </row>
    <row r="243">
      <c r="A243" s="3" t="inlineStr">
        <is>
          <t>BUILDINGS</t>
        </is>
      </c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</row>
    <row r="244">
      <c r="A244" t="inlineStr">
        <is>
          <t>redalert</t>
        </is>
      </c>
      <c r="B244" t="inlineStr">
        <is>
          <t>ra1_soviets_airfield</t>
        </is>
      </c>
      <c r="C244" t="inlineStr">
        <is>
          <t>Soviet Airfield</t>
        </is>
      </c>
      <c r="D244" t="inlineStr"/>
      <c r="E244" s="5" t="n">
        <v>300000</v>
      </c>
      <c r="F244" s="5" t="n"/>
      <c r="G244" t="inlineStr">
        <is>
          <t>Wood</t>
        </is>
      </c>
      <c r="H244" s="5" t="n">
        <v>1</v>
      </c>
      <c r="I244" s="5" t="n">
        <v>1</v>
      </c>
      <c r="J244" s="5" t="n">
        <v>1</v>
      </c>
      <c r="W244" s="5" t="n">
        <v>1500</v>
      </c>
    </row>
    <row r="245">
      <c r="A245" t="inlineStr">
        <is>
          <t>redalert</t>
        </is>
      </c>
      <c r="B245" t="inlineStr">
        <is>
          <t>ra1_soviets_barracks</t>
        </is>
      </c>
      <c r="C245" t="inlineStr">
        <is>
          <t>Soviet Barracks</t>
        </is>
      </c>
      <c r="D245" t="inlineStr"/>
      <c r="E245" s="5" t="n">
        <v>200000</v>
      </c>
      <c r="F245" s="5" t="n"/>
      <c r="G245" t="inlineStr">
        <is>
          <t>Wood</t>
        </is>
      </c>
      <c r="H245" s="5" t="n">
        <v>1</v>
      </c>
      <c r="I245" s="5" t="n">
        <v>1</v>
      </c>
      <c r="J245" s="5" t="n">
        <v>1</v>
      </c>
      <c r="W245" s="5" t="n">
        <v>1000</v>
      </c>
    </row>
    <row r="246">
      <c r="A246" t="inlineStr">
        <is>
          <t>redalert</t>
        </is>
      </c>
      <c r="B246" t="inlineStr">
        <is>
          <t>ra1_soviets_constructionyard</t>
        </is>
      </c>
      <c r="C246" t="inlineStr">
        <is>
          <t>Soviet Construction Yard</t>
        </is>
      </c>
      <c r="D246" t="inlineStr"/>
      <c r="E246" s="5" t="n">
        <v>1000000</v>
      </c>
      <c r="F246" s="5" t="n"/>
      <c r="G246" t="inlineStr">
        <is>
          <t>Concrete</t>
        </is>
      </c>
      <c r="H246" s="5" t="n">
        <v>1</v>
      </c>
      <c r="I246" s="5" t="n">
        <v>1</v>
      </c>
      <c r="J246" s="5" t="n">
        <v>1</v>
      </c>
      <c r="W246" s="5" t="n">
        <v>5000</v>
      </c>
    </row>
    <row r="247">
      <c r="A247" t="inlineStr">
        <is>
          <t>redalert</t>
        </is>
      </c>
      <c r="B247" t="inlineStr">
        <is>
          <t>ra1_soviets_largefactory</t>
        </is>
      </c>
      <c r="C247" t="inlineStr">
        <is>
          <t>Soviet Large Factory</t>
        </is>
      </c>
      <c r="D247" t="inlineStr"/>
      <c r="E247" s="5" t="n">
        <v>600000</v>
      </c>
      <c r="F247" s="5" t="n"/>
      <c r="G247" t="inlineStr">
        <is>
          <t>Concrete</t>
        </is>
      </c>
      <c r="H247" s="5" t="n">
        <v>1</v>
      </c>
      <c r="I247" s="5" t="n">
        <v>1</v>
      </c>
      <c r="J247" s="5" t="n">
        <v>1</v>
      </c>
      <c r="W247" s="5" t="n">
        <v>3000</v>
      </c>
    </row>
    <row r="248">
      <c r="A248" t="inlineStr">
        <is>
          <t>redalert</t>
        </is>
      </c>
      <c r="B248" t="inlineStr">
        <is>
          <t>ra1_soviets_largesovietairfield</t>
        </is>
      </c>
      <c r="C248" t="inlineStr">
        <is>
          <t>Large Soviet Airfield</t>
        </is>
      </c>
      <c r="D248" t="inlineStr"/>
      <c r="E248" s="5" t="n">
        <v>500000</v>
      </c>
      <c r="F248" s="5" t="n"/>
      <c r="G248" t="inlineStr">
        <is>
          <t>Wood</t>
        </is>
      </c>
      <c r="H248" s="5" t="n">
        <v>1</v>
      </c>
      <c r="I248" s="5" t="n">
        <v>1</v>
      </c>
      <c r="J248" s="5" t="n">
        <v>1</v>
      </c>
      <c r="W248" s="5" t="n">
        <v>2500</v>
      </c>
    </row>
    <row r="249">
      <c r="A249" t="inlineStr">
        <is>
          <t>redalert</t>
        </is>
      </c>
      <c r="B249" t="inlineStr">
        <is>
          <t>ra1_soviets_orerefinery</t>
        </is>
      </c>
      <c r="C249" t="inlineStr">
        <is>
          <t>Soviet Ore Refinery</t>
        </is>
      </c>
      <c r="D249" t="inlineStr"/>
      <c r="E249" s="5" t="n">
        <v>300000</v>
      </c>
      <c r="F249" s="5" t="n"/>
      <c r="G249" t="inlineStr">
        <is>
          <t>Concrete</t>
        </is>
      </c>
      <c r="H249" s="5" t="n">
        <v>1</v>
      </c>
      <c r="I249" s="5" t="n">
        <v>1</v>
      </c>
      <c r="J249" s="5" t="n">
        <v>1</v>
      </c>
      <c r="W249" s="5" t="n">
        <v>3000</v>
      </c>
    </row>
    <row r="250">
      <c r="A250" t="inlineStr">
        <is>
          <t>redalert</t>
        </is>
      </c>
      <c r="B250" t="inlineStr">
        <is>
          <t>ra1_soviets_radardome</t>
        </is>
      </c>
      <c r="C250" t="inlineStr">
        <is>
          <t>Soviet Radar Dome</t>
        </is>
      </c>
      <c r="D250" t="inlineStr"/>
      <c r="E250" s="5" t="n">
        <v>250000</v>
      </c>
      <c r="F250" s="5" t="n"/>
      <c r="G250" t="inlineStr">
        <is>
          <t>Wood</t>
        </is>
      </c>
      <c r="H250" s="5" t="n">
        <v>1</v>
      </c>
      <c r="I250" s="5" t="n">
        <v>1</v>
      </c>
      <c r="J250" s="5" t="n">
        <v>1</v>
      </c>
      <c r="W250" s="5" t="n">
        <v>2500</v>
      </c>
    </row>
    <row r="251">
      <c r="A251" t="inlineStr">
        <is>
          <t>redalert</t>
        </is>
      </c>
      <c r="B251" t="inlineStr">
        <is>
          <t>ra1_soviets_servicedepot</t>
        </is>
      </c>
      <c r="C251" t="inlineStr">
        <is>
          <t>Soviet Service Depot</t>
        </is>
      </c>
      <c r="D251" t="inlineStr"/>
      <c r="E251" s="5" t="n">
        <v>250000</v>
      </c>
      <c r="F251" s="5" t="n"/>
      <c r="G251" t="inlineStr">
        <is>
          <t>Concrete</t>
        </is>
      </c>
      <c r="H251" s="5" t="n">
        <v>1</v>
      </c>
      <c r="I251" s="5" t="n">
        <v>1</v>
      </c>
      <c r="J251" s="5" t="n">
        <v>1</v>
      </c>
      <c r="W251" s="5" t="n">
        <v>1000</v>
      </c>
    </row>
    <row r="252">
      <c r="A252" t="inlineStr">
        <is>
          <t>redalert</t>
        </is>
      </c>
      <c r="B252" t="inlineStr">
        <is>
          <t>ra1_soviets_techcenter</t>
        </is>
      </c>
      <c r="C252" t="inlineStr">
        <is>
          <t>Soviet Tech Center</t>
        </is>
      </c>
      <c r="D252" t="inlineStr"/>
      <c r="E252" s="5" t="n">
        <v>500000</v>
      </c>
      <c r="F252" s="5" t="n"/>
      <c r="G252" t="inlineStr">
        <is>
          <t>Concrete</t>
        </is>
      </c>
      <c r="H252" s="5" t="n">
        <v>1</v>
      </c>
      <c r="I252" s="5" t="n">
        <v>1</v>
      </c>
      <c r="J252" s="5" t="n">
        <v>1</v>
      </c>
      <c r="W252" s="5" t="n">
        <v>5000</v>
      </c>
    </row>
    <row r="253">
      <c r="A253" t="inlineStr">
        <is>
          <t>redalert</t>
        </is>
      </c>
      <c r="B253" t="inlineStr">
        <is>
          <t>ra1_soviets_warfactory</t>
        </is>
      </c>
      <c r="C253" t="inlineStr">
        <is>
          <t>Soviet War Factory</t>
        </is>
      </c>
      <c r="D253" t="inlineStr"/>
      <c r="E253" s="5" t="n">
        <v>400000</v>
      </c>
      <c r="F253" s="5" t="n"/>
      <c r="G253" t="inlineStr">
        <is>
          <t>Concrete</t>
        </is>
      </c>
      <c r="H253" s="5" t="n">
        <v>1</v>
      </c>
      <c r="I253" s="5" t="n">
        <v>1</v>
      </c>
      <c r="J253" s="5" t="n">
        <v>1</v>
      </c>
      <c r="W253" s="5" t="n">
        <v>2000</v>
      </c>
    </row>
    <row r="254">
      <c r="A254" s="3" t="inlineStr">
        <is>
          <t>UPGRADES</t>
        </is>
      </c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</row>
    <row r="255">
      <c r="A255" t="inlineStr">
        <is>
          <t>redalert</t>
        </is>
      </c>
      <c r="B255" t="inlineStr">
        <is>
          <t>ra1_soviets_doctrine_conscription</t>
        </is>
      </c>
      <c r="C255" t="inlineStr">
        <is>
          <t>Conscription Doctrine</t>
        </is>
      </c>
      <c r="D255" t="inlineStr"/>
      <c r="E255" s="5" t="n"/>
      <c r="F255" s="5" t="n"/>
      <c r="H255" s="5" t="n">
        <v>1</v>
      </c>
      <c r="I255" s="5" t="n">
        <v>1</v>
      </c>
      <c r="J255" s="5" t="n">
        <v>1</v>
      </c>
      <c r="W255" s="5" t="n">
        <v>5000</v>
      </c>
    </row>
    <row r="256">
      <c r="A256" t="inlineStr">
        <is>
          <t>redalert</t>
        </is>
      </c>
      <c r="B256" t="inlineStr">
        <is>
          <t>ra1_soviets_doctrine_heavyarmor</t>
        </is>
      </c>
      <c r="C256" t="inlineStr">
        <is>
          <t>Heavy Armor Doctrine</t>
        </is>
      </c>
      <c r="D256" t="inlineStr"/>
      <c r="E256" s="5" t="n"/>
      <c r="F256" s="5" t="n"/>
      <c r="H256" s="5" t="n">
        <v>1</v>
      </c>
      <c r="I256" s="5" t="n">
        <v>1</v>
      </c>
      <c r="J256" s="5" t="n">
        <v>1</v>
      </c>
      <c r="W256" s="5" t="n">
        <v>5000</v>
      </c>
    </row>
    <row r="257">
      <c r="A257" t="inlineStr">
        <is>
          <t>redalert</t>
        </is>
      </c>
      <c r="B257" t="inlineStr">
        <is>
          <t>ra1_soviets_doctrine_industrialefficiency</t>
        </is>
      </c>
      <c r="C257" t="inlineStr">
        <is>
          <t>Industrial Efficiency Doctrine</t>
        </is>
      </c>
      <c r="D257" t="inlineStr"/>
      <c r="E257" s="5" t="n"/>
      <c r="F257" s="5" t="n"/>
      <c r="H257" s="5" t="n">
        <v>1</v>
      </c>
      <c r="I257" s="5" t="n">
        <v>1</v>
      </c>
      <c r="J257" s="5" t="n">
        <v>1</v>
      </c>
      <c r="W257" s="5" t="n">
        <v>5000</v>
      </c>
    </row>
    <row r="258">
      <c r="A258" t="inlineStr">
        <is>
          <t>redalert</t>
        </is>
      </c>
      <c r="B258" t="inlineStr">
        <is>
          <t>ra1_soviets_doctrine_inferno</t>
        </is>
      </c>
      <c r="C258" t="inlineStr">
        <is>
          <t>Inferno Doctrine</t>
        </is>
      </c>
      <c r="D258" t="inlineStr"/>
      <c r="E258" s="5" t="n"/>
      <c r="F258" s="5" t="n"/>
      <c r="H258" s="5" t="n">
        <v>1</v>
      </c>
      <c r="I258" s="5" t="n">
        <v>1</v>
      </c>
      <c r="J258" s="5" t="n">
        <v>1</v>
      </c>
      <c r="W258" s="5" t="n">
        <v>5000</v>
      </c>
    </row>
    <row r="259">
      <c r="A259" t="inlineStr">
        <is>
          <t>redalert</t>
        </is>
      </c>
      <c r="B259" t="inlineStr">
        <is>
          <t>ra1_soviets_doctrine_nuclearwar</t>
        </is>
      </c>
      <c r="C259" t="inlineStr">
        <is>
          <t>Nuclear War Doctrine</t>
        </is>
      </c>
      <c r="D259" t="inlineStr"/>
      <c r="E259" s="5" t="n"/>
      <c r="F259" s="5" t="n"/>
      <c r="H259" s="5" t="n">
        <v>1</v>
      </c>
      <c r="I259" s="5" t="n">
        <v>1</v>
      </c>
      <c r="J259" s="5" t="n">
        <v>1</v>
      </c>
      <c r="W259" s="5" t="n">
        <v>5000</v>
      </c>
    </row>
    <row r="260">
      <c r="A260" t="inlineStr">
        <is>
          <t>redalert</t>
        </is>
      </c>
      <c r="B260" t="inlineStr">
        <is>
          <t>ra1_soviets_doctrine_teslaandexperimentaltech</t>
        </is>
      </c>
      <c r="C260" t="inlineStr">
        <is>
          <t>Tesla and Experimental Tech Doctrine</t>
        </is>
      </c>
      <c r="D260" t="inlineStr"/>
      <c r="E260" s="5" t="n"/>
      <c r="F260" s="5" t="n"/>
      <c r="H260" s="5" t="n">
        <v>1</v>
      </c>
      <c r="I260" s="5" t="n">
        <v>1</v>
      </c>
      <c r="J260" s="5" t="n">
        <v>1</v>
      </c>
      <c r="W260" s="5" t="n">
        <v>5000</v>
      </c>
    </row>
    <row r="261">
      <c r="A261" t="inlineStr">
        <is>
          <t>redalert</t>
        </is>
      </c>
      <c r="B261" t="inlineStr">
        <is>
          <t>ra1_soviets_upgrade_afterburners</t>
        </is>
      </c>
      <c r="C261" t="inlineStr">
        <is>
          <t>Afterburners</t>
        </is>
      </c>
      <c r="D261" t="inlineStr"/>
      <c r="E261" s="5" t="n"/>
      <c r="F261" s="5" t="n"/>
      <c r="H261" s="5" t="n">
        <v>1</v>
      </c>
      <c r="I261" s="5" t="n">
        <v>1</v>
      </c>
      <c r="J261" s="5" t="n">
        <v>1</v>
      </c>
      <c r="W261" s="5" t="n">
        <v>2500</v>
      </c>
    </row>
    <row r="262">
      <c r="A262" t="inlineStr">
        <is>
          <t>redalert</t>
        </is>
      </c>
      <c r="B262" t="inlineStr">
        <is>
          <t>ra1_soviets_upgrade_autoloaders</t>
        </is>
      </c>
      <c r="C262" t="inlineStr">
        <is>
          <t>Autoloaders</t>
        </is>
      </c>
      <c r="D262" t="inlineStr"/>
      <c r="E262" s="5" t="n"/>
      <c r="F262" s="5" t="n"/>
      <c r="H262" s="5" t="n">
        <v>1</v>
      </c>
      <c r="I262" s="5" t="n">
        <v>1</v>
      </c>
      <c r="J262" s="5" t="n">
        <v>1</v>
      </c>
      <c r="W262" s="5" t="n">
        <v>7500</v>
      </c>
    </row>
    <row r="263">
      <c r="A263" t="inlineStr">
        <is>
          <t>redalert</t>
        </is>
      </c>
      <c r="B263" t="inlineStr">
        <is>
          <t>ra1_soviets_upgrade_hammertank</t>
        </is>
      </c>
      <c r="C263" t="inlineStr">
        <is>
          <t>Hammer Tank Upgrade</t>
        </is>
      </c>
      <c r="D263" t="inlineStr"/>
      <c r="E263" s="5" t="n"/>
      <c r="F263" s="5" t="n"/>
      <c r="H263" s="5" t="n">
        <v>1</v>
      </c>
      <c r="I263" s="5" t="n">
        <v>1</v>
      </c>
      <c r="J263" s="5" t="n">
        <v>1</v>
      </c>
      <c r="W263" s="5" t="n">
        <v>2500</v>
      </c>
    </row>
    <row r="264">
      <c r="A264" t="inlineStr">
        <is>
          <t>redalert</t>
        </is>
      </c>
      <c r="B264" t="inlineStr">
        <is>
          <t>ra1_soviets_upgrade_hazmatsuits</t>
        </is>
      </c>
      <c r="C264" t="inlineStr">
        <is>
          <t>Hazmat Suits</t>
        </is>
      </c>
      <c r="D264" t="inlineStr"/>
      <c r="E264" s="5" t="n"/>
      <c r="F264" s="5" t="n"/>
      <c r="H264" s="5" t="n">
        <v>1</v>
      </c>
      <c r="I264" s="5" t="n">
        <v>1</v>
      </c>
      <c r="J264" s="5" t="n">
        <v>1</v>
      </c>
      <c r="W264" s="5" t="n">
        <v>7500</v>
      </c>
    </row>
    <row r="265">
      <c r="A265" t="inlineStr">
        <is>
          <t>redalert</t>
        </is>
      </c>
      <c r="B265" t="inlineStr">
        <is>
          <t>ra1_soviets_upgrade_heavyteslatank</t>
        </is>
      </c>
      <c r="C265" t="inlineStr">
        <is>
          <t>Heavy Tesla Tank Upgrade</t>
        </is>
      </c>
      <c r="D265" t="inlineStr"/>
      <c r="E265" s="5" t="n"/>
      <c r="F265" s="5" t="n"/>
      <c r="H265" s="5" t="n">
        <v>1</v>
      </c>
      <c r="I265" s="5" t="n">
        <v>1</v>
      </c>
      <c r="J265" s="5" t="n">
        <v>1</v>
      </c>
      <c r="W265" s="5" t="n">
        <v>2500</v>
      </c>
    </row>
    <row r="266">
      <c r="A266" t="inlineStr">
        <is>
          <t>redalert</t>
        </is>
      </c>
      <c r="B266" t="inlineStr">
        <is>
          <t>ra1_soviets_upgrade_highexplosiverockets</t>
        </is>
      </c>
      <c r="C266" t="inlineStr">
        <is>
          <t>High Explosive Rockets</t>
        </is>
      </c>
      <c r="D266" t="inlineStr"/>
      <c r="E266" s="5" t="n"/>
      <c r="F266" s="5" t="n"/>
      <c r="H266" s="5" t="n">
        <v>1</v>
      </c>
      <c r="I266" s="5" t="n">
        <v>1</v>
      </c>
      <c r="J266" s="5" t="n">
        <v>1</v>
      </c>
      <c r="W266" s="5" t="n">
        <v>7500</v>
      </c>
    </row>
    <row r="267">
      <c r="A267" t="inlineStr">
        <is>
          <t>redalert</t>
        </is>
      </c>
      <c r="B267" t="inlineStr">
        <is>
          <t>ra1_soviets_upgrade_incendiarybullets</t>
        </is>
      </c>
      <c r="C267" t="inlineStr">
        <is>
          <t>Incendiary Bullets</t>
        </is>
      </c>
      <c r="D267" t="inlineStr"/>
      <c r="E267" s="5" t="n"/>
      <c r="F267" s="5" t="n"/>
      <c r="H267" s="5" t="n">
        <v>1</v>
      </c>
      <c r="I267" s="5" t="n">
        <v>1</v>
      </c>
      <c r="J267" s="5" t="n">
        <v>1</v>
      </c>
      <c r="W267" s="5" t="n">
        <v>7500</v>
      </c>
    </row>
    <row r="268">
      <c r="A268" t="inlineStr">
        <is>
          <t>redalert</t>
        </is>
      </c>
      <c r="B268" t="inlineStr">
        <is>
          <t>ra1_soviets_upgrade_kotinnucleartank</t>
        </is>
      </c>
      <c r="C268" t="inlineStr">
        <is>
          <t>Kotin Nuclear Tank Upgrade</t>
        </is>
      </c>
      <c r="D268" t="inlineStr"/>
      <c r="E268" s="5" t="n"/>
      <c r="F268" s="5" t="n"/>
      <c r="H268" s="5" t="n">
        <v>1</v>
      </c>
      <c r="I268" s="5" t="n">
        <v>1</v>
      </c>
      <c r="J268" s="5" t="n">
        <v>1</v>
      </c>
      <c r="W268" s="5" t="n">
        <v>2500</v>
      </c>
    </row>
    <row r="269">
      <c r="A269" t="inlineStr">
        <is>
          <t>redalert</t>
        </is>
      </c>
      <c r="B269" t="inlineStr">
        <is>
          <t>ra1_soviets_upgrade_massproduction</t>
        </is>
      </c>
      <c r="C269" t="inlineStr">
        <is>
          <t>Mass Production</t>
        </is>
      </c>
      <c r="D269" t="inlineStr"/>
      <c r="E269" s="5" t="n"/>
      <c r="F269" s="5" t="n"/>
      <c r="H269" s="5" t="n">
        <v>1</v>
      </c>
      <c r="I269" s="5" t="n">
        <v>1</v>
      </c>
      <c r="J269" s="5" t="n">
        <v>1</v>
      </c>
      <c r="W269" s="5" t="n">
        <v>7500</v>
      </c>
    </row>
    <row r="270">
      <c r="A270" t="inlineStr">
        <is>
          <t>redalert</t>
        </is>
      </c>
      <c r="B270" t="inlineStr">
        <is>
          <t>ra1_soviets_upgrade_menofsteel</t>
        </is>
      </c>
      <c r="C270" t="inlineStr">
        <is>
          <t>Men Of Steel</t>
        </is>
      </c>
      <c r="D270" t="inlineStr"/>
      <c r="E270" s="5" t="n"/>
      <c r="F270" s="5" t="n"/>
      <c r="H270" s="5" t="n">
        <v>1</v>
      </c>
      <c r="I270" s="5" t="n">
        <v>1</v>
      </c>
      <c r="J270" s="5" t="n">
        <v>1</v>
      </c>
      <c r="W270" s="5" t="n">
        <v>10000</v>
      </c>
    </row>
    <row r="271">
      <c r="A271" t="inlineStr">
        <is>
          <t>redalert</t>
        </is>
      </c>
      <c r="B271" t="inlineStr">
        <is>
          <t>ra1_soviets_upgrade_nucleartankshells</t>
        </is>
      </c>
      <c r="C271" t="inlineStr">
        <is>
          <t>Nuclear Tank Shells</t>
        </is>
      </c>
      <c r="D271" t="inlineStr"/>
      <c r="E271" s="5" t="n"/>
      <c r="F271" s="5" t="n"/>
      <c r="H271" s="5" t="n">
        <v>1</v>
      </c>
      <c r="I271" s="5" t="n">
        <v>1</v>
      </c>
      <c r="J271" s="5" t="n">
        <v>1</v>
      </c>
      <c r="W271" s="5" t="n">
        <v>10000</v>
      </c>
    </row>
    <row r="272">
      <c r="A272" t="inlineStr">
        <is>
          <t>redalert</t>
        </is>
      </c>
      <c r="B272" t="inlineStr">
        <is>
          <t>ra1_soviets_upgrade_reactoroverload</t>
        </is>
      </c>
      <c r="C272" t="inlineStr">
        <is>
          <t>Reactor Overload</t>
        </is>
      </c>
      <c r="D272" t="inlineStr"/>
      <c r="E272" s="5" t="n"/>
      <c r="F272" s="5" t="n"/>
      <c r="H272" s="5" t="n">
        <v>1</v>
      </c>
      <c r="I272" s="5" t="n">
        <v>1</v>
      </c>
      <c r="J272" s="5" t="n">
        <v>1</v>
      </c>
      <c r="W272" s="5" t="n">
        <v>10000</v>
      </c>
    </row>
    <row r="273">
      <c r="A273" t="inlineStr">
        <is>
          <t>redalert</t>
        </is>
      </c>
      <c r="B273" t="inlineStr">
        <is>
          <t>ra1_soviets_upgrade_scorchedearth</t>
        </is>
      </c>
      <c r="C273" t="inlineStr">
        <is>
          <t>Scorched Earth</t>
        </is>
      </c>
      <c r="D273" t="inlineStr"/>
      <c r="E273" s="5" t="n"/>
      <c r="F273" s="5" t="n"/>
      <c r="H273" s="5" t="n">
        <v>1</v>
      </c>
      <c r="I273" s="5" t="n">
        <v>1</v>
      </c>
      <c r="J273" s="5" t="n">
        <v>1</v>
      </c>
      <c r="W273" s="5" t="n">
        <v>10000</v>
      </c>
    </row>
    <row r="274">
      <c r="A274" t="inlineStr">
        <is>
          <t>redalert</t>
        </is>
      </c>
      <c r="B274" t="inlineStr">
        <is>
          <t>ra1_soviets_upgrade_shtoradefensesystem</t>
        </is>
      </c>
      <c r="C274" t="inlineStr">
        <is>
          <t>Shtora Defense System Upgrade</t>
        </is>
      </c>
      <c r="D274" t="inlineStr"/>
      <c r="E274" s="5" t="n"/>
      <c r="F274" s="5" t="n"/>
      <c r="H274" s="5" t="n">
        <v>1</v>
      </c>
      <c r="I274" s="5" t="n">
        <v>1</v>
      </c>
      <c r="J274" s="5" t="n">
        <v>1</v>
      </c>
      <c r="W274" s="5" t="n">
        <v>2500</v>
      </c>
    </row>
    <row r="275">
      <c r="A275" t="inlineStr">
        <is>
          <t>redalert</t>
        </is>
      </c>
      <c r="B275" t="inlineStr">
        <is>
          <t>ra1_soviets_upgrade_stalinium</t>
        </is>
      </c>
      <c r="C275" t="inlineStr">
        <is>
          <t>Stalinium</t>
        </is>
      </c>
      <c r="D275" t="inlineStr"/>
      <c r="E275" s="5" t="n"/>
      <c r="F275" s="5" t="n"/>
      <c r="H275" s="5" t="n">
        <v>1</v>
      </c>
      <c r="I275" s="5" t="n">
        <v>1</v>
      </c>
      <c r="J275" s="5" t="n">
        <v>1</v>
      </c>
      <c r="W275" s="5" t="n">
        <v>10000</v>
      </c>
    </row>
    <row r="276">
      <c r="A276" t="inlineStr">
        <is>
          <t>redalert</t>
        </is>
      </c>
      <c r="B276" t="inlineStr">
        <is>
          <t>ra1_soviets_upgrade_teslaarcing</t>
        </is>
      </c>
      <c r="C276" t="inlineStr">
        <is>
          <t>Tesla Arcing</t>
        </is>
      </c>
      <c r="D276" t="inlineStr"/>
      <c r="E276" s="5" t="n"/>
      <c r="F276" s="5" t="n"/>
      <c r="H276" s="5" t="n">
        <v>1</v>
      </c>
      <c r="I276" s="5" t="n">
        <v>1</v>
      </c>
      <c r="J276" s="5" t="n">
        <v>1</v>
      </c>
      <c r="W276" s="5" t="n">
        <v>7500</v>
      </c>
    </row>
    <row r="277">
      <c r="A277" t="inlineStr">
        <is>
          <t>redalert</t>
        </is>
      </c>
      <c r="B277" t="inlineStr">
        <is>
          <t>ra1_soviets_upgrade_teslarockets</t>
        </is>
      </c>
      <c r="C277" t="inlineStr">
        <is>
          <t>Tesla Rockets</t>
        </is>
      </c>
      <c r="D277" t="inlineStr"/>
      <c r="E277" s="5" t="n"/>
      <c r="F277" s="5" t="n"/>
      <c r="H277" s="5" t="n">
        <v>1</v>
      </c>
      <c r="I277" s="5" t="n">
        <v>1</v>
      </c>
      <c r="J277" s="5" t="n">
        <v>1</v>
      </c>
      <c r="W277" s="5" t="n">
        <v>7500</v>
      </c>
    </row>
    <row r="278">
      <c r="A278" t="inlineStr">
        <is>
          <t>redalert</t>
        </is>
      </c>
      <c r="B278" t="inlineStr">
        <is>
          <t>ra1_soviets_upgrade_thermonuclearrockets</t>
        </is>
      </c>
      <c r="C278" t="inlineStr">
        <is>
          <t>Thermonuclear Rockets</t>
        </is>
      </c>
      <c r="D278" t="inlineStr"/>
      <c r="E278" s="5" t="n"/>
      <c r="F278" s="5" t="n"/>
      <c r="H278" s="5" t="n">
        <v>1</v>
      </c>
      <c r="I278" s="5" t="n">
        <v>1</v>
      </c>
      <c r="J278" s="5" t="n">
        <v>1</v>
      </c>
      <c r="W278" s="5" t="n">
        <v>7500</v>
      </c>
    </row>
    <row r="279">
      <c r="A279" t="inlineStr">
        <is>
          <t>redalert</t>
        </is>
      </c>
      <c r="B279" t="inlineStr">
        <is>
          <t>ra1_soviets_upgrade_unlockarmoredyak</t>
        </is>
      </c>
      <c r="C279" t="inlineStr">
        <is>
          <t>Unlock Armored Yak</t>
        </is>
      </c>
      <c r="D279" t="inlineStr"/>
      <c r="E279" s="5" t="n"/>
      <c r="F279" s="5" t="n"/>
      <c r="H279" s="5" t="n">
        <v>1</v>
      </c>
      <c r="I279" s="5" t="n">
        <v>1</v>
      </c>
      <c r="J279" s="5" t="n">
        <v>1</v>
      </c>
      <c r="W279" s="5" t="n">
        <v>2500</v>
      </c>
    </row>
    <row r="280">
      <c r="A280" t="inlineStr">
        <is>
          <t>redalert</t>
        </is>
      </c>
      <c r="B280" t="inlineStr">
        <is>
          <t>ra1_soviets_upgrade_unlockcommissar</t>
        </is>
      </c>
      <c r="C280" t="inlineStr">
        <is>
          <t>Unlock Commissar</t>
        </is>
      </c>
      <c r="D280" t="inlineStr"/>
      <c r="E280" s="5" t="n"/>
      <c r="F280" s="5" t="n"/>
      <c r="H280" s="5" t="n">
        <v>1</v>
      </c>
      <c r="I280" s="5" t="n">
        <v>1</v>
      </c>
      <c r="J280" s="5" t="n">
        <v>1</v>
      </c>
      <c r="W280" s="5" t="n">
        <v>2500</v>
      </c>
    </row>
    <row r="281">
      <c r="A281" t="inlineStr">
        <is>
          <t>redalert</t>
        </is>
      </c>
      <c r="B281" t="inlineStr">
        <is>
          <t>ra1_soviets_upgrade_unlockheatraytank</t>
        </is>
      </c>
      <c r="C281" t="inlineStr">
        <is>
          <t>Unlock Heatray Tank</t>
        </is>
      </c>
      <c r="D281" t="inlineStr"/>
      <c r="E281" s="5" t="n"/>
      <c r="F281" s="5" t="n"/>
      <c r="H281" s="5" t="n">
        <v>1</v>
      </c>
      <c r="I281" s="5" t="n">
        <v>1</v>
      </c>
      <c r="J281" s="5" t="n">
        <v>1</v>
      </c>
      <c r="W281" s="5" t="n">
        <v>2500</v>
      </c>
    </row>
    <row r="282">
      <c r="A282" t="inlineStr">
        <is>
          <t>redalert</t>
        </is>
      </c>
      <c r="B282" t="inlineStr">
        <is>
          <t>ra1_soviets_upgrade_unlocknuclearyak</t>
        </is>
      </c>
      <c r="C282" t="inlineStr">
        <is>
          <t>Unlock Nuclear Yak</t>
        </is>
      </c>
      <c r="D282" t="inlineStr"/>
      <c r="E282" s="5" t="n"/>
      <c r="F282" s="5" t="n"/>
      <c r="H282" s="5" t="n">
        <v>1</v>
      </c>
      <c r="I282" s="5" t="n">
        <v>1</v>
      </c>
      <c r="J282" s="5" t="n">
        <v>1</v>
      </c>
      <c r="W282" s="5" t="n">
        <v>2500</v>
      </c>
    </row>
    <row r="283">
      <c r="A283" t="inlineStr">
        <is>
          <t>redalert</t>
        </is>
      </c>
      <c r="B283" t="inlineStr">
        <is>
          <t>ra1_soviets_upgrade_unlockteslayak</t>
        </is>
      </c>
      <c r="C283" t="inlineStr">
        <is>
          <t>Unlock Tesla Yak</t>
        </is>
      </c>
      <c r="D283" t="inlineStr"/>
      <c r="E283" s="5" t="n"/>
      <c r="F283" s="5" t="n"/>
      <c r="H283" s="5" t="n">
        <v>1</v>
      </c>
      <c r="I283" s="5" t="n">
        <v>1</v>
      </c>
      <c r="J283" s="5" t="n">
        <v>1</v>
      </c>
      <c r="W283" s="5" t="n">
        <v>2500</v>
      </c>
    </row>
    <row r="284">
      <c r="A284" t="inlineStr">
        <is>
          <t>redalert</t>
        </is>
      </c>
      <c r="B284" t="inlineStr">
        <is>
          <t>ra1_soviets_upgrade_unstableisotopes</t>
        </is>
      </c>
      <c r="C284" t="inlineStr">
        <is>
          <t>Unstable Isotopes</t>
        </is>
      </c>
      <c r="D284" t="inlineStr"/>
      <c r="E284" s="5" t="n"/>
      <c r="F284" s="5" t="n"/>
      <c r="H284" s="5" t="n">
        <v>1</v>
      </c>
      <c r="I284" s="5" t="n">
        <v>1</v>
      </c>
      <c r="J284" s="5" t="n">
        <v>1</v>
      </c>
      <c r="W284" s="5" t="n">
        <v>7500</v>
      </c>
    </row>
    <row r="285">
      <c r="A285" t="inlineStr">
        <is>
          <t>redalert</t>
        </is>
      </c>
      <c r="B285" t="inlineStr">
        <is>
          <t>ra1_soviets_upgrade_vengeance</t>
        </is>
      </c>
      <c r="C285" t="inlineStr">
        <is>
          <t>Vengeance</t>
        </is>
      </c>
      <c r="D285" t="inlineStr"/>
      <c r="E285" s="5" t="n"/>
      <c r="F285" s="5" t="n"/>
      <c r="H285" s="5" t="n">
        <v>1</v>
      </c>
      <c r="I285" s="5" t="n">
        <v>1</v>
      </c>
      <c r="J285" s="5" t="n">
        <v>1</v>
      </c>
      <c r="W285" s="5" t="n">
        <v>7500</v>
      </c>
    </row>
    <row r="286">
      <c r="A286" t="inlineStr">
        <is>
          <t>redalert</t>
        </is>
      </c>
      <c r="B286" t="inlineStr">
        <is>
          <t>ra1_soviets_upgrade_wareconomy</t>
        </is>
      </c>
      <c r="C286" t="inlineStr">
        <is>
          <t>War Economy</t>
        </is>
      </c>
      <c r="D286" t="inlineStr"/>
      <c r="E286" s="5" t="n"/>
      <c r="F286" s="5" t="n"/>
      <c r="H286" s="5" t="n">
        <v>1</v>
      </c>
      <c r="I286" s="5" t="n">
        <v>1</v>
      </c>
      <c r="J286" s="5" t="n">
        <v>1</v>
      </c>
      <c r="W286" s="5" t="n">
        <v>10000</v>
      </c>
    </row>
    <row r="287">
      <c r="A287" s="3" t="inlineStr">
        <is>
          <t>PROMOTIONS</t>
        </is>
      </c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</row>
    <row r="288">
      <c r="A288" t="inlineStr">
        <is>
          <t>redalert</t>
        </is>
      </c>
      <c r="B288" t="inlineStr">
        <is>
          <t>ra1_soviets_promotion_hurricanerocketpods</t>
        </is>
      </c>
      <c r="C288" t="inlineStr">
        <is>
          <t>Hurricane Rocket Pods</t>
        </is>
      </c>
      <c r="D288" t="inlineStr"/>
      <c r="E288" s="5" t="n"/>
      <c r="F288" s="5" t="n"/>
      <c r="H288" s="5" t="n">
        <v>1</v>
      </c>
      <c r="I288" s="5" t="n">
        <v>1</v>
      </c>
      <c r="J288" s="5" t="n">
        <v>1</v>
      </c>
      <c r="W288" s="5" t="n"/>
    </row>
    <row r="289">
      <c r="A289" t="inlineStr">
        <is>
          <t>redalert</t>
        </is>
      </c>
      <c r="B289" t="inlineStr">
        <is>
          <t>ra1_soviets_promotion_infantrysuperoptics</t>
        </is>
      </c>
      <c r="C289" t="inlineStr">
        <is>
          <t>Infantry Super Optics</t>
        </is>
      </c>
      <c r="D289" t="inlineStr"/>
      <c r="E289" s="5" t="n"/>
      <c r="F289" s="5" t="n"/>
      <c r="H289" s="5" t="n">
        <v>1</v>
      </c>
      <c r="I289" s="5" t="n">
        <v>1</v>
      </c>
      <c r="J289" s="5" t="n">
        <v>1</v>
      </c>
      <c r="W289" s="5" t="n"/>
    </row>
    <row r="290">
      <c r="A290" t="inlineStr">
        <is>
          <t>redalert</t>
        </is>
      </c>
      <c r="B290" t="inlineStr">
        <is>
          <t>ra1_soviets_promotion_mammothtanktargetingcomputer</t>
        </is>
      </c>
      <c r="C290" t="inlineStr">
        <is>
          <t>Mammoth Tank Targeting Computer</t>
        </is>
      </c>
      <c r="D290" t="inlineStr"/>
      <c r="E290" s="5" t="n"/>
      <c r="F290" s="5" t="n"/>
      <c r="H290" s="5" t="n">
        <v>1</v>
      </c>
      <c r="I290" s="5" t="n">
        <v>1</v>
      </c>
      <c r="J290" s="5" t="n">
        <v>1</v>
      </c>
      <c r="W290" s="5" t="n"/>
    </row>
    <row r="291">
      <c r="A291" t="inlineStr">
        <is>
          <t>redalert</t>
        </is>
      </c>
      <c r="B291" t="inlineStr">
        <is>
          <t>ra1_soviets_promotion_parabombslevel2</t>
        </is>
      </c>
      <c r="C291" t="inlineStr">
        <is>
          <t>Parabombs Level 2</t>
        </is>
      </c>
      <c r="D291" t="inlineStr"/>
      <c r="E291" s="5" t="n"/>
      <c r="F291" s="5" t="n"/>
      <c r="H291" s="5" t="n">
        <v>1</v>
      </c>
      <c r="I291" s="5" t="n">
        <v>1</v>
      </c>
      <c r="J291" s="5" t="n">
        <v>1</v>
      </c>
      <c r="W291" s="5" t="n"/>
    </row>
    <row r="292">
      <c r="A292" t="inlineStr">
        <is>
          <t>redalert</t>
        </is>
      </c>
      <c r="B292" t="inlineStr">
        <is>
          <t>ra1_soviets_promotion_parabombslevel3</t>
        </is>
      </c>
      <c r="C292" t="inlineStr">
        <is>
          <t>Parabombs Level 3</t>
        </is>
      </c>
      <c r="D292" t="inlineStr"/>
      <c r="E292" s="5" t="n"/>
      <c r="F292" s="5" t="n"/>
      <c r="H292" s="5" t="n">
        <v>1</v>
      </c>
      <c r="I292" s="5" t="n">
        <v>1</v>
      </c>
      <c r="J292" s="5" t="n">
        <v>1</v>
      </c>
      <c r="W292" s="5" t="n"/>
    </row>
    <row r="293">
      <c r="A293" t="inlineStr">
        <is>
          <t>redalert</t>
        </is>
      </c>
      <c r="B293" t="inlineStr">
        <is>
          <t>ra1_soviets_promotion_superspyplane</t>
        </is>
      </c>
      <c r="C293" t="inlineStr">
        <is>
          <t>Super Spy Plane</t>
        </is>
      </c>
      <c r="D293" t="inlineStr"/>
      <c r="E293" s="5" t="n"/>
      <c r="F293" s="5" t="n"/>
      <c r="H293" s="5" t="n">
        <v>1</v>
      </c>
      <c r="I293" s="5" t="n">
        <v>1</v>
      </c>
      <c r="J293" s="5" t="n">
        <v>1</v>
      </c>
      <c r="W293" s="5" t="n"/>
    </row>
    <row r="294">
      <c r="A294" t="inlineStr">
        <is>
          <t>redalert</t>
        </is>
      </c>
      <c r="B294" t="inlineStr">
        <is>
          <t>ra1_soviets_promotion_unlockcyberdog</t>
        </is>
      </c>
      <c r="C294" t="inlineStr">
        <is>
          <t>Unlock Cyberdog</t>
        </is>
      </c>
      <c r="D294" t="inlineStr"/>
      <c r="E294" s="5" t="n"/>
      <c r="F294" s="5" t="n"/>
      <c r="H294" s="5" t="n">
        <v>1</v>
      </c>
      <c r="I294" s="5" t="n">
        <v>1</v>
      </c>
      <c r="J294" s="5" t="n">
        <v>1</v>
      </c>
      <c r="W294" s="5" t="n"/>
    </row>
    <row r="295">
      <c r="A295" t="inlineStr">
        <is>
          <t>redalert</t>
        </is>
      </c>
      <c r="B295" t="inlineStr">
        <is>
          <t>ra1_soviets_promotion_unlockgatlingtank</t>
        </is>
      </c>
      <c r="C295" t="inlineStr">
        <is>
          <t>Unlock Gatling Tank</t>
        </is>
      </c>
      <c r="D295" t="inlineStr"/>
      <c r="E295" s="5" t="n"/>
      <c r="F295" s="5" t="n"/>
      <c r="H295" s="5" t="n">
        <v>1</v>
      </c>
      <c r="I295" s="5" t="n">
        <v>1</v>
      </c>
      <c r="J295" s="5" t="n">
        <v>1</v>
      </c>
      <c r="W295" s="5" t="n"/>
    </row>
    <row r="296">
      <c r="A296" t="inlineStr">
        <is>
          <t>redalert</t>
        </is>
      </c>
      <c r="B296" t="inlineStr">
        <is>
          <t>ra1_soviets_promotion_unlockmonstertank</t>
        </is>
      </c>
      <c r="C296" t="inlineStr">
        <is>
          <t>Unlock Monster Tank</t>
        </is>
      </c>
      <c r="D296" t="inlineStr"/>
      <c r="E296" s="5" t="n"/>
      <c r="F296" s="5" t="n"/>
      <c r="H296" s="5" t="n">
        <v>1</v>
      </c>
      <c r="I296" s="5" t="n">
        <v>1</v>
      </c>
      <c r="J296" s="5" t="n">
        <v>1</v>
      </c>
      <c r="W296" s="5" t="n"/>
    </row>
    <row r="297">
      <c r="A297" t="inlineStr">
        <is>
          <t>redalert</t>
        </is>
      </c>
      <c r="B297" t="inlineStr">
        <is>
          <t>ra1_soviets_promotion_unlockmortarsoldier</t>
        </is>
      </c>
      <c r="C297" t="inlineStr">
        <is>
          <t>Unlock Mortar Soldier</t>
        </is>
      </c>
      <c r="D297" t="inlineStr"/>
      <c r="E297" s="5" t="n"/>
      <c r="F297" s="5" t="n"/>
      <c r="H297" s="5" t="n">
        <v>1</v>
      </c>
      <c r="I297" s="5" t="n">
        <v>1</v>
      </c>
      <c r="J297" s="5" t="n">
        <v>1</v>
      </c>
      <c r="W297" s="5" t="n"/>
    </row>
    <row r="298">
      <c r="A298" t="inlineStr">
        <is>
          <t>redalert</t>
        </is>
      </c>
      <c r="B298" t="inlineStr">
        <is>
          <t>ra1_soviets_promotion_unlocksupersonicnuclearbomber</t>
        </is>
      </c>
      <c r="C298" t="inlineStr">
        <is>
          <t>Unlock Supersonic Nuclear Bomber</t>
        </is>
      </c>
      <c r="D298" t="inlineStr"/>
      <c r="E298" s="5" t="n"/>
      <c r="F298" s="5" t="n"/>
      <c r="H298" s="5" t="n">
        <v>1</v>
      </c>
      <c r="I298" s="5" t="n">
        <v>1</v>
      </c>
      <c r="J298" s="5" t="n">
        <v>1</v>
      </c>
      <c r="W298" s="5" t="n"/>
    </row>
    <row r="299">
      <c r="A299" t="inlineStr">
        <is>
          <t>redalert</t>
        </is>
      </c>
      <c r="B299" t="inlineStr">
        <is>
          <t>ra1_soviets_promotion_unlockvolkov</t>
        </is>
      </c>
      <c r="C299" t="inlineStr">
        <is>
          <t>Unlock Volkov</t>
        </is>
      </c>
      <c r="D299" t="inlineStr"/>
      <c r="E299" s="5" t="n"/>
      <c r="F299" s="5" t="n"/>
      <c r="H299" s="5" t="n">
        <v>1</v>
      </c>
      <c r="I299" s="5" t="n">
        <v>1</v>
      </c>
      <c r="J299" s="5" t="n">
        <v>1</v>
      </c>
      <c r="W299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300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shared</t>
        </is>
      </c>
      <c r="B3" t="inlineStr">
        <is>
          <t>engineer</t>
        </is>
      </c>
      <c r="C3" t="inlineStr">
        <is>
          <t>Engineer</t>
        </is>
      </c>
      <c r="D3" t="inlineStr"/>
      <c r="E3" s="5" t="n">
        <v>5000</v>
      </c>
      <c r="F3" s="5" t="n">
        <v>50</v>
      </c>
      <c r="G3" t="inlineStr">
        <is>
          <t>None</t>
        </is>
      </c>
      <c r="H3" s="5" t="n">
        <v>1</v>
      </c>
      <c r="I3" s="5" t="n">
        <v>1</v>
      </c>
      <c r="J3" s="5" t="n">
        <v>1</v>
      </c>
      <c r="O3">
        <f>MAX(O4,O5)</f>
        <v/>
      </c>
      <c r="R3">
        <f>R4+R5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500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DefuseKit</t>
        </is>
      </c>
      <c r="C4" s="6" t="inlineStr">
        <is>
          <t>Armament@defuse</t>
        </is>
      </c>
      <c r="K4" s="5" t="n"/>
      <c r="L4" s="5" t="n">
        <v>20</v>
      </c>
      <c r="M4" s="5" t="n">
        <v>1</v>
      </c>
      <c r="N4" s="5" t="n"/>
      <c r="O4" s="5" t="n">
        <v>1536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^RemovesIvanBombs, ^RemovesTerrorDrone</t>
        </is>
      </c>
    </row>
    <row r="5">
      <c r="B5" s="6" t="inlineStr">
        <is>
          <t xml:space="preserve">  ↳ LeechDisinfect</t>
        </is>
      </c>
      <c r="C5" s="6" t="inlineStr">
        <is>
          <t>Armament@leechdisinfect</t>
        </is>
      </c>
      <c r="K5" s="5" t="n"/>
      <c r="L5" s="5" t="n">
        <v>100</v>
      </c>
      <c r="M5" s="5" t="n">
        <v>1</v>
      </c>
      <c r="N5" s="5" t="n"/>
      <c r="O5" s="5" t="n">
        <v>1536</v>
      </c>
      <c r="P5" s="5" t="n">
        <v>1</v>
      </c>
      <c r="Q5">
        <f>L5+IF(M5&gt;1,N(N5)*(M5-1),0)</f>
        <v/>
      </c>
      <c r="R5">
        <f>IFERROR(K5*MAX(M5,1)/Q5*P5,0)</f>
        <v/>
      </c>
      <c r="AA5" s="6" t="inlineStr"/>
    </row>
    <row r="6">
      <c r="A6" t="inlineStr">
        <is>
          <t>shared</t>
        </is>
      </c>
      <c r="B6" t="inlineStr">
        <is>
          <t>fremen_creep</t>
        </is>
      </c>
      <c r="C6" t="inlineStr">
        <is>
          <t>Fremen Warrior</t>
        </is>
      </c>
      <c r="D6" t="inlineStr"/>
      <c r="E6" s="5" t="n">
        <v>25000</v>
      </c>
      <c r="F6" s="5" t="n">
        <v>50</v>
      </c>
      <c r="G6" t="inlineStr">
        <is>
          <t>None</t>
        </is>
      </c>
      <c r="H6" s="5" t="n">
        <v>1</v>
      </c>
      <c r="I6" s="5" t="n">
        <v>1</v>
      </c>
      <c r="J6" s="5" t="n">
        <v>1</v>
      </c>
      <c r="O6">
        <f>MAX(O7,O8)</f>
        <v/>
      </c>
      <c r="R6">
        <f>R7+R8</f>
        <v/>
      </c>
      <c r="S6">
        <f>(E6/100000+F6/100+(O6/1000)*J6/5+R6/200)*200*I6*H6</f>
        <v/>
      </c>
      <c r="T6">
        <f>((E6*F6/25000)+((O6/1000)*J6*R6/2.5))*I6*H6</f>
        <v/>
      </c>
      <c r="U6">
        <f>(E6*F6*(O6/1000)*J6*R6*I6*H6)/12500000</f>
        <v/>
      </c>
      <c r="V6">
        <f>(S6+T6+U6)/3</f>
        <v/>
      </c>
      <c r="W6" s="5" t="n">
        <v>500</v>
      </c>
      <c r="X6">
        <f>IFERROR(V6-W6,"")</f>
        <v/>
      </c>
      <c r="Y6">
        <f>IFERROR(ABS(X6)/MAX(W6,1),"")</f>
        <v/>
      </c>
      <c r="Z6">
        <f>IFERROR((W6-(((E6/100000+F6/100+R6/200)*200*I6*H6)+((E6*F6/25000)*I6*H6))/3)/(((J6/5)*200*I6*H6)+((J6*R6/2.5)*I6*H6)+((E6*F6*J6*R6*I6*H6)/12500000))/3*1000,"")</f>
        <v/>
      </c>
    </row>
    <row r="7">
      <c r="B7" s="6" t="inlineStr">
        <is>
          <t xml:space="preserve">  ↳ HMG_fremen</t>
        </is>
      </c>
      <c r="C7" s="6" t="inlineStr">
        <is>
          <t>Armament@PRIMARY</t>
        </is>
      </c>
      <c r="K7" s="5" t="n">
        <v>2000</v>
      </c>
      <c r="L7" s="5" t="n">
        <v>20</v>
      </c>
      <c r="M7" s="5" t="n">
        <v>1</v>
      </c>
      <c r="N7" s="5" t="n"/>
      <c r="O7" s="5" t="n">
        <v>3072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^Chaingun, ^SmallArms</t>
        </is>
      </c>
    </row>
    <row r="8">
      <c r="B8" s="6" t="inlineStr">
        <is>
          <t xml:space="preserve">  ↳ Fremen_RPG</t>
        </is>
      </c>
      <c r="C8" s="6" t="inlineStr">
        <is>
          <t>Armament@SECONDARY</t>
        </is>
      </c>
      <c r="K8" s="5" t="n">
        <v>3200</v>
      </c>
      <c r="L8" s="5" t="n">
        <v>45</v>
      </c>
      <c r="M8" s="5" t="n">
        <v>1</v>
      </c>
      <c r="N8" s="5" t="n"/>
      <c r="O8" s="5" t="n">
        <v>4864</v>
      </c>
      <c r="P8" s="5" t="n">
        <v>1</v>
      </c>
      <c r="Q8">
        <f>L8+IF(M8&gt;1,N(N8)*(M8-1),0)</f>
        <v/>
      </c>
      <c r="R8">
        <f>IFERROR(K8*MAX(M8,1)/Q8*P8,0)</f>
        <v/>
      </c>
      <c r="AA8" s="6" t="inlineStr">
        <is>
          <t>^D2KMissile</t>
        </is>
      </c>
    </row>
    <row r="9">
      <c r="A9" t="inlineStr">
        <is>
          <t>shared</t>
        </is>
      </c>
      <c r="B9" t="inlineStr">
        <is>
          <t>light_inf</t>
        </is>
      </c>
      <c r="C9" t="inlineStr">
        <is>
          <t>Light Infantry</t>
        </is>
      </c>
      <c r="D9" t="inlineStr"/>
      <c r="E9" s="5" t="n">
        <v>36000</v>
      </c>
      <c r="F9" s="5" t="n">
        <v>52</v>
      </c>
      <c r="G9" t="inlineStr">
        <is>
          <t>None</t>
        </is>
      </c>
      <c r="H9" s="5" t="n">
        <v>1</v>
      </c>
      <c r="I9" s="5" t="n">
        <v>1</v>
      </c>
      <c r="J9" s="5" t="n">
        <v>1</v>
      </c>
      <c r="O9">
        <f>MAX(O10,O11)</f>
        <v/>
      </c>
      <c r="R9">
        <f>R10+R11</f>
        <v/>
      </c>
      <c r="S9">
        <f>(E9/100000+F9/100+(O9/1000)*J9/5+R9/200)*200*I9*H9</f>
        <v/>
      </c>
      <c r="T9">
        <f>((E9*F9/25000)+((O9/1000)*J9*R9/2.5))*I9*H9</f>
        <v/>
      </c>
      <c r="U9">
        <f>(E9*F9*(O9/1000)*J9*R9*I9*H9)/12500000</f>
        <v/>
      </c>
      <c r="V9">
        <f>(S9+T9+U9)/3</f>
        <v/>
      </c>
      <c r="W9" s="5" t="n">
        <v>150</v>
      </c>
      <c r="X9">
        <f>IFERROR(V9-W9,"")</f>
        <v/>
      </c>
      <c r="Y9">
        <f>IFERROR(ABS(X9)/MAX(W9,1),"")</f>
        <v/>
      </c>
      <c r="Z9">
        <f>IFERROR((W9-(((E9/100000+F9/100+R9/200)*200*I9*H9)+((E9*F9/25000)*I9*H9))/3)/(((J9/5)*200*I9*H9)+((J9*R9/2.5)*I9*H9)+((E9*F9*J9*R9*I9*H9)/12500000))/3*1000,"")</f>
        <v/>
      </c>
    </row>
    <row r="10">
      <c r="B10" s="6" t="inlineStr">
        <is>
          <t xml:space="preserve">  ↳ light_inf_lmg</t>
        </is>
      </c>
      <c r="C10" s="6" t="inlineStr">
        <is>
          <t>Armament@PRIMARY</t>
        </is>
      </c>
      <c r="K10" s="5" t="n">
        <v>2000</v>
      </c>
      <c r="L10" s="5" t="n">
        <v>20</v>
      </c>
      <c r="M10" s="5" t="n">
        <v>1</v>
      </c>
      <c r="N10" s="5" t="n"/>
      <c r="O10" s="5" t="n">
        <v>4500</v>
      </c>
      <c r="P10" s="5" t="n">
        <v>1</v>
      </c>
      <c r="Q10">
        <f>L10+IF(M10&gt;1,N(N10)*(M10-1),0)</f>
        <v/>
      </c>
      <c r="R10">
        <f>IFERROR(K10*MAX(M10,1)/Q10*P10,0)</f>
        <v/>
      </c>
      <c r="AA10" s="6" t="inlineStr">
        <is>
          <t>^Chaingun, ^SmallArms</t>
        </is>
      </c>
    </row>
    <row r="11">
      <c r="B11" s="6" t="inlineStr">
        <is>
          <t xml:space="preserve">  ↳ light_inf_lmg_upgrade</t>
        </is>
      </c>
      <c r="C11" s="6" t="inlineStr">
        <is>
          <t>Armament@Upgrade</t>
        </is>
      </c>
      <c r="K11" s="5" t="n">
        <v>2000</v>
      </c>
      <c r="L11" s="5" t="n">
        <v>20</v>
      </c>
      <c r="M11" s="5" t="n">
        <v>1</v>
      </c>
      <c r="N11" s="5" t="n"/>
      <c r="O11" s="5" t="n">
        <v>4500</v>
      </c>
      <c r="P11" s="5" t="n">
        <v>1</v>
      </c>
      <c r="Q11">
        <f>L11+IF(M11&gt;1,N(N11)*(M11-1),0)</f>
        <v/>
      </c>
      <c r="R11">
        <f>IFERROR(K11*MAX(M11,1)/Q11*P11,0)</f>
        <v/>
      </c>
      <c r="AA11" s="6" t="inlineStr">
        <is>
          <t>^HeavyCannon, ^Chaingun, ^SmallArms, ^HeavyMachineGunProjectile</t>
        </is>
      </c>
    </row>
    <row r="12">
      <c r="B12" s="6" t="inlineStr">
        <is>
          <t xml:space="preserve">  ↳ light_inf_lmg</t>
        </is>
      </c>
      <c r="C12" s="6" t="inlineStr">
        <is>
          <t>Armament@GARRISONED</t>
        </is>
      </c>
      <c r="K12" s="5" t="n">
        <v>2000</v>
      </c>
      <c r="L12" s="5" t="n">
        <v>20</v>
      </c>
      <c r="M12" s="5" t="n">
        <v>1</v>
      </c>
      <c r="N12" s="5" t="n"/>
      <c r="O12" s="5" t="n">
        <v>4500</v>
      </c>
      <c r="P12" s="5" t="n">
        <v>1</v>
      </c>
      <c r="Q12">
        <f>L12+IF(M12&gt;1,N(N12)*(M12-1),0)</f>
        <v/>
      </c>
      <c r="R12">
        <f>IFERROR(K12*MAX(M12,1)/Q12*P12,0)</f>
        <v/>
      </c>
      <c r="AA12" s="6" t="inlineStr">
        <is>
          <t>^Chaingun, ^SmallArms</t>
        </is>
      </c>
    </row>
    <row r="13">
      <c r="B13" s="6" t="inlineStr">
        <is>
          <t xml:space="preserve">  ↳ light_inf_lmg_upgrade</t>
        </is>
      </c>
      <c r="C13" s="6" t="inlineStr">
        <is>
          <t>Armament@UpgradeGARRISONED</t>
        </is>
      </c>
      <c r="K13" s="5" t="n">
        <v>2000</v>
      </c>
      <c r="L13" s="5" t="n">
        <v>20</v>
      </c>
      <c r="M13" s="5" t="n">
        <v>1</v>
      </c>
      <c r="N13" s="5" t="n"/>
      <c r="O13" s="5" t="n">
        <v>4500</v>
      </c>
      <c r="P13" s="5" t="n">
        <v>1</v>
      </c>
      <c r="Q13">
        <f>L13+IF(M13&gt;1,N(N13)*(M13-1),0)</f>
        <v/>
      </c>
      <c r="R13">
        <f>IFERROR(K13*MAX(M13,1)/Q13*P13,0)</f>
        <v/>
      </c>
      <c r="AA13" s="6" t="inlineStr">
        <is>
          <t>^HeavyCannon, ^Chaingun, ^SmallArms, ^HeavyMachineGunProjectile</t>
        </is>
      </c>
    </row>
    <row r="14">
      <c r="A14" t="inlineStr">
        <is>
          <t>shared</t>
        </is>
      </c>
      <c r="B14" t="inlineStr">
        <is>
          <t>trooper</t>
        </is>
      </c>
      <c r="C14" t="inlineStr">
        <is>
          <t>Rocket Trooper</t>
        </is>
      </c>
      <c r="D14" t="inlineStr"/>
      <c r="E14" s="5" t="n">
        <v>12000</v>
      </c>
      <c r="F14" s="5" t="n">
        <v>48</v>
      </c>
      <c r="G14" t="inlineStr">
        <is>
          <t>Flak</t>
        </is>
      </c>
      <c r="H14" s="5" t="n">
        <v>1</v>
      </c>
      <c r="I14" s="5" t="n">
        <v>1</v>
      </c>
      <c r="J14" s="5" t="n">
        <v>1</v>
      </c>
      <c r="O14">
        <f>MAX(O15)</f>
        <v/>
      </c>
      <c r="R14">
        <f>R15</f>
        <v/>
      </c>
      <c r="S14">
        <f>(E14/100000+F14/100+(O14/1000)*J14/5+R14/200)*200*I14*H14</f>
        <v/>
      </c>
      <c r="T14">
        <f>((E14*F14/25000)+((O14/1000)*J14*R14/2.5))*I14*H14</f>
        <v/>
      </c>
      <c r="U14">
        <f>(E14*F14*(O14/1000)*J14*R14*I14*H14)/12500000</f>
        <v/>
      </c>
      <c r="V14">
        <f>(S14+T14+U14)/3</f>
        <v/>
      </c>
      <c r="W14" s="5" t="n">
        <v>300</v>
      </c>
      <c r="X14">
        <f>IFERROR(V14-W14,"")</f>
        <v/>
      </c>
      <c r="Y14">
        <f>IFERROR(ABS(X14)/MAX(W14,1),"")</f>
        <v/>
      </c>
      <c r="Z14">
        <f>IFERROR((W14-(((E14/100000+F14/100+R14/200)*200*I14*H14)+((E14*F14/25000)*I14*H14))/3)/(((J14/5)*200*I14*H14)+((J14*R14/2.5)*I14*H14)+((E14*F14*J14*R14*I14*H14)/12500000))/3*1000,"")</f>
        <v/>
      </c>
    </row>
    <row r="15">
      <c r="B15" s="6" t="inlineStr">
        <is>
          <t xml:space="preserve">  ↳ D2K_Rocket_Trooper</t>
        </is>
      </c>
      <c r="C15" s="6" t="inlineStr">
        <is>
          <t>Armament</t>
        </is>
      </c>
      <c r="K15" s="5" t="n">
        <v>8000</v>
      </c>
      <c r="L15" s="5" t="n">
        <v>64</v>
      </c>
      <c r="M15" s="5" t="n">
        <v>1</v>
      </c>
      <c r="N15" s="5" t="n"/>
      <c r="O15" s="5" t="n">
        <v>6185</v>
      </c>
      <c r="P15" s="5" t="n">
        <v>1</v>
      </c>
      <c r="Q15">
        <f>L15+IF(M15&gt;1,N(N15)*(M15-1),0)</f>
        <v/>
      </c>
      <c r="R15">
        <f>IFERROR(K15*MAX(M15,1)/Q15*P15,0)</f>
        <v/>
      </c>
      <c r="AA15" s="6" t="inlineStr">
        <is>
          <t>^LightMissile, ^MediumMissile, ^D2KRocket</t>
        </is>
      </c>
    </row>
    <row r="16">
      <c r="B16" s="6" t="inlineStr">
        <is>
          <t xml:space="preserve">  ↳ D2K_Rocket_Trooper</t>
        </is>
      </c>
      <c r="C16" s="6" t="inlineStr">
        <is>
          <t>Armament@garrisoned</t>
        </is>
      </c>
      <c r="K16" s="5" t="n">
        <v>8000</v>
      </c>
      <c r="L16" s="5" t="n">
        <v>64</v>
      </c>
      <c r="M16" s="5" t="n">
        <v>1</v>
      </c>
      <c r="N16" s="5" t="n"/>
      <c r="O16" s="5" t="n">
        <v>6185</v>
      </c>
      <c r="P16" s="5" t="n">
        <v>1</v>
      </c>
      <c r="Q16">
        <f>L16+IF(M16&gt;1,N(N16)*(M16-1),0)</f>
        <v/>
      </c>
      <c r="R16">
        <f>IFERROR(K16*MAX(M16,1)/Q16*P16,0)</f>
        <v/>
      </c>
      <c r="AA16" s="6" t="inlineStr">
        <is>
          <t>^LightMissile, ^MediumMissile, ^D2KRocket</t>
        </is>
      </c>
    </row>
    <row r="17">
      <c r="A17" s="3" t="inlineStr">
        <is>
          <t>VEHICLES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</row>
    <row r="18">
      <c r="A18" t="inlineStr">
        <is>
          <t>shared</t>
        </is>
      </c>
      <c r="B18" t="inlineStr">
        <is>
          <t>siege_tank</t>
        </is>
      </c>
      <c r="C18" t="inlineStr">
        <is>
          <t>Siege Tank</t>
        </is>
      </c>
      <c r="D18" t="inlineStr"/>
      <c r="E18" s="5" t="n">
        <v>40000</v>
      </c>
      <c r="F18" s="5" t="n">
        <v>43</v>
      </c>
      <c r="G18" t="inlineStr">
        <is>
          <t>Light</t>
        </is>
      </c>
      <c r="H18" s="5" t="n">
        <v>1</v>
      </c>
      <c r="I18" s="5" t="n">
        <v>1</v>
      </c>
      <c r="J18" s="5" t="n">
        <v>1</v>
      </c>
      <c r="O18">
        <f>MAX(O19)</f>
        <v/>
      </c>
      <c r="R18">
        <f>R19</f>
        <v/>
      </c>
      <c r="S18">
        <f>(E18/100000+F18/100+(O18/1000)*J18/5+R18/200)*200*I18*H18</f>
        <v/>
      </c>
      <c r="T18">
        <f>((E18*F18/25000)+((O18/1000)*J18*R18/2.5))*I18*H18</f>
        <v/>
      </c>
      <c r="U18">
        <f>(E18*F18*(O18/1000)*J18*R18*I18*H18)/12500000</f>
        <v/>
      </c>
      <c r="V18">
        <f>(S18+T18+U18)/3</f>
        <v/>
      </c>
      <c r="W18" s="5" t="n">
        <v>600</v>
      </c>
      <c r="X18">
        <f>IFERROR(V18-W18,"")</f>
        <v/>
      </c>
      <c r="Y18">
        <f>IFERROR(ABS(X18)/MAX(W18,1),"")</f>
        <v/>
      </c>
      <c r="Z18">
        <f>IFERROR((W18-(((E18/100000+F18/100+R18/200)*200*I18*H18)+((E18*F18/25000)*I18*H18))/3)/(((J18/5)*200*I18*H18)+((J18*R18/2.5)*I18*H18)+((E18*F18*J18*R18*I18*H18)/12500000))/3*1000,"")</f>
        <v/>
      </c>
    </row>
    <row r="19">
      <c r="B19" s="6" t="inlineStr">
        <is>
          <t xml:space="preserve">  ↳ D2K_155mm</t>
        </is>
      </c>
      <c r="C19" s="6" t="inlineStr">
        <is>
          <t>Armament</t>
        </is>
      </c>
      <c r="K19" s="5" t="n">
        <v>12000</v>
      </c>
      <c r="L19" s="5" t="n">
        <v>74</v>
      </c>
      <c r="M19" s="5" t="n">
        <v>1</v>
      </c>
      <c r="N19" s="5" t="n"/>
      <c r="O19" s="5" t="n">
        <v>10000</v>
      </c>
      <c r="P19" s="5" t="n">
        <v>1</v>
      </c>
      <c r="Q19">
        <f>L19+IF(M19&gt;1,N(N19)*(M19-1),0)</f>
        <v/>
      </c>
      <c r="R19">
        <f>IFERROR(K19*MAX(M19,1)/Q19*P19,0)</f>
        <v/>
      </c>
      <c r="AA19" s="6" t="inlineStr">
        <is>
          <t>^Grenade, ^ShrapnelWeapon, ^HeavyBomb, ^D2K_Cannon</t>
        </is>
      </c>
    </row>
    <row r="20">
      <c r="A20" s="3" t="inlineStr">
        <is>
          <t>AIRCRAFT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>
      <c r="A21" t="inlineStr">
        <is>
          <t>shared</t>
        </is>
      </c>
      <c r="B21" t="inlineStr">
        <is>
          <t>carryall</t>
        </is>
      </c>
      <c r="C21" t="inlineStr">
        <is>
          <t>Autonomous Carryall</t>
        </is>
      </c>
      <c r="D21" t="inlineStr"/>
      <c r="E21" s="5" t="n">
        <v>200000</v>
      </c>
      <c r="F21" s="5" t="n">
        <v>156</v>
      </c>
      <c r="G21" t="inlineStr">
        <is>
          <t>Bomber</t>
        </is>
      </c>
      <c r="H21" s="5" t="n">
        <v>1</v>
      </c>
      <c r="I21" s="5" t="n">
        <v>1</v>
      </c>
      <c r="J21" s="5" t="n">
        <v>1</v>
      </c>
      <c r="W21" s="5" t="n">
        <v>2000</v>
      </c>
    </row>
    <row r="22">
      <c r="A22" t="inlineStr">
        <is>
          <t>shared</t>
        </is>
      </c>
      <c r="B22" t="inlineStr">
        <is>
          <t>carryall.paradrop</t>
        </is>
      </c>
      <c r="C22" t="inlineStr">
        <is>
          <t>Autonomous Carryall</t>
        </is>
      </c>
      <c r="D22" t="inlineStr"/>
      <c r="E22" s="5" t="n">
        <v>500000</v>
      </c>
      <c r="F22" s="5" t="n">
        <v>156</v>
      </c>
      <c r="G22" t="inlineStr">
        <is>
          <t>Bomber</t>
        </is>
      </c>
      <c r="H22" s="5" t="n">
        <v>1</v>
      </c>
      <c r="I22" s="5" t="n">
        <v>1</v>
      </c>
      <c r="J22" s="5" t="n">
        <v>1</v>
      </c>
      <c r="W22" s="5" t="n">
        <v>5000</v>
      </c>
    </row>
    <row r="23">
      <c r="A23" t="inlineStr">
        <is>
          <t>shared</t>
        </is>
      </c>
      <c r="B23" t="inlineStr">
        <is>
          <t>carryall.reinforce</t>
        </is>
      </c>
      <c r="C23" t="inlineStr">
        <is>
          <t>Autonomous Carryall</t>
        </is>
      </c>
      <c r="D23" t="inlineStr"/>
      <c r="E23" s="5" t="n">
        <v>500000</v>
      </c>
      <c r="F23" s="5" t="n">
        <v>156</v>
      </c>
      <c r="G23" t="inlineStr">
        <is>
          <t>Bomber</t>
        </is>
      </c>
      <c r="H23" s="5" t="n">
        <v>1</v>
      </c>
      <c r="I23" s="5" t="n">
        <v>1</v>
      </c>
      <c r="J23" s="5" t="n">
        <v>1</v>
      </c>
      <c r="W23" s="5" t="n">
        <v>5000</v>
      </c>
    </row>
    <row r="24">
      <c r="A24" s="3" t="inlineStr">
        <is>
          <t>BUILDINGS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>
      <c r="A25" t="inlineStr">
        <is>
          <t>shared</t>
        </is>
      </c>
      <c r="B25" t="inlineStr">
        <is>
          <t>OILB.d2k</t>
        </is>
      </c>
      <c r="C25" t="inlineStr">
        <is>
          <t>Spice Sifter</t>
        </is>
      </c>
      <c r="D25" t="inlineStr"/>
      <c r="E25" s="5" t="n">
        <v>250000</v>
      </c>
      <c r="F25" s="5" t="n"/>
      <c r="G25" t="inlineStr">
        <is>
          <t>Wood</t>
        </is>
      </c>
      <c r="H25" s="5" t="n">
        <v>1</v>
      </c>
      <c r="I25" s="5" t="n">
        <v>1</v>
      </c>
      <c r="J25" s="5" t="n">
        <v>1</v>
      </c>
      <c r="W25" s="5" t="n">
        <v>2500</v>
      </c>
    </row>
    <row r="26">
      <c r="A26" t="inlineStr">
        <is>
          <t>shared</t>
        </is>
      </c>
      <c r="B26" t="inlineStr">
        <is>
          <t>concreteabuilding</t>
        </is>
      </c>
      <c r="C26" t="inlineStr">
        <is>
          <t>Concrete Slab</t>
        </is>
      </c>
      <c r="D26" t="inlineStr"/>
      <c r="E26" s="5" t="n"/>
      <c r="F26" s="5" t="n"/>
      <c r="H26" s="5" t="n">
        <v>1</v>
      </c>
      <c r="I26" s="5" t="n">
        <v>1</v>
      </c>
      <c r="J26" s="5" t="n">
        <v>1</v>
      </c>
      <c r="W26" s="5" t="n">
        <v>500</v>
      </c>
    </row>
    <row r="27">
      <c r="A27" t="inlineStr">
        <is>
          <t>shared</t>
        </is>
      </c>
      <c r="B27" t="inlineStr">
        <is>
          <t>concreteadefense</t>
        </is>
      </c>
      <c r="C27" t="inlineStr">
        <is>
          <t>Concrete Slab</t>
        </is>
      </c>
      <c r="D27" t="inlineStr"/>
      <c r="E27" s="5" t="n"/>
      <c r="F27" s="5" t="n"/>
      <c r="H27" s="5" t="n">
        <v>1</v>
      </c>
      <c r="I27" s="5" t="n">
        <v>1</v>
      </c>
      <c r="J27" s="5" t="n">
        <v>1</v>
      </c>
      <c r="W27" s="5" t="n">
        <v>500</v>
      </c>
    </row>
    <row r="28">
      <c r="A28" t="inlineStr">
        <is>
          <t>shared</t>
        </is>
      </c>
      <c r="B28" t="inlineStr">
        <is>
          <t>concretebbuilding</t>
        </is>
      </c>
      <c r="C28" t="inlineStr">
        <is>
          <t>Large Concrete Slab</t>
        </is>
      </c>
      <c r="D28" t="inlineStr"/>
      <c r="E28" s="5" t="n"/>
      <c r="F28" s="5" t="n"/>
      <c r="H28" s="5" t="n">
        <v>1</v>
      </c>
      <c r="I28" s="5" t="n">
        <v>1</v>
      </c>
      <c r="J28" s="5" t="n">
        <v>1</v>
      </c>
      <c r="W28" s="5" t="n">
        <v>500</v>
      </c>
    </row>
    <row r="29">
      <c r="A29" t="inlineStr">
        <is>
          <t>shared</t>
        </is>
      </c>
      <c r="B29" t="inlineStr">
        <is>
          <t>concretebdefense</t>
        </is>
      </c>
      <c r="C29" t="inlineStr">
        <is>
          <t>Large Concrete Slab</t>
        </is>
      </c>
      <c r="D29" t="inlineStr"/>
      <c r="E29" s="5" t="n"/>
      <c r="F29" s="5" t="n"/>
      <c r="H29" s="5" t="n">
        <v>1</v>
      </c>
      <c r="I29" s="5" t="n">
        <v>1</v>
      </c>
      <c r="J29" s="5" t="n">
        <v>1</v>
      </c>
      <c r="W29" s="5" t="n">
        <v>500</v>
      </c>
    </row>
    <row r="30">
      <c r="A30" t="inlineStr">
        <is>
          <t>shared</t>
        </is>
      </c>
      <c r="B30" t="inlineStr">
        <is>
          <t>heavy_factory</t>
        </is>
      </c>
      <c r="C30" t="inlineStr">
        <is>
          <t>Heavy Factory</t>
        </is>
      </c>
      <c r="D30" t="inlineStr"/>
      <c r="E30" s="5" t="n">
        <v>400000</v>
      </c>
      <c r="F30" s="5" t="n"/>
      <c r="G30" t="inlineStr">
        <is>
          <t>Concrete</t>
        </is>
      </c>
      <c r="H30" s="5" t="n">
        <v>1</v>
      </c>
      <c r="I30" s="5" t="n">
        <v>1</v>
      </c>
      <c r="J30" s="5" t="n">
        <v>1</v>
      </c>
      <c r="W30" s="5" t="n">
        <v>2000</v>
      </c>
    </row>
    <row r="31">
      <c r="A31" t="inlineStr">
        <is>
          <t>shared</t>
        </is>
      </c>
      <c r="B31" t="inlineStr">
        <is>
          <t>light_factory</t>
        </is>
      </c>
      <c r="C31" t="inlineStr">
        <is>
          <t>Light Factory</t>
        </is>
      </c>
      <c r="D31" t="inlineStr"/>
      <c r="E31" s="5" t="n">
        <v>200000</v>
      </c>
      <c r="F31" s="5" t="n"/>
      <c r="G31" t="inlineStr">
        <is>
          <t>Concrete</t>
        </is>
      </c>
      <c r="H31" s="5" t="n">
        <v>1</v>
      </c>
      <c r="I31" s="5" t="n">
        <v>1</v>
      </c>
      <c r="J31" s="5" t="n">
        <v>1</v>
      </c>
      <c r="W31" s="5" t="n">
        <v>1000</v>
      </c>
    </row>
    <row r="32">
      <c r="A32" t="inlineStr">
        <is>
          <t>shared</t>
        </is>
      </c>
      <c r="B32" t="inlineStr">
        <is>
          <t>wall</t>
        </is>
      </c>
      <c r="C32" t="inlineStr">
        <is>
          <t>Concrete Wall</t>
        </is>
      </c>
      <c r="D32" t="inlineStr"/>
      <c r="E32" s="5" t="n">
        <v>26000</v>
      </c>
      <c r="F32" s="5" t="n"/>
      <c r="G32" t="inlineStr">
        <is>
          <t>Concrete</t>
        </is>
      </c>
      <c r="H32" s="5" t="n">
        <v>1</v>
      </c>
      <c r="I32" s="5" t="n">
        <v>1</v>
      </c>
      <c r="J32" s="5" t="n">
        <v>1</v>
      </c>
      <c r="W32" s="5" t="n">
        <v>125</v>
      </c>
    </row>
    <row r="33">
      <c r="A33" s="3" t="inlineStr">
        <is>
          <t>UPGRADES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>
      <c r="A34" t="inlineStr">
        <is>
          <t>shared</t>
        </is>
      </c>
      <c r="B34" t="inlineStr">
        <is>
          <t>d2k_spice_sifter_upgrade</t>
        </is>
      </c>
      <c r="C34" t="inlineStr">
        <is>
          <t>Efficient Filtering</t>
        </is>
      </c>
      <c r="D34" t="inlineStr"/>
      <c r="E34" s="5" t="n"/>
      <c r="F34" s="5" t="n"/>
      <c r="H34" s="5" t="n">
        <v>1</v>
      </c>
      <c r="I34" s="5" t="n">
        <v>1</v>
      </c>
      <c r="J34" s="5" t="n">
        <v>1</v>
      </c>
      <c r="W34" s="5" t="n">
        <v>10000</v>
      </c>
    </row>
    <row r="35">
      <c r="A35" t="inlineStr">
        <is>
          <t>shared</t>
        </is>
      </c>
      <c r="B35" t="inlineStr">
        <is>
          <t>d2k_wind_trap_upgrade</t>
        </is>
      </c>
      <c r="C35" t="inlineStr">
        <is>
          <t>Advanced Wind Traps</t>
        </is>
      </c>
      <c r="D35" t="inlineStr"/>
      <c r="E35" s="5" t="n"/>
      <c r="F35" s="5" t="n"/>
      <c r="H35" s="5" t="n">
        <v>1</v>
      </c>
      <c r="I35" s="5" t="n">
        <v>1</v>
      </c>
      <c r="J35" s="5" t="n">
        <v>1</v>
      </c>
      <c r="W35" s="5" t="n">
        <v>5000</v>
      </c>
    </row>
    <row r="36">
      <c r="A36" t="inlineStr">
        <is>
          <t>shared</t>
        </is>
      </c>
      <c r="B36" t="inlineStr">
        <is>
          <t>upgrade_barracks</t>
        </is>
      </c>
      <c r="C36" t="inlineStr">
        <is>
          <t>Barracks Upgrade</t>
        </is>
      </c>
      <c r="D36" t="inlineStr"/>
      <c r="E36" s="5" t="n"/>
      <c r="F36" s="5" t="n"/>
      <c r="H36" s="5" t="n">
        <v>1</v>
      </c>
      <c r="I36" s="5" t="n">
        <v>1</v>
      </c>
      <c r="J36" s="5" t="n">
        <v>1</v>
      </c>
      <c r="W36" s="5" t="n">
        <v>1250</v>
      </c>
    </row>
    <row r="37">
      <c r="A37" t="inlineStr">
        <is>
          <t>shared</t>
        </is>
      </c>
      <c r="B37" t="inlineStr">
        <is>
          <t>upgrade_conyard</t>
        </is>
      </c>
      <c r="C37" t="inlineStr">
        <is>
          <t>Construction Yard Upgrade</t>
        </is>
      </c>
      <c r="D37" t="inlineStr"/>
      <c r="E37" s="5" t="n"/>
      <c r="F37" s="5" t="n"/>
      <c r="H37" s="5" t="n">
        <v>1</v>
      </c>
      <c r="I37" s="5" t="n">
        <v>1</v>
      </c>
      <c r="J37" s="5" t="n">
        <v>1</v>
      </c>
      <c r="W37" s="5" t="n">
        <v>1250</v>
      </c>
    </row>
    <row r="38">
      <c r="A38" t="inlineStr">
        <is>
          <t>shared</t>
        </is>
      </c>
      <c r="B38" t="inlineStr">
        <is>
          <t>upgrade_heavy</t>
        </is>
      </c>
      <c r="C38" t="inlineStr">
        <is>
          <t>Heavy Factory Upgrade</t>
        </is>
      </c>
      <c r="D38" t="inlineStr"/>
      <c r="E38" s="5" t="n"/>
      <c r="F38" s="5" t="n"/>
      <c r="H38" s="5" t="n">
        <v>1</v>
      </c>
      <c r="I38" s="5" t="n">
        <v>1</v>
      </c>
      <c r="J38" s="5" t="n">
        <v>1</v>
      </c>
      <c r="W38" s="5" t="n">
        <v>1250</v>
      </c>
    </row>
    <row r="39">
      <c r="A39" t="inlineStr">
        <is>
          <t>shared</t>
        </is>
      </c>
      <c r="B39" t="inlineStr">
        <is>
          <t>upgrade_hightech</t>
        </is>
      </c>
      <c r="C39" t="inlineStr">
        <is>
          <t>High Tech Factory Upgrade</t>
        </is>
      </c>
      <c r="D39" t="inlineStr"/>
      <c r="E39" s="5" t="n"/>
      <c r="F39" s="5" t="n"/>
      <c r="H39" s="5" t="n">
        <v>1</v>
      </c>
      <c r="I39" s="5" t="n">
        <v>1</v>
      </c>
      <c r="J39" s="5" t="n">
        <v>1</v>
      </c>
      <c r="W39" s="5" t="n">
        <v>1250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40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0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shared</t>
        </is>
      </c>
      <c r="B3" t="inlineStr">
        <is>
          <t>ra1_agentdelphi</t>
        </is>
      </c>
      <c r="C3" t="inlineStr">
        <is>
          <t>Agent Delphi</t>
        </is>
      </c>
      <c r="D3" t="inlineStr"/>
      <c r="E3" s="5" t="n">
        <v>2500</v>
      </c>
      <c r="F3" s="5" t="n">
        <v>71</v>
      </c>
      <c r="G3" t="inlineStr">
        <is>
          <t>None</t>
        </is>
      </c>
      <c r="H3" s="5" t="n">
        <v>1</v>
      </c>
      <c r="I3" s="5" t="n">
        <v>1</v>
      </c>
      <c r="J3" s="5" t="n">
        <v>1</v>
      </c>
      <c r="O3">
        <f>MAX(O4)</f>
        <v/>
      </c>
      <c r="R3">
        <f>R4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10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Pistol</t>
        </is>
      </c>
      <c r="C4" s="6" t="inlineStr">
        <is>
          <t>Armament</t>
        </is>
      </c>
      <c r="K4" s="5" t="n">
        <v>100</v>
      </c>
      <c r="L4" s="5" t="n">
        <v>7</v>
      </c>
      <c r="M4" s="5" t="n">
        <v>1</v>
      </c>
      <c r="N4" s="5" t="n"/>
      <c r="O4" s="5" t="n">
        <v>3072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^LightMG</t>
        </is>
      </c>
    </row>
    <row r="5">
      <c r="A5" t="inlineStr">
        <is>
          <t>shared</t>
        </is>
      </c>
      <c r="B5" t="inlineStr">
        <is>
          <t>ra1_allies_alliedrocketsoldier</t>
        </is>
      </c>
      <c r="C5" t="inlineStr">
        <is>
          <t>Allied Rocket Soldier</t>
        </is>
      </c>
      <c r="D5" t="inlineStr"/>
      <c r="E5" s="5" t="n">
        <v>10000</v>
      </c>
      <c r="F5" s="5" t="n">
        <v>55</v>
      </c>
      <c r="G5" t="inlineStr">
        <is>
          <t>Flak</t>
        </is>
      </c>
      <c r="H5" s="5" t="n">
        <v>1</v>
      </c>
      <c r="I5" s="5" t="n">
        <v>1</v>
      </c>
      <c r="J5" s="5" t="n">
        <v>1</v>
      </c>
      <c r="O5">
        <f>MAX(O6,O8)</f>
        <v/>
      </c>
      <c r="R5">
        <f>R6+R8</f>
        <v/>
      </c>
      <c r="S5">
        <f>(E5/100000+F5/100+(O5/1000)*J5/5+R5/200)*200*I5*H5</f>
        <v/>
      </c>
      <c r="T5">
        <f>((E5*F5/25000)+((O5/1000)*J5*R5/2.5))*I5*H5</f>
        <v/>
      </c>
      <c r="U5">
        <f>(E5*F5*(O5/1000)*J5*R5*I5*H5)/12500000</f>
        <v/>
      </c>
      <c r="V5">
        <f>(S5+T5+U5)/3</f>
        <v/>
      </c>
      <c r="W5" s="5" t="n">
        <v>300</v>
      </c>
      <c r="X5">
        <f>IFERROR(V5-W5,"")</f>
        <v/>
      </c>
      <c r="Y5">
        <f>IFERROR(ABS(X5)/MAX(W5,1),"")</f>
        <v/>
      </c>
      <c r="Z5">
        <f>IFERROR((W5-(((E5/100000+F5/100+R5/200)*200*I5*H5)+((E5*F5/25000)*I5*H5))/3)/(((J5/5)*200*I5*H5)+((J5*R5/2.5)*I5*H5)+((E5*F5*J5*R5*I5*H5)/12500000))/3*1000,"")</f>
        <v/>
      </c>
    </row>
    <row r="6">
      <c r="B6" s="6" t="inlineStr">
        <is>
          <t xml:space="preserve">  ↳ RocketsRA</t>
        </is>
      </c>
      <c r="C6" s="6" t="inlineStr">
        <is>
          <t>Armament@PRIMARY</t>
        </is>
      </c>
      <c r="K6" s="5" t="n">
        <v>10000</v>
      </c>
      <c r="L6" s="5" t="n">
        <v>50</v>
      </c>
      <c r="M6" s="5" t="n">
        <v>1</v>
      </c>
      <c r="N6" s="5" t="n"/>
      <c r="O6" s="5" t="n">
        <v>6643</v>
      </c>
      <c r="P6" s="5" t="n">
        <v>1</v>
      </c>
      <c r="Q6">
        <f>L6+IF(M6&gt;1,N(N6)*(M6-1),0)</f>
        <v/>
      </c>
      <c r="R6">
        <f>IFERROR(K6*MAX(M6,1)/Q6*P6,0)</f>
        <v/>
      </c>
      <c r="AA6" s="6" t="inlineStr">
        <is>
          <t>^MediumMissile, ^LightMissile</t>
        </is>
      </c>
    </row>
    <row r="7">
      <c r="B7" s="6" t="inlineStr">
        <is>
          <t xml:space="preserve">  ↳ RocketsRA</t>
        </is>
      </c>
      <c r="C7" s="6" t="inlineStr">
        <is>
          <t>Armament@GARRISONED</t>
        </is>
      </c>
      <c r="K7" s="5" t="n">
        <v>10000</v>
      </c>
      <c r="L7" s="5" t="n">
        <v>50</v>
      </c>
      <c r="M7" s="5" t="n">
        <v>1</v>
      </c>
      <c r="N7" s="5" t="n"/>
      <c r="O7" s="5" t="n">
        <v>6643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^MediumMissile, ^LightMissile</t>
        </is>
      </c>
    </row>
    <row r="8">
      <c r="B8" s="6" t="inlineStr">
        <is>
          <t xml:space="preserve">  ↳ RocketsRACryo</t>
        </is>
      </c>
      <c r="C8" s="6" t="inlineStr">
        <is>
          <t>Armament@Upgrade</t>
        </is>
      </c>
      <c r="K8" s="5" t="n">
        <v>10000</v>
      </c>
      <c r="L8" s="5" t="n">
        <v>50</v>
      </c>
      <c r="M8" s="5" t="n">
        <v>1</v>
      </c>
      <c r="N8" s="5" t="n"/>
      <c r="O8" s="5" t="n">
        <v>6643</v>
      </c>
      <c r="P8" s="5" t="n">
        <v>1</v>
      </c>
      <c r="Q8">
        <f>L8+IF(M8&gt;1,N(N8)*(M8-1),0)</f>
        <v/>
      </c>
      <c r="R8">
        <f>IFERROR(K8*MAX(M8,1)/Q8*P8,0)</f>
        <v/>
      </c>
      <c r="AA8" s="6" t="inlineStr">
        <is>
          <t>^MediumMissile, ^LightMissile, ^CryoMissileProjectile</t>
        </is>
      </c>
    </row>
    <row r="9">
      <c r="B9" s="6" t="inlineStr">
        <is>
          <t xml:space="preserve">  ↳ RocketsRACryo</t>
        </is>
      </c>
      <c r="C9" s="6" t="inlineStr">
        <is>
          <t>Armament@UpgradeGARRISONED</t>
        </is>
      </c>
      <c r="K9" s="5" t="n">
        <v>10000</v>
      </c>
      <c r="L9" s="5" t="n">
        <v>50</v>
      </c>
      <c r="M9" s="5" t="n">
        <v>1</v>
      </c>
      <c r="N9" s="5" t="n"/>
      <c r="O9" s="5" t="n">
        <v>6643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>
        <is>
          <t>^MediumMissile, ^LightMissile, ^CryoMissileProjectile</t>
        </is>
      </c>
    </row>
    <row r="10">
      <c r="A10" t="inlineStr">
        <is>
          <t>shared</t>
        </is>
      </c>
      <c r="B10" t="inlineStr">
        <is>
          <t>ra1_allies_rifleinfantry</t>
        </is>
      </c>
      <c r="C10" t="inlineStr">
        <is>
          <t>Rifle Infantry</t>
        </is>
      </c>
      <c r="D10" t="inlineStr">
        <is>
          <t>scout</t>
        </is>
      </c>
      <c r="E10" s="5" t="n">
        <v>28000</v>
      </c>
      <c r="F10" s="5" t="n">
        <v>57</v>
      </c>
      <c r="G10" t="inlineStr">
        <is>
          <t>None</t>
        </is>
      </c>
      <c r="H10" s="5" t="n">
        <v>1</v>
      </c>
      <c r="I10" s="5" t="n">
        <v>1</v>
      </c>
      <c r="J10" s="5" t="n">
        <v>1</v>
      </c>
      <c r="O10">
        <f>MAX(O11,O13)</f>
        <v/>
      </c>
      <c r="R10">
        <f>R11+R13</f>
        <v/>
      </c>
      <c r="S10">
        <f>(E10/100000+F10/100+(O10/1000)*J10/5+R10/200)*200*I10*H10</f>
        <v/>
      </c>
      <c r="T10">
        <f>((E10*F10/25000)+((O10/1000)*J10*R10/2.5))*I10*H10</f>
        <v/>
      </c>
      <c r="U10">
        <f>(E10*F10*(O10/1000)*J10*R10*I10*H10)/12500000</f>
        <v/>
      </c>
      <c r="V10">
        <f>(S10+T10+U10)/3</f>
        <v/>
      </c>
      <c r="W10" s="5" t="n">
        <v>100</v>
      </c>
      <c r="X10">
        <f>IFERROR(V10-W10,"")</f>
        <v/>
      </c>
      <c r="Y10">
        <f>IFERROR(ABS(X10)/MAX(W10,1),"")</f>
        <v/>
      </c>
      <c r="Z10">
        <f>IFERROR((W10-(((E10/100000+F10/100+R10/200)*200*I10*H10)+((E10*F10/25000)*I10*H10))/3)/(((J10/5)*200*I10*H10)+((J10*R10/2.5)*I10*H10)+((E10*F10*J10*R10*I10*H10)/12500000))/3*1000,"")</f>
        <v/>
      </c>
    </row>
    <row r="11">
      <c r="B11" s="6" t="inlineStr">
        <is>
          <t xml:space="preserve">  ↳ ra1_allies_rifleinfantry_carbine</t>
        </is>
      </c>
      <c r="C11" s="6" t="inlineStr">
        <is>
          <t>Armament@PRIMARY</t>
        </is>
      </c>
      <c r="K11" s="5" t="n">
        <v>2000</v>
      </c>
      <c r="L11" s="5" t="n">
        <v>50</v>
      </c>
      <c r="M11" s="5" t="n">
        <v>3</v>
      </c>
      <c r="N11" s="5" t="n">
        <v>4</v>
      </c>
      <c r="O11" s="5" t="n">
        <v>5400</v>
      </c>
      <c r="P11" s="5" t="n">
        <v>0.75</v>
      </c>
      <c r="Q11">
        <f>L11+IF(M11&gt;1,N(N11)*(M11-1),0)</f>
        <v/>
      </c>
      <c r="R11">
        <f>IFERROR(K11*MAX(M11,1)/Q11*P11,0)</f>
        <v/>
      </c>
      <c r="AA11" s="6" t="inlineStr">
        <is>
          <t>^SmallArms</t>
        </is>
      </c>
    </row>
    <row r="12">
      <c r="B12" s="6" t="inlineStr">
        <is>
          <t xml:space="preserve">  ↳ ra1_allies_rifleinfantry_carbine</t>
        </is>
      </c>
      <c r="C12" s="6" t="inlineStr">
        <is>
          <t>Armament@GARRISONED</t>
        </is>
      </c>
      <c r="K12" s="5" t="n">
        <v>2000</v>
      </c>
      <c r="L12" s="5" t="n">
        <v>50</v>
      </c>
      <c r="M12" s="5" t="n">
        <v>3</v>
      </c>
      <c r="N12" s="5" t="n">
        <v>4</v>
      </c>
      <c r="O12" s="5" t="n">
        <v>5400</v>
      </c>
      <c r="P12" s="5" t="n">
        <v>0.75</v>
      </c>
      <c r="Q12">
        <f>L12+IF(M12&gt;1,N(N12)*(M12-1),0)</f>
        <v/>
      </c>
      <c r="R12">
        <f>IFERROR(K12*MAX(M12,1)/Q12*P12,0)</f>
        <v/>
      </c>
      <c r="AA12" s="6" t="inlineStr">
        <is>
          <t>^SmallArms</t>
        </is>
      </c>
    </row>
    <row r="13">
      <c r="B13" s="6" t="inlineStr">
        <is>
          <t xml:space="preserve">  ↳ ra1_allies_rifleinfantry_carbine_cryo</t>
        </is>
      </c>
      <c r="C13" s="6" t="inlineStr">
        <is>
          <t>Armament@Upgrade</t>
        </is>
      </c>
      <c r="K13" s="5" t="n">
        <v>2000</v>
      </c>
      <c r="L13" s="5" t="n">
        <v>50</v>
      </c>
      <c r="M13" s="5" t="n">
        <v>3</v>
      </c>
      <c r="N13" s="5" t="n">
        <v>4</v>
      </c>
      <c r="O13" s="5" t="n">
        <v>5400</v>
      </c>
      <c r="P13" s="5" t="n">
        <v>0.75</v>
      </c>
      <c r="Q13">
        <f>L13+IF(M13&gt;1,N(N13)*(M13-1),0)</f>
        <v/>
      </c>
      <c r="R13">
        <f>IFERROR(K13*MAX(M13,1)/Q13*P13,0)</f>
        <v/>
      </c>
      <c r="AA13" s="6" t="inlineStr">
        <is>
          <t>^SmallArms, ^CryoMissileProjectile</t>
        </is>
      </c>
    </row>
    <row r="14">
      <c r="B14" s="6" t="inlineStr">
        <is>
          <t xml:space="preserve">  ↳ ra1_allies_rifleinfantry_carbine_cryo</t>
        </is>
      </c>
      <c r="C14" s="6" t="inlineStr">
        <is>
          <t>Armament@UpgradeGARRISONED</t>
        </is>
      </c>
      <c r="K14" s="5" t="n">
        <v>2000</v>
      </c>
      <c r="L14" s="5" t="n">
        <v>50</v>
      </c>
      <c r="M14" s="5" t="n">
        <v>3</v>
      </c>
      <c r="N14" s="5" t="n">
        <v>4</v>
      </c>
      <c r="O14" s="5" t="n">
        <v>5400</v>
      </c>
      <c r="P14" s="5" t="n">
        <v>0.75</v>
      </c>
      <c r="Q14">
        <f>L14+IF(M14&gt;1,N(N14)*(M14-1),0)</f>
        <v/>
      </c>
      <c r="R14">
        <f>IFERROR(K14*MAX(M14,1)/Q14*P14,0)</f>
        <v/>
      </c>
      <c r="AA14" s="6" t="inlineStr">
        <is>
          <t>^SmallArms, ^CryoMissileProjectile</t>
        </is>
      </c>
    </row>
    <row r="15">
      <c r="A15" t="inlineStr">
        <is>
          <t>shared</t>
        </is>
      </c>
      <c r="B15" t="inlineStr">
        <is>
          <t>ra1_einstein</t>
        </is>
      </c>
      <c r="C15" t="inlineStr">
        <is>
          <t>Prof. Einstein</t>
        </is>
      </c>
      <c r="D15" t="inlineStr"/>
      <c r="E15" s="5" t="n">
        <v>2500</v>
      </c>
      <c r="F15" s="5" t="n">
        <v>71</v>
      </c>
      <c r="G15" t="inlineStr">
        <is>
          <t>None</t>
        </is>
      </c>
      <c r="H15" s="5" t="n">
        <v>1</v>
      </c>
      <c r="I15" s="5" t="n">
        <v>1</v>
      </c>
      <c r="J15" s="5" t="n">
        <v>1</v>
      </c>
      <c r="W15" s="5" t="n">
        <v>10</v>
      </c>
    </row>
    <row r="16">
      <c r="A16" t="inlineStr">
        <is>
          <t>shared</t>
        </is>
      </c>
      <c r="B16" t="inlineStr">
        <is>
          <t>ra1_engineer</t>
        </is>
      </c>
      <c r="C16" t="inlineStr">
        <is>
          <t>Engineer</t>
        </is>
      </c>
      <c r="D16" t="inlineStr"/>
      <c r="E16" s="5" t="n">
        <v>5000</v>
      </c>
      <c r="F16" s="5" t="n">
        <v>50</v>
      </c>
      <c r="G16" t="inlineStr">
        <is>
          <t>None</t>
        </is>
      </c>
      <c r="H16" s="5" t="n">
        <v>1</v>
      </c>
      <c r="I16" s="5" t="n">
        <v>1</v>
      </c>
      <c r="J16" s="5" t="n">
        <v>1</v>
      </c>
      <c r="O16">
        <f>MAX(O17,O18)</f>
        <v/>
      </c>
      <c r="R16">
        <f>R17+R18</f>
        <v/>
      </c>
      <c r="S16">
        <f>(E16/100000+F16/100+(O16/1000)*J16/5+R16/200)*200*I16*H16</f>
        <v/>
      </c>
      <c r="T16">
        <f>((E16*F16/25000)+((O16/1000)*J16*R16/2.5))*I16*H16</f>
        <v/>
      </c>
      <c r="U16">
        <f>(E16*F16*(O16/1000)*J16*R16*I16*H16)/12500000</f>
        <v/>
      </c>
      <c r="V16">
        <f>(S16+T16+U16)/3</f>
        <v/>
      </c>
      <c r="W16" s="5" t="n">
        <v>500</v>
      </c>
      <c r="X16">
        <f>IFERROR(V16-W16,"")</f>
        <v/>
      </c>
      <c r="Y16">
        <f>IFERROR(ABS(X16)/MAX(W16,1),"")</f>
        <v/>
      </c>
      <c r="Z16">
        <f>IFERROR((W16-(((E16/100000+F16/100+R16/200)*200*I16*H16)+((E16*F16/25000)*I16*H16))/3)/(((J16/5)*200*I16*H16)+((J16*R16/2.5)*I16*H16)+((E16*F16*J16*R16*I16*H16)/12500000))/3*1000,"")</f>
        <v/>
      </c>
    </row>
    <row r="17">
      <c r="B17" s="6" t="inlineStr">
        <is>
          <t xml:space="preserve">  ↳ DefuseKit</t>
        </is>
      </c>
      <c r="C17" s="6" t="inlineStr">
        <is>
          <t>Armament@defuse</t>
        </is>
      </c>
      <c r="K17" s="5" t="n"/>
      <c r="L17" s="5" t="n">
        <v>20</v>
      </c>
      <c r="M17" s="5" t="n">
        <v>1</v>
      </c>
      <c r="N17" s="5" t="n"/>
      <c r="O17" s="5" t="n">
        <v>1536</v>
      </c>
      <c r="P17" s="5" t="n">
        <v>1</v>
      </c>
      <c r="Q17">
        <f>L17+IF(M17&gt;1,N(N17)*(M17-1),0)</f>
        <v/>
      </c>
      <c r="R17">
        <f>IFERROR(K17*MAX(M17,1)/Q17*P17,0)</f>
        <v/>
      </c>
      <c r="AA17" s="6" t="inlineStr">
        <is>
          <t>^RemovesIvanBombs, ^RemovesTerrorDrone</t>
        </is>
      </c>
    </row>
    <row r="18">
      <c r="B18" s="6" t="inlineStr">
        <is>
          <t xml:space="preserve">  ↳ LeechDisinfect</t>
        </is>
      </c>
      <c r="C18" s="6" t="inlineStr">
        <is>
          <t>Armament@leechdisinfect</t>
        </is>
      </c>
      <c r="K18" s="5" t="n"/>
      <c r="L18" s="5" t="n">
        <v>100</v>
      </c>
      <c r="M18" s="5" t="n">
        <v>1</v>
      </c>
      <c r="N18" s="5" t="n"/>
      <c r="O18" s="5" t="n">
        <v>1536</v>
      </c>
      <c r="P18" s="5" t="n">
        <v>1</v>
      </c>
      <c r="Q18">
        <f>L18+IF(M18&gt;1,N(N18)*(M18-1),0)</f>
        <v/>
      </c>
      <c r="R18">
        <f>IFERROR(K18*MAX(M18,1)/Q18*P18,0)</f>
        <v/>
      </c>
      <c r="AA18" s="6" t="inlineStr"/>
    </row>
    <row r="19">
      <c r="A19" t="inlineStr">
        <is>
          <t>shared</t>
        </is>
      </c>
      <c r="B19" t="inlineStr">
        <is>
          <t>ra1_general</t>
        </is>
      </c>
      <c r="C19" t="inlineStr">
        <is>
          <t>General</t>
        </is>
      </c>
      <c r="D19" t="inlineStr"/>
      <c r="E19" s="5" t="n">
        <v>2500</v>
      </c>
      <c r="F19" s="5" t="n">
        <v>56</v>
      </c>
      <c r="G19" t="inlineStr">
        <is>
          <t>None</t>
        </is>
      </c>
      <c r="H19" s="5" t="n">
        <v>1</v>
      </c>
      <c r="I19" s="5" t="n">
        <v>1</v>
      </c>
      <c r="J19" s="5" t="n">
        <v>1</v>
      </c>
      <c r="O19">
        <f>MAX(O20)</f>
        <v/>
      </c>
      <c r="R19">
        <f>R20</f>
        <v/>
      </c>
      <c r="S19">
        <f>(E19/100000+F19/100+(O19/1000)*J19/5+R19/200)*200*I19*H19</f>
        <v/>
      </c>
      <c r="T19">
        <f>((E19*F19/25000)+((O19/1000)*J19*R19/2.5))*I19*H19</f>
        <v/>
      </c>
      <c r="U19">
        <f>(E19*F19*(O19/1000)*J19*R19*I19*H19)/12500000</f>
        <v/>
      </c>
      <c r="V19">
        <f>(S19+T19+U19)/3</f>
        <v/>
      </c>
      <c r="W19" s="5" t="n">
        <v>10</v>
      </c>
      <c r="X19">
        <f>IFERROR(V19-W19,"")</f>
        <v/>
      </c>
      <c r="Y19">
        <f>IFERROR(ABS(X19)/MAX(W19,1),"")</f>
        <v/>
      </c>
      <c r="Z19">
        <f>IFERROR((W19-(((E19/100000+F19/100+R19/200)*200*I19*H19)+((E19*F19/25000)*I19*H19))/3)/(((J19/5)*200*I19*H19)+((J19*R19/2.5)*I19*H19)+((E19*F19*J19*R19*I19*H19)/12500000))/3*1000,"")</f>
        <v/>
      </c>
    </row>
    <row r="20">
      <c r="B20" s="6" t="inlineStr">
        <is>
          <t xml:space="preserve">  ↳ Pistol</t>
        </is>
      </c>
      <c r="C20" s="6" t="inlineStr">
        <is>
          <t>Armament</t>
        </is>
      </c>
      <c r="K20" s="5" t="n">
        <v>100</v>
      </c>
      <c r="L20" s="5" t="n">
        <v>7</v>
      </c>
      <c r="M20" s="5" t="n">
        <v>1</v>
      </c>
      <c r="N20" s="5" t="n"/>
      <c r="O20" s="5" t="n">
        <v>3072</v>
      </c>
      <c r="P20" s="5" t="n">
        <v>1</v>
      </c>
      <c r="Q20">
        <f>L20+IF(M20&gt;1,N(N20)*(M20-1),0)</f>
        <v/>
      </c>
      <c r="R20">
        <f>IFERROR(K20*MAX(M20,1)/Q20*P20,0)</f>
        <v/>
      </c>
      <c r="AA20" s="6" t="inlineStr">
        <is>
          <t>^LightMG</t>
        </is>
      </c>
    </row>
    <row r="21">
      <c r="A21" t="inlineStr">
        <is>
          <t>shared</t>
        </is>
      </c>
      <c r="B21" t="inlineStr">
        <is>
          <t>ra1_scientist</t>
        </is>
      </c>
      <c r="C21" t="inlineStr">
        <is>
          <t>Scientist</t>
        </is>
      </c>
      <c r="D21" t="inlineStr"/>
      <c r="E21" s="5" t="n">
        <v>2500</v>
      </c>
      <c r="F21" s="5" t="n">
        <v>56</v>
      </c>
      <c r="G21" t="inlineStr">
        <is>
          <t>None</t>
        </is>
      </c>
      <c r="H21" s="5" t="n">
        <v>1</v>
      </c>
      <c r="I21" s="5" t="n">
        <v>1</v>
      </c>
      <c r="J21" s="5" t="n">
        <v>1</v>
      </c>
      <c r="W21" s="5" t="n">
        <v>500</v>
      </c>
    </row>
    <row r="22">
      <c r="A22" t="inlineStr">
        <is>
          <t>shared</t>
        </is>
      </c>
      <c r="B22" t="inlineStr">
        <is>
          <t>ra1_soviets_molotovconscript</t>
        </is>
      </c>
      <c r="C22" t="inlineStr">
        <is>
          <t>Molotov Conscript</t>
        </is>
      </c>
      <c r="D22" t="inlineStr"/>
      <c r="E22" s="5" t="n">
        <v>11000</v>
      </c>
      <c r="F22" s="5" t="n">
        <v>67</v>
      </c>
      <c r="G22" t="inlineStr">
        <is>
          <t>None</t>
        </is>
      </c>
      <c r="H22" s="5" t="n">
        <v>1</v>
      </c>
      <c r="I22" s="5" t="n">
        <v>0.4</v>
      </c>
      <c r="J22" s="5" t="n">
        <v>1.25</v>
      </c>
      <c r="O22">
        <f>MAX(O23)</f>
        <v/>
      </c>
      <c r="R22">
        <f>R23</f>
        <v/>
      </c>
      <c r="S22">
        <f>(E22/100000+F22/100+(O22/1000)*J22/5+R22/200)*200*I22*H22</f>
        <v/>
      </c>
      <c r="T22">
        <f>((E22*F22/25000)+((O22/1000)*J22*R22/2.5))*I22*H22</f>
        <v/>
      </c>
      <c r="U22">
        <f>(E22*F22*(O22/1000)*J22*R22*I22*H22)/12500000</f>
        <v/>
      </c>
      <c r="V22">
        <f>(S22+T22+U22)/3</f>
        <v/>
      </c>
      <c r="W22" s="5" t="n">
        <v>200</v>
      </c>
      <c r="X22">
        <f>IFERROR(V22-W22,"")</f>
        <v/>
      </c>
      <c r="Y22">
        <f>IFERROR(ABS(X22)/MAX(W22,1),"")</f>
        <v/>
      </c>
      <c r="Z22">
        <f>IFERROR((W22-(((E22/100000+F22/100+R22/200)*200*I22*H22)+((E22*F22/25000)*I22*H22))/3)/(((J22/5)*200*I22*H22)+((J22*R22/2.5)*I22*H22)+((E22*F22*J22*R22*I22*H22)/12500000))/3*1000,"")</f>
        <v/>
      </c>
    </row>
    <row r="23">
      <c r="B23" s="6" t="inlineStr">
        <is>
          <t xml:space="preserve">  ↳ ConscriptMolotov</t>
        </is>
      </c>
      <c r="C23" s="6" t="inlineStr">
        <is>
          <t>Armament</t>
        </is>
      </c>
      <c r="K23" s="5" t="n">
        <v>8000</v>
      </c>
      <c r="L23" s="5" t="n">
        <v>50</v>
      </c>
      <c r="M23" s="5" t="n">
        <v>1</v>
      </c>
      <c r="N23" s="5" t="n"/>
      <c r="O23" s="5" t="n">
        <v>5725</v>
      </c>
      <c r="P23" s="5" t="n">
        <v>1</v>
      </c>
      <c r="Q23">
        <f>L23+IF(M23&gt;1,N(N23)*(M23-1),0)</f>
        <v/>
      </c>
      <c r="R23">
        <f>IFERROR(K23*MAX(M23,1)/Q23*P23,0)</f>
        <v/>
      </c>
      <c r="AA23" s="6" t="inlineStr">
        <is>
          <t>^Grenade, ^LightFlameWeapon</t>
        </is>
      </c>
    </row>
    <row r="24">
      <c r="B24" s="6" t="inlineStr">
        <is>
          <t xml:space="preserve">  ↳ ConscriptMolotov</t>
        </is>
      </c>
      <c r="C24" s="6" t="inlineStr">
        <is>
          <t>Armament@GARRISONED</t>
        </is>
      </c>
      <c r="K24" s="5" t="n">
        <v>8000</v>
      </c>
      <c r="L24" s="5" t="n">
        <v>50</v>
      </c>
      <c r="M24" s="5" t="n">
        <v>1</v>
      </c>
      <c r="N24" s="5" t="n"/>
      <c r="O24" s="5" t="n">
        <v>5725</v>
      </c>
      <c r="P24" s="5" t="n">
        <v>1</v>
      </c>
      <c r="Q24">
        <f>L24+IF(M24&gt;1,N(N24)*(M24-1),0)</f>
        <v/>
      </c>
      <c r="R24">
        <f>IFERROR(K24*MAX(M24,1)/Q24*P24,0)</f>
        <v/>
      </c>
      <c r="AA24" s="6" t="inlineStr">
        <is>
          <t>^Grenade, ^LightFlameWeapon</t>
        </is>
      </c>
    </row>
    <row r="25">
      <c r="A25" t="inlineStr">
        <is>
          <t>shared</t>
        </is>
      </c>
      <c r="B25" t="inlineStr">
        <is>
          <t>ra1_technician</t>
        </is>
      </c>
      <c r="C25" t="inlineStr">
        <is>
          <t>Technician</t>
        </is>
      </c>
      <c r="D25" t="inlineStr"/>
      <c r="E25" s="5" t="n">
        <v>2500</v>
      </c>
      <c r="F25" s="5" t="n">
        <v>56</v>
      </c>
      <c r="G25" t="inlineStr">
        <is>
          <t>None</t>
        </is>
      </c>
      <c r="H25" s="5" t="n">
        <v>1</v>
      </c>
      <c r="I25" s="5" t="n">
        <v>1</v>
      </c>
      <c r="J25" s="5" t="n">
        <v>1</v>
      </c>
      <c r="O25">
        <f>MAX(O26)</f>
        <v/>
      </c>
      <c r="R25">
        <f>R26</f>
        <v/>
      </c>
      <c r="S25">
        <f>(E25/100000+F25/100+(O25/1000)*J25/5+R25/200)*200*I25*H25</f>
        <v/>
      </c>
      <c r="T25">
        <f>((E25*F25/25000)+((O25/1000)*J25*R25/2.5))*I25*H25</f>
        <v/>
      </c>
      <c r="U25">
        <f>(E25*F25*(O25/1000)*J25*R25*I25*H25)/12500000</f>
        <v/>
      </c>
      <c r="V25">
        <f>(S25+T25+U25)/3</f>
        <v/>
      </c>
      <c r="W25" s="5" t="n">
        <v>10</v>
      </c>
      <c r="X25">
        <f>IFERROR(V25-W25,"")</f>
        <v/>
      </c>
      <c r="Y25">
        <f>IFERROR(ABS(X25)/MAX(W25,1),"")</f>
        <v/>
      </c>
      <c r="Z25">
        <f>IFERROR((W25-(((E25/100000+F25/100+R25/200)*200*I25*H25)+((E25*F25/25000)*I25*H25))/3)/(((J25/5)*200*I25*H25)+((J25*R25/2.5)*I25*H25)+((E25*F25*J25*R25*I25*H25)/12500000))/3*1000,"")</f>
        <v/>
      </c>
    </row>
    <row r="26">
      <c r="B26" s="6" t="inlineStr">
        <is>
          <t xml:space="preserve">  ↳ Pistol</t>
        </is>
      </c>
      <c r="C26" s="6" t="inlineStr">
        <is>
          <t>Armament</t>
        </is>
      </c>
      <c r="K26" s="5" t="n">
        <v>100</v>
      </c>
      <c r="L26" s="5" t="n">
        <v>7</v>
      </c>
      <c r="M26" s="5" t="n">
        <v>1</v>
      </c>
      <c r="N26" s="5" t="n"/>
      <c r="O26" s="5" t="n">
        <v>3072</v>
      </c>
      <c r="P26" s="5" t="n">
        <v>1</v>
      </c>
      <c r="Q26">
        <f>L26+IF(M26&gt;1,N(N26)*(M26-1),0)</f>
        <v/>
      </c>
      <c r="R26">
        <f>IFERROR(K26*MAX(M26,1)/Q26*P26,0)</f>
        <v/>
      </c>
      <c r="AA26" s="6" t="inlineStr">
        <is>
          <t>^LightMG</t>
        </is>
      </c>
    </row>
    <row r="27">
      <c r="A27" s="3" t="inlineStr">
        <is>
          <t>VEHICLES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>
      <c r="A28" t="inlineStr">
        <is>
          <t>shared</t>
        </is>
      </c>
      <c r="B28" t="inlineStr">
        <is>
          <t>ra1_allies_alliedapc</t>
        </is>
      </c>
      <c r="C28" t="inlineStr">
        <is>
          <t>Allied APC</t>
        </is>
      </c>
      <c r="D28" t="inlineStr"/>
      <c r="E28" s="5" t="n">
        <v>50000</v>
      </c>
      <c r="F28" s="5" t="n">
        <v>105</v>
      </c>
      <c r="G28" t="inlineStr">
        <is>
          <t>Medium</t>
        </is>
      </c>
      <c r="H28" s="5" t="n">
        <v>1</v>
      </c>
      <c r="I28" s="5" t="n">
        <v>1</v>
      </c>
      <c r="J28" s="5" t="n">
        <v>1</v>
      </c>
      <c r="O28">
        <f>MAX(O29,O30)</f>
        <v/>
      </c>
      <c r="R28">
        <f>R29+R30</f>
        <v/>
      </c>
      <c r="S28">
        <f>(E28/100000+F28/100+(O28/1000)*J28/5+R28/200)*200*I28*H28</f>
        <v/>
      </c>
      <c r="T28">
        <f>((E28*F28/25000)+((O28/1000)*J28*R28/2.5))*I28*H28</f>
        <v/>
      </c>
      <c r="U28">
        <f>(E28*F28*(O28/1000)*J28*R28*I28*H28)/12500000</f>
        <v/>
      </c>
      <c r="V28">
        <f>(S28+T28+U28)/3</f>
        <v/>
      </c>
      <c r="W28" s="5" t="n">
        <v>1300</v>
      </c>
      <c r="X28">
        <f>IFERROR(V28-W28,"")</f>
        <v/>
      </c>
      <c r="Y28">
        <f>IFERROR(ABS(X28)/MAX(W28,1),"")</f>
        <v/>
      </c>
      <c r="Z28">
        <f>IFERROR((W28-(((E28/100000+F28/100+R28/200)*200*I28*H28)+((E28*F28/25000)*I28*H28))/3)/(((J28/5)*200*I28*H28)+((J28*R28/2.5)*I28*H28)+((E28*F28*J28*R28*I28*H28)/12500000))/3*1000,"")</f>
        <v/>
      </c>
    </row>
    <row r="29">
      <c r="B29" s="6" t="inlineStr">
        <is>
          <t xml:space="preserve">  ↳ APCGunAllies</t>
        </is>
      </c>
      <c r="C29" s="6" t="inlineStr">
        <is>
          <t>Armament@PRIMARY</t>
        </is>
      </c>
      <c r="K29" s="5" t="n">
        <v>2000</v>
      </c>
      <c r="L29" s="5" t="n">
        <v>10</v>
      </c>
      <c r="M29" s="5" t="n">
        <v>1</v>
      </c>
      <c r="N29" s="5" t="n"/>
      <c r="O29" s="5" t="n">
        <v>5978</v>
      </c>
      <c r="P29" s="5" t="n">
        <v>1</v>
      </c>
      <c r="Q29">
        <f>L29+IF(M29&gt;1,N(N29)*(M29-1),0)</f>
        <v/>
      </c>
      <c r="R29">
        <f>IFERROR(K29*MAX(M29,1)/Q29*P29,0)</f>
        <v/>
      </c>
      <c r="AA29" s="6" t="inlineStr">
        <is>
          <t>^Chaingun, ^FlakWeapon</t>
        </is>
      </c>
    </row>
    <row r="30">
      <c r="B30" s="6" t="inlineStr">
        <is>
          <t xml:space="preserve">  ↳ APCGunAlliesAA</t>
        </is>
      </c>
      <c r="C30" s="6" t="inlineStr">
        <is>
          <t>Armament@SECONDARY</t>
        </is>
      </c>
      <c r="K30" s="5" t="n">
        <v>2000</v>
      </c>
      <c r="L30" s="5" t="n">
        <v>10</v>
      </c>
      <c r="M30" s="5" t="n">
        <v>1</v>
      </c>
      <c r="N30" s="5" t="n"/>
      <c r="O30" s="5" t="n">
        <v>8967</v>
      </c>
      <c r="P30" s="5" t="n">
        <v>1</v>
      </c>
      <c r="Q30">
        <f>L30+IF(M30&gt;1,N(N30)*(M30-1),0)</f>
        <v/>
      </c>
      <c r="R30">
        <f>IFERROR(K30*MAX(M30,1)/Q30*P30,0)</f>
        <v/>
      </c>
      <c r="AA30" s="6" t="inlineStr">
        <is>
          <t>^Chaingun, ^FlakWeapon</t>
        </is>
      </c>
    </row>
    <row r="31">
      <c r="A31" t="inlineStr">
        <is>
          <t>shared</t>
        </is>
      </c>
      <c r="B31" t="inlineStr">
        <is>
          <t>ra1_allies_alliedcybertank</t>
        </is>
      </c>
      <c r="C31" t="inlineStr">
        <is>
          <t>Allied Cyber Tank</t>
        </is>
      </c>
      <c r="D31" t="inlineStr"/>
      <c r="E31" s="5" t="n">
        <v>160000</v>
      </c>
      <c r="F31" s="5" t="n">
        <v>75</v>
      </c>
      <c r="G31" t="inlineStr">
        <is>
          <t>Heavy</t>
        </is>
      </c>
      <c r="H31" s="5" t="n">
        <v>1</v>
      </c>
      <c r="I31" s="5" t="n">
        <v>1</v>
      </c>
      <c r="J31" s="5" t="n">
        <v>1</v>
      </c>
      <c r="O31">
        <f>MAX(O32)</f>
        <v/>
      </c>
      <c r="R31">
        <f>R32</f>
        <v/>
      </c>
      <c r="S31">
        <f>(E31/100000+F31/100+(O31/1000)*J31/5+R31/200)*200*I31*H31</f>
        <v/>
      </c>
      <c r="T31">
        <f>((E31*F31/25000)+((O31/1000)*J31*R31/2.5))*I31*H31</f>
        <v/>
      </c>
      <c r="U31">
        <f>(E31*F31*(O31/1000)*J31*R31*I31*H31)/12500000</f>
        <v/>
      </c>
      <c r="V31">
        <f>(S31+T31+U31)/3</f>
        <v/>
      </c>
      <c r="W31" s="5" t="n">
        <v>1300</v>
      </c>
      <c r="X31">
        <f>IFERROR(V31-W31,"")</f>
        <v/>
      </c>
      <c r="Y31">
        <f>IFERROR(ABS(X31)/MAX(W31,1),"")</f>
        <v/>
      </c>
      <c r="Z31">
        <f>IFERROR((W31-(((E31/100000+F31/100+R31/200)*200*I31*H31)+((E31*F31/25000)*I31*H31))/3)/(((J31/5)*200*I31*H31)+((J31*R31/2.5)*I31*H31)+((E31*F31*J31*R31*I31*H31)/12500000))/3*1000,"")</f>
        <v/>
      </c>
    </row>
    <row r="32">
      <c r="B32" s="6" t="inlineStr">
        <is>
          <t xml:space="preserve">  ↳ TigerCannon</t>
        </is>
      </c>
      <c r="C32" s="6" t="inlineStr">
        <is>
          <t>Armament</t>
        </is>
      </c>
      <c r="K32" s="5" t="n">
        <v>8000</v>
      </c>
      <c r="L32" s="5" t="n">
        <v>60</v>
      </c>
      <c r="M32" s="5" t="n">
        <v>1</v>
      </c>
      <c r="N32" s="5" t="n"/>
      <c r="O32" s="5" t="n">
        <v>5915</v>
      </c>
      <c r="P32" s="5" t="n">
        <v>1</v>
      </c>
      <c r="Q32">
        <f>L32+IF(M32&gt;1,N(N32)*(M32-1),0)</f>
        <v/>
      </c>
      <c r="R32">
        <f>IFERROR(K32*MAX(M32,1)/Q32*P32,0)</f>
        <v/>
      </c>
      <c r="AA32" s="6" t="inlineStr">
        <is>
          <t>^HeavyCannon, ^MediumCannon</t>
        </is>
      </c>
    </row>
    <row r="33">
      <c r="A33" s="3" t="inlineStr">
        <is>
          <t>AIRCRAFT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>
      <c r="A34" t="inlineStr">
        <is>
          <t>shared</t>
        </is>
      </c>
      <c r="B34" t="inlineStr">
        <is>
          <t>japan_badger</t>
        </is>
      </c>
      <c r="C34" t="inlineStr">
        <is>
          <t>Badger</t>
        </is>
      </c>
      <c r="D34" t="inlineStr"/>
      <c r="E34" s="5" t="n">
        <v>150000</v>
      </c>
      <c r="F34" s="5" t="n">
        <v>175</v>
      </c>
      <c r="G34" t="inlineStr">
        <is>
          <t>Bomber</t>
        </is>
      </c>
      <c r="H34" s="5" t="n">
        <v>1</v>
      </c>
      <c r="I34" s="5" t="n">
        <v>1</v>
      </c>
      <c r="J34" s="5" t="n">
        <v>1</v>
      </c>
      <c r="W34" s="5" t="n">
        <v>4000</v>
      </c>
    </row>
    <row r="35">
      <c r="A35" t="inlineStr">
        <is>
          <t>shared</t>
        </is>
      </c>
      <c r="B35" t="inlineStr">
        <is>
          <t>japan_japanesesuperbomber</t>
        </is>
      </c>
      <c r="C35" t="inlineStr">
        <is>
          <t>Japanese Super Bomber</t>
        </is>
      </c>
      <c r="D35" t="inlineStr"/>
      <c r="E35" s="5" t="n">
        <v>125000</v>
      </c>
      <c r="F35" s="5" t="n">
        <v>200</v>
      </c>
      <c r="G35" t="inlineStr">
        <is>
          <t>Bomber</t>
        </is>
      </c>
      <c r="H35" s="5" t="n">
        <v>1</v>
      </c>
      <c r="I35" s="5" t="n">
        <v>1</v>
      </c>
      <c r="J35" s="5" t="n">
        <v>1</v>
      </c>
      <c r="O35">
        <f>MAX(O36)</f>
        <v/>
      </c>
      <c r="R35">
        <f>R36</f>
        <v/>
      </c>
      <c r="S35">
        <f>(E35/100000+F35/100+(O35/1000)*J35/5+R35/200)*200*I35*H35</f>
        <v/>
      </c>
      <c r="T35">
        <f>((E35*F35/25000)+((O35/1000)*J35*R35/2.5))*I35*H35</f>
        <v/>
      </c>
      <c r="U35">
        <f>(E35*F35*(O35/1000)*J35*R35*I35*H35)/12500000</f>
        <v/>
      </c>
      <c r="V35">
        <f>(S35+T35+U35)/3</f>
        <v/>
      </c>
      <c r="W35" s="5" t="n">
        <v>5000</v>
      </c>
      <c r="X35">
        <f>IFERROR(V35-W35,"")</f>
        <v/>
      </c>
      <c r="Y35">
        <f>IFERROR(ABS(X35)/MAX(W35,1),"")</f>
        <v/>
      </c>
      <c r="Z35">
        <f>IFERROR((W35-(((E35/100000+F35/100+R35/200)*200*I35*H35)+((E35*F35/25000)*I35*H35))/3)/(((J35/5)*200*I35*H35)+((J35*R35/2.5)*I35*H35)+((E35*F35*J35*R35*I35*H35)/12500000))/3*1000,"")</f>
        <v/>
      </c>
    </row>
    <row r="36">
      <c r="B36" s="6" t="inlineStr">
        <is>
          <t xml:space="preserve">  ↳ JapanSuperBomb</t>
        </is>
      </c>
      <c r="C36" s="6" t="inlineStr">
        <is>
          <t>Armament</t>
        </is>
      </c>
      <c r="K36" s="5" t="n">
        <v>10000</v>
      </c>
      <c r="L36" s="5" t="n">
        <v>5</v>
      </c>
      <c r="M36" s="5" t="n">
        <v>1</v>
      </c>
      <c r="N36" s="5" t="n"/>
      <c r="O36" s="5" t="n">
        <v>3000</v>
      </c>
      <c r="P36" s="5" t="n">
        <v>1</v>
      </c>
      <c r="Q36">
        <f>L36+IF(M36&gt;1,N(N36)*(M36-1),0)</f>
        <v/>
      </c>
      <c r="R36">
        <f>IFERROR(K36*MAX(M36,1)/Q36*P36,0)</f>
        <v/>
      </c>
      <c r="AA36" s="6" t="inlineStr">
        <is>
          <t>^Grenade, ^ShrapnelWeapon, ^MediumChemicalWeapon, ^MediumFlameWeapon, ^HeavyBomb</t>
        </is>
      </c>
    </row>
    <row r="37">
      <c r="A37" t="inlineStr">
        <is>
          <t>shared</t>
        </is>
      </c>
      <c r="B37" t="inlineStr">
        <is>
          <t>ra1_allies_badger</t>
        </is>
      </c>
      <c r="C37" t="inlineStr">
        <is>
          <t>Badger</t>
        </is>
      </c>
      <c r="D37" t="inlineStr"/>
      <c r="E37" s="5" t="n">
        <v>150000</v>
      </c>
      <c r="F37" s="5" t="n">
        <v>175</v>
      </c>
      <c r="G37" t="inlineStr">
        <is>
          <t>Bomber</t>
        </is>
      </c>
      <c r="H37" s="5" t="n">
        <v>1</v>
      </c>
      <c r="I37" s="5" t="n">
        <v>1</v>
      </c>
      <c r="J37" s="5" t="n">
        <v>1</v>
      </c>
      <c r="W37" s="5" t="n">
        <v>4000</v>
      </c>
    </row>
    <row r="38">
      <c r="A38" t="inlineStr">
        <is>
          <t>shared</t>
        </is>
      </c>
      <c r="B38" t="inlineStr">
        <is>
          <t>ra1_allies_cargoplane_bomber</t>
        </is>
      </c>
      <c r="C38" t="inlineStr">
        <is>
          <t>Cargo Plane</t>
        </is>
      </c>
      <c r="D38" t="inlineStr"/>
      <c r="E38" s="5" t="n">
        <v>150000</v>
      </c>
      <c r="F38" s="5" t="n">
        <v>175</v>
      </c>
      <c r="G38" t="inlineStr">
        <is>
          <t>Bomber</t>
        </is>
      </c>
      <c r="H38" s="5" t="n">
        <v>1</v>
      </c>
      <c r="I38" s="5" t="n">
        <v>1</v>
      </c>
      <c r="J38" s="5" t="n">
        <v>1</v>
      </c>
      <c r="O38">
        <f>MAX(O39)</f>
        <v/>
      </c>
      <c r="R38">
        <f>R39</f>
        <v/>
      </c>
      <c r="S38">
        <f>(E38/100000+F38/100+(O38/1000)*J38/5+R38/200)*200*I38*H38</f>
        <v/>
      </c>
      <c r="T38">
        <f>((E38*F38/25000)+((O38/1000)*J38*R38/2.5))*I38*H38</f>
        <v/>
      </c>
      <c r="U38">
        <f>(E38*F38*(O38/1000)*J38*R38*I38*H38)/12500000</f>
        <v/>
      </c>
      <c r="V38">
        <f>(S38+T38+U38)/3</f>
        <v/>
      </c>
      <c r="W38" s="5" t="n">
        <v>4000</v>
      </c>
      <c r="X38">
        <f>IFERROR(V38-W38,"")</f>
        <v/>
      </c>
      <c r="Y38">
        <f>IFERROR(ABS(X38)/MAX(W38,1),"")</f>
        <v/>
      </c>
      <c r="Z38">
        <f>IFERROR((W38-(((E38/100000+F38/100+R38/200)*200*I38*H38)+((E38*F38/25000)*I38*H38))/3)/(((J38/5)*200*I38*H38)+((J38*R38/2.5)*I38*H38)+((E38*F38*J38*R38*I38*H38)/12500000))/3*1000,"")</f>
        <v/>
      </c>
    </row>
    <row r="39">
      <c r="B39" s="6" t="inlineStr">
        <is>
          <t xml:space="preserve">  ↳ ParaBomb</t>
        </is>
      </c>
      <c r="C39" s="6" t="inlineStr">
        <is>
          <t>Armament</t>
        </is>
      </c>
      <c r="K39" s="5" t="n">
        <v>20000</v>
      </c>
      <c r="L39" s="5" t="n">
        <v>8</v>
      </c>
      <c r="M39" s="5" t="n">
        <v>1</v>
      </c>
      <c r="N39" s="5" t="n"/>
      <c r="O39" s="5" t="n">
        <v>5000</v>
      </c>
      <c r="P39" s="5" t="n">
        <v>1</v>
      </c>
      <c r="Q39">
        <f>L39+IF(M39&gt;1,N(N39)*(M39-1),0)</f>
        <v/>
      </c>
      <c r="R39">
        <f>IFERROR(K39*MAX(M39,1)/Q39*P39,0)</f>
        <v/>
      </c>
      <c r="AA39" s="6" t="inlineStr">
        <is>
          <t>^HeavyBomb, ^HeavyFlameWeapon, ^ImpactGlow</t>
        </is>
      </c>
    </row>
    <row r="40">
      <c r="A40" t="inlineStr">
        <is>
          <t>shared</t>
        </is>
      </c>
      <c r="B40" t="inlineStr">
        <is>
          <t>ra1_allies_cargoplane_paradrop</t>
        </is>
      </c>
      <c r="C40" t="inlineStr">
        <is>
          <t>Cargo Plane</t>
        </is>
      </c>
      <c r="D40" t="inlineStr"/>
      <c r="E40" s="5" t="n">
        <v>150000</v>
      </c>
      <c r="F40" s="5" t="n">
        <v>175</v>
      </c>
      <c r="G40" t="inlineStr">
        <is>
          <t>Bomber</t>
        </is>
      </c>
      <c r="H40" s="5" t="n">
        <v>1</v>
      </c>
      <c r="I40" s="5" t="n">
        <v>1</v>
      </c>
      <c r="J40" s="5" t="n">
        <v>1</v>
      </c>
      <c r="W40" s="5" t="n">
        <v>4000</v>
      </c>
    </row>
    <row r="41">
      <c r="A41" t="inlineStr">
        <is>
          <t>shared</t>
        </is>
      </c>
      <c r="B41" t="inlineStr">
        <is>
          <t>ra1_badger</t>
        </is>
      </c>
      <c r="C41" t="inlineStr">
        <is>
          <t>Badger</t>
        </is>
      </c>
      <c r="D41" t="inlineStr"/>
      <c r="E41" s="5" t="n">
        <v>150000</v>
      </c>
      <c r="F41" s="5" t="n">
        <v>175</v>
      </c>
      <c r="G41" t="inlineStr">
        <is>
          <t>Bomber</t>
        </is>
      </c>
      <c r="H41" s="5" t="n">
        <v>1</v>
      </c>
      <c r="I41" s="5" t="n">
        <v>1</v>
      </c>
      <c r="J41" s="5" t="n">
        <v>1</v>
      </c>
      <c r="W41" s="5" t="n">
        <v>4000</v>
      </c>
    </row>
    <row r="42">
      <c r="A42" t="inlineStr">
        <is>
          <t>shared</t>
        </is>
      </c>
      <c r="B42" t="inlineStr">
        <is>
          <t>ra1_badger_bomber</t>
        </is>
      </c>
      <c r="C42" t="inlineStr">
        <is>
          <t>Badger</t>
        </is>
      </c>
      <c r="D42" t="inlineStr"/>
      <c r="E42" s="5" t="n">
        <v>150000</v>
      </c>
      <c r="F42" s="5" t="n">
        <v>175</v>
      </c>
      <c r="G42" t="inlineStr">
        <is>
          <t>Bomber</t>
        </is>
      </c>
      <c r="H42" s="5" t="n">
        <v>1</v>
      </c>
      <c r="I42" s="5" t="n">
        <v>1</v>
      </c>
      <c r="J42" s="5" t="n">
        <v>1</v>
      </c>
      <c r="O42">
        <f>MAX(O43)</f>
        <v/>
      </c>
      <c r="R42">
        <f>R43</f>
        <v/>
      </c>
      <c r="S42">
        <f>(E42/100000+F42/100+(O42/1000)*J42/5+R42/200)*200*I42*H42</f>
        <v/>
      </c>
      <c r="T42">
        <f>((E42*F42/25000)+((O42/1000)*J42*R42/2.5))*I42*H42</f>
        <v/>
      </c>
      <c r="U42">
        <f>(E42*F42*(O42/1000)*J42*R42*I42*H42)/12500000</f>
        <v/>
      </c>
      <c r="V42">
        <f>(S42+T42+U42)/3</f>
        <v/>
      </c>
      <c r="W42" s="5" t="n">
        <v>4000</v>
      </c>
      <c r="X42">
        <f>IFERROR(V42-W42,"")</f>
        <v/>
      </c>
      <c r="Y42">
        <f>IFERROR(ABS(X42)/MAX(W42,1),"")</f>
        <v/>
      </c>
      <c r="Z42">
        <f>IFERROR((W42-(((E42/100000+F42/100+R42/200)*200*I42*H42)+((E42*F42/25000)*I42*H42))/3)/(((J42/5)*200*I42*H42)+((J42*R42/2.5)*I42*H42)+((E42*F42*J42*R42*I42*H42)/12500000))/3*1000,"")</f>
        <v/>
      </c>
    </row>
    <row r="43">
      <c r="B43" s="6" t="inlineStr">
        <is>
          <t xml:space="preserve">  ↳ ParaBomb</t>
        </is>
      </c>
      <c r="C43" s="6" t="inlineStr">
        <is>
          <t>Armament</t>
        </is>
      </c>
      <c r="K43" s="5" t="n">
        <v>20000</v>
      </c>
      <c r="L43" s="5" t="n">
        <v>8</v>
      </c>
      <c r="M43" s="5" t="n">
        <v>1</v>
      </c>
      <c r="N43" s="5" t="n"/>
      <c r="O43" s="5" t="n">
        <v>5000</v>
      </c>
      <c r="P43" s="5" t="n">
        <v>1</v>
      </c>
      <c r="Q43">
        <f>L43+IF(M43&gt;1,N(N43)*(M43-1),0)</f>
        <v/>
      </c>
      <c r="R43">
        <f>IFERROR(K43*MAX(M43,1)/Q43*P43,0)</f>
        <v/>
      </c>
      <c r="AA43" s="6" t="inlineStr">
        <is>
          <t>^HeavyBomb, ^HeavyFlameWeapon, ^ImpactGlow</t>
        </is>
      </c>
    </row>
    <row r="44">
      <c r="A44" t="inlineStr">
        <is>
          <t>shared</t>
        </is>
      </c>
      <c r="B44" t="inlineStr">
        <is>
          <t>ra1_soviets_badger</t>
        </is>
      </c>
      <c r="C44" t="inlineStr">
        <is>
          <t>Badger</t>
        </is>
      </c>
      <c r="D44" t="inlineStr"/>
      <c r="E44" s="5" t="n">
        <v>150000</v>
      </c>
      <c r="F44" s="5" t="n">
        <v>175</v>
      </c>
      <c r="G44" t="inlineStr">
        <is>
          <t>Bomber</t>
        </is>
      </c>
      <c r="H44" s="5" t="n">
        <v>1</v>
      </c>
      <c r="I44" s="5" t="n">
        <v>1</v>
      </c>
      <c r="J44" s="5" t="n">
        <v>1</v>
      </c>
      <c r="W44" s="5" t="n">
        <v>4000</v>
      </c>
    </row>
    <row r="45">
      <c r="A45" t="inlineStr">
        <is>
          <t>shared</t>
        </is>
      </c>
      <c r="B45" t="inlineStr">
        <is>
          <t>ra1_soviets_spyplane</t>
        </is>
      </c>
      <c r="C45" t="inlineStr">
        <is>
          <t>Spy Plane</t>
        </is>
      </c>
      <c r="D45" t="inlineStr"/>
      <c r="E45" s="5" t="n">
        <v>100000</v>
      </c>
      <c r="F45" s="5" t="n">
        <v>300</v>
      </c>
      <c r="G45" t="inlineStr">
        <is>
          <t>Bomber</t>
        </is>
      </c>
      <c r="H45" s="5" t="n">
        <v>1</v>
      </c>
      <c r="I45" s="5" t="n">
        <v>1</v>
      </c>
      <c r="J45" s="5" t="n">
        <v>1</v>
      </c>
      <c r="O45">
        <f>MAX(O46)</f>
        <v/>
      </c>
      <c r="R45">
        <f>R46</f>
        <v/>
      </c>
      <c r="S45">
        <f>(E45/100000+F45/100+(O45/1000)*J45/5+R45/200)*200*I45*H45</f>
        <v/>
      </c>
      <c r="T45">
        <f>((E45*F45/25000)+((O45/1000)*J45*R45/2.5))*I45*H45</f>
        <v/>
      </c>
      <c r="U45">
        <f>(E45*F45*(O45/1000)*J45*R45*I45*H45)/12500000</f>
        <v/>
      </c>
      <c r="V45">
        <f>(S45+T45+U45)/3</f>
        <v/>
      </c>
      <c r="W45" s="5" t="n">
        <v>5000</v>
      </c>
      <c r="X45">
        <f>IFERROR(V45-W45,"")</f>
        <v/>
      </c>
      <c r="Y45">
        <f>IFERROR(ABS(X45)/MAX(W45,1),"")</f>
        <v/>
      </c>
      <c r="Z45">
        <f>IFERROR((W45-(((E45/100000+F45/100+R45/200)*200*I45*H45)+((E45*F45/25000)*I45*H45))/3)/(((J45/5)*200*I45*H45)+((J45*R45/2.5)*I45*H45)+((E45*F45*J45*R45*I45*H45)/12500000))/3*1000,"")</f>
        <v/>
      </c>
    </row>
    <row r="46">
      <c r="B46" s="6" t="inlineStr">
        <is>
          <t xml:space="preserve">  ↳ SpyPlaneTargeting</t>
        </is>
      </c>
      <c r="C46" s="6" t="inlineStr">
        <is>
          <t>Armament</t>
        </is>
      </c>
      <c r="K46" s="5" t="n"/>
      <c r="L46" s="5" t="n">
        <v>5</v>
      </c>
      <c r="M46" s="5" t="n">
        <v>1</v>
      </c>
      <c r="N46" s="5" t="n"/>
      <c r="O46" s="5" t="n">
        <v>10000</v>
      </c>
      <c r="P46" s="5" t="n">
        <v>1</v>
      </c>
      <c r="Q46">
        <f>L46+IF(M46&gt;1,N(N46)*(M46-1),0)</f>
        <v/>
      </c>
      <c r="R46">
        <f>IFERROR(K46*MAX(M46,1)/Q46*P46,0)</f>
        <v/>
      </c>
      <c r="AA46" s="6" t="inlineStr"/>
    </row>
    <row r="47">
      <c r="A47" t="inlineStr">
        <is>
          <t>shared</t>
        </is>
      </c>
      <c r="B47" t="inlineStr">
        <is>
          <t>ra1_soviets_superspyplane</t>
        </is>
      </c>
      <c r="C47" t="inlineStr">
        <is>
          <t>Spy Plane</t>
        </is>
      </c>
      <c r="D47" t="inlineStr"/>
      <c r="E47" s="5" t="n">
        <v>100000</v>
      </c>
      <c r="F47" s="5" t="n">
        <v>300</v>
      </c>
      <c r="G47" t="inlineStr">
        <is>
          <t>Bomber</t>
        </is>
      </c>
      <c r="H47" s="5" t="n">
        <v>1</v>
      </c>
      <c r="I47" s="5" t="n">
        <v>1</v>
      </c>
      <c r="J47" s="5" t="n">
        <v>1</v>
      </c>
      <c r="O47">
        <f>MAX(O48)</f>
        <v/>
      </c>
      <c r="R47">
        <f>R48</f>
        <v/>
      </c>
      <c r="S47">
        <f>(E47/100000+F47/100+(O47/1000)*J47/5+R47/200)*200*I47*H47</f>
        <v/>
      </c>
      <c r="T47">
        <f>((E47*F47/25000)+((O47/1000)*J47*R47/2.5))*I47*H47</f>
        <v/>
      </c>
      <c r="U47">
        <f>(E47*F47*(O47/1000)*J47*R47*I47*H47)/12500000</f>
        <v/>
      </c>
      <c r="V47">
        <f>(S47+T47+U47)/3</f>
        <v/>
      </c>
      <c r="W47" s="5" t="n">
        <v>5000</v>
      </c>
      <c r="X47">
        <f>IFERROR(V47-W47,"")</f>
        <v/>
      </c>
      <c r="Y47">
        <f>IFERROR(ABS(X47)/MAX(W47,1),"")</f>
        <v/>
      </c>
      <c r="Z47">
        <f>IFERROR((W47-(((E47/100000+F47/100+R47/200)*200*I47*H47)+((E47*F47/25000)*I47*H47))/3)/(((J47/5)*200*I47*H47)+((J47*R47/2.5)*I47*H47)+((E47*F47*J47*R47*I47*H47)/12500000))/3*1000,"")</f>
        <v/>
      </c>
    </row>
    <row r="48">
      <c r="B48" s="6" t="inlineStr">
        <is>
          <t xml:space="preserve">  ↳ SpyPlaneTargeting2</t>
        </is>
      </c>
      <c r="C48" s="6" t="inlineStr">
        <is>
          <t>Armament</t>
        </is>
      </c>
      <c r="K48" s="5" t="n"/>
      <c r="L48" s="5" t="n">
        <v>5</v>
      </c>
      <c r="M48" s="5" t="n">
        <v>1</v>
      </c>
      <c r="N48" s="5" t="n"/>
      <c r="O48" s="5" t="n">
        <v>10000</v>
      </c>
      <c r="P48" s="5" t="n">
        <v>1</v>
      </c>
      <c r="Q48">
        <f>L48+IF(M48&gt;1,N(N48)*(M48-1),0)</f>
        <v/>
      </c>
      <c r="R48">
        <f>IFERROR(K48*MAX(M48,1)/Q48*P48,0)</f>
        <v/>
      </c>
      <c r="AA48" s="6" t="inlineStr">
        <is>
          <t>SpyPlaneTargeting</t>
        </is>
      </c>
    </row>
    <row r="49">
      <c r="A49" s="3" t="inlineStr">
        <is>
          <t>NAVAL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>
      <c r="A50" t="inlineStr">
        <is>
          <t>shared</t>
        </is>
      </c>
      <c r="B50" t="inlineStr">
        <is>
          <t>japan_japanesecarrier</t>
        </is>
      </c>
      <c r="C50" t="inlineStr">
        <is>
          <t>actor_japan_japanesecarrier.name</t>
        </is>
      </c>
      <c r="D50" t="inlineStr"/>
      <c r="E50" s="5" t="n">
        <v>225000</v>
      </c>
      <c r="F50" s="5" t="n">
        <v>45</v>
      </c>
      <c r="G50" t="inlineStr">
        <is>
          <t>Superheavy</t>
        </is>
      </c>
      <c r="H50" s="5" t="n">
        <v>1</v>
      </c>
      <c r="I50" s="5" t="n">
        <v>1</v>
      </c>
      <c r="J50" s="5" t="n">
        <v>1</v>
      </c>
      <c r="O50">
        <f>MAX(O51)</f>
        <v/>
      </c>
      <c r="R50">
        <f>R51</f>
        <v/>
      </c>
      <c r="S50">
        <f>(E50/100000+F50/100+(O50/1000)*J50/5+R50/200)*200*I50*H50</f>
        <v/>
      </c>
      <c r="T50">
        <f>((E50*F50/25000)+((O50/1000)*J50*R50/2.5))*I50*H50</f>
        <v/>
      </c>
      <c r="U50">
        <f>(E50*F50*(O50/1000)*J50*R50*I50*H50)/12500000</f>
        <v/>
      </c>
      <c r="V50">
        <f>(S50+T50+U50)/3</f>
        <v/>
      </c>
      <c r="W50" s="5" t="n">
        <v>3000</v>
      </c>
      <c r="X50">
        <f>IFERROR(V50-W50,"")</f>
        <v/>
      </c>
      <c r="Y50">
        <f>IFERROR(ABS(X50)/MAX(W50,1),"")</f>
        <v/>
      </c>
      <c r="Z50">
        <f>IFERROR((W50-(((E50/100000+F50/100+R50/200)*200*I50*H50)+((E50*F50/25000)*I50*H50))/3)/(((J50/5)*200*I50*H50)+((J50*R50/2.5)*I50*H50)+((E50*F50*J50*R50*I50*H50)/12500000))/3*1000,"")</f>
        <v/>
      </c>
    </row>
    <row r="51">
      <c r="B51" s="6" t="inlineStr">
        <is>
          <t xml:space="preserve">  ↳ JapanCarrierTarget</t>
        </is>
      </c>
      <c r="C51" s="6" t="inlineStr">
        <is>
          <t>Armament@PRIMARY</t>
        </is>
      </c>
      <c r="K51" s="5" t="n"/>
      <c r="L51" s="5" t="n">
        <v>25</v>
      </c>
      <c r="M51" s="5" t="n">
        <v>1</v>
      </c>
      <c r="N51" s="5" t="n"/>
      <c r="O51" s="5" t="n">
        <v>20000</v>
      </c>
      <c r="P51" s="5" t="n">
        <v>1</v>
      </c>
      <c r="Q51">
        <f>L51+IF(M51&gt;1,N(N51)*(M51-1),0)</f>
        <v/>
      </c>
      <c r="R51">
        <f>IFERROR(K51*MAX(M51,1)/Q51*P51,0)</f>
        <v/>
      </c>
      <c r="AA51" s="6" t="inlineStr"/>
    </row>
    <row r="52">
      <c r="A52" t="inlineStr">
        <is>
          <t>shared</t>
        </is>
      </c>
      <c r="B52" t="inlineStr">
        <is>
          <t>japan_japanesespeedboat</t>
        </is>
      </c>
      <c r="C52" t="inlineStr">
        <is>
          <t>Japanese Speedboat</t>
        </is>
      </c>
      <c r="D52" t="inlineStr"/>
      <c r="E52" s="5" t="n">
        <v>40000</v>
      </c>
      <c r="F52" s="5" t="n">
        <v>140</v>
      </c>
      <c r="G52" t="inlineStr">
        <is>
          <t>Light</t>
        </is>
      </c>
      <c r="H52" s="5" t="n">
        <v>1</v>
      </c>
      <c r="I52" s="5" t="n">
        <v>1</v>
      </c>
      <c r="J52" s="5" t="n">
        <v>1</v>
      </c>
      <c r="O52">
        <f>MAX(O53,O54,O55,O56)</f>
        <v/>
      </c>
      <c r="R52">
        <f>R53+R54+R55+R56</f>
        <v/>
      </c>
      <c r="S52">
        <f>(E52/100000+F52/100+(O52/1000)*J52/5+R52/200)*200*I52*H52</f>
        <v/>
      </c>
      <c r="T52">
        <f>((E52*F52/25000)+((O52/1000)*J52*R52/2.5))*I52*H52</f>
        <v/>
      </c>
      <c r="U52">
        <f>(E52*F52*(O52/1000)*J52*R52*I52*H52)/12500000</f>
        <v/>
      </c>
      <c r="V52">
        <f>(S52+T52+U52)/3</f>
        <v/>
      </c>
      <c r="W52" s="5" t="n">
        <v>1200</v>
      </c>
      <c r="X52">
        <f>IFERROR(V52-W52,"")</f>
        <v/>
      </c>
      <c r="Y52">
        <f>IFERROR(ABS(X52)/MAX(W52,1),"")</f>
        <v/>
      </c>
      <c r="Z52">
        <f>IFERROR((W52-(((E52/100000+F52/100+R52/200)*200*I52*H52)+((E52*F52/25000)*I52*H52))/3)/(((J52/5)*200*I52*H52)+((J52*R52/2.5)*I52*H52)+((E52*F52*J52*R52*I52*H52)/12500000))/3*1000,"")</f>
        <v/>
      </c>
    </row>
    <row r="53">
      <c r="B53" s="6" t="inlineStr">
        <is>
          <t xml:space="preserve">  ↳ JapanSpeedBoatGun</t>
        </is>
      </c>
      <c r="C53" s="6" t="inlineStr">
        <is>
          <t>Armament@AG</t>
        </is>
      </c>
      <c r="K53" s="5" t="n">
        <v>2000</v>
      </c>
      <c r="L53" s="5" t="n">
        <v>4</v>
      </c>
      <c r="M53" s="5" t="n">
        <v>1</v>
      </c>
      <c r="N53" s="5" t="n"/>
      <c r="O53" s="5" t="n">
        <v>5750</v>
      </c>
      <c r="P53" s="5" t="n">
        <v>1</v>
      </c>
      <c r="Q53">
        <f>L53+IF(M53&gt;1,N(N53)*(M53-1),0)</f>
        <v/>
      </c>
      <c r="R53">
        <f>IFERROR(K53*MAX(M53,1)/Q53*P53,0)</f>
        <v/>
      </c>
      <c r="AA53" s="6" t="inlineStr">
        <is>
          <t>^SmallArms, ^Chaingun</t>
        </is>
      </c>
    </row>
    <row r="54">
      <c r="B54" s="6" t="inlineStr">
        <is>
          <t xml:space="preserve">  ↳ JapanSpeedBoatGunWaveforce</t>
        </is>
      </c>
      <c r="C54" s="6" t="inlineStr">
        <is>
          <t>Armament@Upgrade</t>
        </is>
      </c>
      <c r="K54" s="5" t="n">
        <v>2000</v>
      </c>
      <c r="L54" s="5" t="n">
        <v>4</v>
      </c>
      <c r="M54" s="5" t="n">
        <v>1</v>
      </c>
      <c r="N54" s="5" t="n"/>
      <c r="O54" s="5" t="n">
        <v>5750</v>
      </c>
      <c r="P54" s="5" t="n">
        <v>1</v>
      </c>
      <c r="Q54">
        <f>L54+IF(M54&gt;1,N(N54)*(M54-1),0)</f>
        <v/>
      </c>
      <c r="R54">
        <f>IFERROR(K54*MAX(M54,1)/Q54*P54,0)</f>
        <v/>
      </c>
      <c r="AA54" s="6" t="inlineStr">
        <is>
          <t>^WaveforceBulletWarhead, ^SmallArms, ^Chaingun, ^WaveforceBulletProjectile</t>
        </is>
      </c>
    </row>
    <row r="55">
      <c r="B55" s="6" t="inlineStr">
        <is>
          <t xml:space="preserve">  ↳ DepthCharge</t>
        </is>
      </c>
      <c r="C55" s="6" t="inlineStr">
        <is>
          <t>Armament@DC1</t>
        </is>
      </c>
      <c r="K55" s="5" t="n">
        <v>60000</v>
      </c>
      <c r="L55" s="5" t="n">
        <v>60</v>
      </c>
      <c r="M55" s="5" t="n">
        <v>1</v>
      </c>
      <c r="N55" s="5" t="n"/>
      <c r="O55" s="5" t="n">
        <v>6000</v>
      </c>
      <c r="P55" s="5" t="n">
        <v>1</v>
      </c>
      <c r="Q55">
        <f>L55+IF(M55&gt;1,N(N55)*(M55-1),0)</f>
        <v/>
      </c>
      <c r="R55">
        <f>IFERROR(K55*MAX(M55,1)/Q55*P55,0)</f>
        <v/>
      </c>
      <c r="AA55" s="6" t="inlineStr">
        <is>
          <t>^Grenade</t>
        </is>
      </c>
    </row>
    <row r="56">
      <c r="B56" s="6" t="inlineStr">
        <is>
          <t xml:space="preserve">  ↳ DepthCharge</t>
        </is>
      </c>
      <c r="C56" s="6" t="inlineStr">
        <is>
          <t>Armament@DC2</t>
        </is>
      </c>
      <c r="K56" s="5" t="n">
        <v>60000</v>
      </c>
      <c r="L56" s="5" t="n">
        <v>60</v>
      </c>
      <c r="M56" s="5" t="n">
        <v>1</v>
      </c>
      <c r="N56" s="5" t="n"/>
      <c r="O56" s="5" t="n">
        <v>6000</v>
      </c>
      <c r="P56" s="5" t="n">
        <v>1</v>
      </c>
      <c r="Q56">
        <f>L56+IF(M56&gt;1,N(N56)*(M56-1),0)</f>
        <v/>
      </c>
      <c r="R56">
        <f>IFERROR(K56*MAX(M56,1)/Q56*P56,0)</f>
        <v/>
      </c>
      <c r="AA56" s="6" t="inlineStr">
        <is>
          <t>^Grenade</t>
        </is>
      </c>
    </row>
    <row r="57">
      <c r="A57" t="inlineStr">
        <is>
          <t>shared</t>
        </is>
      </c>
      <c r="B57" t="inlineStr">
        <is>
          <t>japan_yamatobattleship</t>
        </is>
      </c>
      <c r="C57" t="inlineStr">
        <is>
          <t>Yamato Battleship</t>
        </is>
      </c>
      <c r="D57" t="inlineStr"/>
      <c r="E57" s="5" t="n">
        <v>250000</v>
      </c>
      <c r="F57" s="5" t="n">
        <v>35</v>
      </c>
      <c r="G57" t="inlineStr">
        <is>
          <t>Superheavy</t>
        </is>
      </c>
      <c r="H57" s="5" t="n">
        <v>1</v>
      </c>
      <c r="I57" s="5" t="n">
        <v>1</v>
      </c>
      <c r="J57" s="5" t="n">
        <v>1</v>
      </c>
      <c r="O57">
        <f>MAX(O58,O59,O60)</f>
        <v/>
      </c>
      <c r="R57">
        <f>R58+R59+R60</f>
        <v/>
      </c>
      <c r="S57">
        <f>(E57/100000+F57/100+(O57/1000)*J57/5+R57/200)*200*I57*H57</f>
        <v/>
      </c>
      <c r="T57">
        <f>((E57*F57/25000)+((O57/1000)*J57*R57/2.5))*I57*H57</f>
        <v/>
      </c>
      <c r="U57">
        <f>(E57*F57*(O57/1000)*J57*R57*I57*H57)/12500000</f>
        <v/>
      </c>
      <c r="V57">
        <f>(S57+T57+U57)/3</f>
        <v/>
      </c>
      <c r="W57" s="5" t="n">
        <v>2200</v>
      </c>
      <c r="X57">
        <f>IFERROR(V57-W57,"")</f>
        <v/>
      </c>
      <c r="Y57">
        <f>IFERROR(ABS(X57)/MAX(W57,1),"")</f>
        <v/>
      </c>
      <c r="Z57">
        <f>IFERROR((W57-(((E57/100000+F57/100+R57/200)*200*I57*H57)+((E57*F57/25000)*I57*H57))/3)/(((J57/5)*200*I57*H57)+((J57*R57/2.5)*I57*H57)+((E57*F57*J57*R57*I57*H57)/12500000))/3*1000,"")</f>
        <v/>
      </c>
    </row>
    <row r="58">
      <c r="B58" s="6" t="inlineStr">
        <is>
          <t xml:space="preserve">  ↳ YamatoCannon</t>
        </is>
      </c>
      <c r="C58" s="6" t="inlineStr">
        <is>
          <t>Armament@PRIMARY</t>
        </is>
      </c>
      <c r="K58" s="5" t="n">
        <v>20000</v>
      </c>
      <c r="L58" s="5" t="n">
        <v>125</v>
      </c>
      <c r="M58" s="5" t="n">
        <v>2</v>
      </c>
      <c r="N58" s="5" t="n"/>
      <c r="O58" s="5" t="n">
        <v>12500</v>
      </c>
      <c r="P58" s="5" t="n">
        <v>1</v>
      </c>
      <c r="Q58">
        <f>L58+IF(M58&gt;1,N(N58)*(M58-1),0)</f>
        <v/>
      </c>
      <c r="R58">
        <f>IFERROR(K58*MAX(M58,1)/Q58*P58,0)</f>
        <v/>
      </c>
      <c r="AA58" s="6" t="inlineStr">
        <is>
          <t>^HeavyBomb, ^HeavyCannon</t>
        </is>
      </c>
    </row>
    <row r="59">
      <c r="B59" s="6" t="inlineStr">
        <is>
          <t xml:space="preserve">  ↳ YamatoCannon</t>
        </is>
      </c>
      <c r="C59" s="6" t="inlineStr">
        <is>
          <t>Armament@SECONDARY</t>
        </is>
      </c>
      <c r="K59" s="5" t="n">
        <v>20000</v>
      </c>
      <c r="L59" s="5" t="n">
        <v>125</v>
      </c>
      <c r="M59" s="5" t="n">
        <v>2</v>
      </c>
      <c r="N59" s="5" t="n"/>
      <c r="O59" s="5" t="n">
        <v>12500</v>
      </c>
      <c r="P59" s="5" t="n">
        <v>1</v>
      </c>
      <c r="Q59">
        <f>L59+IF(M59&gt;1,N(N59)*(M59-1),0)</f>
        <v/>
      </c>
      <c r="R59">
        <f>IFERROR(K59*MAX(M59,1)/Q59*P59,0)</f>
        <v/>
      </c>
      <c r="AA59" s="6" t="inlineStr">
        <is>
          <t>^HeavyBomb, ^HeavyCannon</t>
        </is>
      </c>
    </row>
    <row r="60">
      <c r="B60" s="6" t="inlineStr">
        <is>
          <t xml:space="preserve">  ↳ YamatoFlak</t>
        </is>
      </c>
      <c r="C60" s="6" t="inlineStr">
        <is>
          <t>Armament@AA</t>
        </is>
      </c>
      <c r="K60" s="5" t="n">
        <v>2000</v>
      </c>
      <c r="L60" s="5" t="n">
        <v>4</v>
      </c>
      <c r="M60" s="5" t="n">
        <v>1</v>
      </c>
      <c r="N60" s="5" t="n"/>
      <c r="O60" s="5" t="n">
        <v>12500</v>
      </c>
      <c r="P60" s="5" t="n">
        <v>1</v>
      </c>
      <c r="Q60">
        <f>L60+IF(M60&gt;1,N(N60)*(M60-1),0)</f>
        <v/>
      </c>
      <c r="R60">
        <f>IFERROR(K60*MAX(M60,1)/Q60*P60,0)</f>
        <v/>
      </c>
      <c r="AA60" s="6" t="inlineStr">
        <is>
          <t>^FlakWeapon</t>
        </is>
      </c>
    </row>
    <row r="61">
      <c r="A61" t="inlineStr">
        <is>
          <t>shared</t>
        </is>
      </c>
      <c r="B61" t="inlineStr">
        <is>
          <t>japan_zerofighter_slave</t>
        </is>
      </c>
      <c r="C61" t="inlineStr">
        <is>
          <t>Zero Fighter</t>
        </is>
      </c>
      <c r="D61" t="inlineStr"/>
      <c r="E61" s="5" t="n">
        <v>7500</v>
      </c>
      <c r="F61" s="5" t="n">
        <v>175</v>
      </c>
      <c r="G61" t="inlineStr">
        <is>
          <t>Bomber</t>
        </is>
      </c>
      <c r="H61" s="5" t="n">
        <v>1</v>
      </c>
      <c r="I61" s="5" t="n">
        <v>1</v>
      </c>
      <c r="J61" s="5" t="n">
        <v>1</v>
      </c>
      <c r="O61">
        <f>MAX(O62,O63,O64,O65,O66)</f>
        <v/>
      </c>
      <c r="R61">
        <f>R62+R63+R64+R65+R66</f>
        <v/>
      </c>
      <c r="S61">
        <f>(E61/100000+F61/100+(O61/1000)*J61/5+R61/200)*200*I61*H61</f>
        <v/>
      </c>
      <c r="T61">
        <f>((E61*F61/25000)+((O61/1000)*J61*R61/2.5))*I61*H61</f>
        <v/>
      </c>
      <c r="U61">
        <f>(E61*F61*(O61/1000)*J61*R61*I61*H61)/12500000</f>
        <v/>
      </c>
      <c r="V61">
        <f>(S61+T61+U61)/3</f>
        <v/>
      </c>
      <c r="W61" s="5" t="n">
        <v>1500</v>
      </c>
      <c r="X61">
        <f>IFERROR(V61-W61,"")</f>
        <v/>
      </c>
      <c r="Y61">
        <f>IFERROR(ABS(X61)/MAX(W61,1),"")</f>
        <v/>
      </c>
      <c r="Z61">
        <f>IFERROR((W61-(((E61/100000+F61/100+R61/200)*200*I61*H61)+((E61*F61/25000)*I61*H61))/3)/(((J61/5)*200*I61*H61)+((J61*R61/2.5)*I61*H61)+((E61*F61*J61*R61*I61*H61)/12500000))/3*1000,"")</f>
        <v/>
      </c>
    </row>
    <row r="62">
      <c r="B62" s="6" t="inlineStr">
        <is>
          <t xml:space="preserve">  ↳ ZeroFighterChainGun</t>
        </is>
      </c>
      <c r="C62" s="6" t="inlineStr">
        <is>
          <t>Armament@PRIMARY</t>
        </is>
      </c>
      <c r="K62" s="5" t="n">
        <v>6000</v>
      </c>
      <c r="L62" s="5" t="n">
        <v>92</v>
      </c>
      <c r="M62" s="5" t="n">
        <v>12</v>
      </c>
      <c r="N62" s="5" t="n">
        <v>4</v>
      </c>
      <c r="O62" s="5" t="n">
        <v>6615</v>
      </c>
      <c r="P62" s="5" t="n">
        <v>1</v>
      </c>
      <c r="Q62">
        <f>L62+IF(M62&gt;1,N(N62)*(M62-1),0)</f>
        <v/>
      </c>
      <c r="R62">
        <f>IFERROR(K62*MAX(M62,1)/Q62*P62,0)</f>
        <v/>
      </c>
      <c r="AA62" s="6" t="inlineStr">
        <is>
          <t>^Chaingun</t>
        </is>
      </c>
    </row>
    <row r="63">
      <c r="B63" s="6" t="inlineStr">
        <is>
          <t xml:space="preserve">  ↳ ZeroFighterChainGun</t>
        </is>
      </c>
      <c r="C63" s="6" t="inlineStr">
        <is>
          <t>Armament@SECONDARY</t>
        </is>
      </c>
      <c r="K63" s="5" t="n">
        <v>6000</v>
      </c>
      <c r="L63" s="5" t="n">
        <v>92</v>
      </c>
      <c r="M63" s="5" t="n">
        <v>12</v>
      </c>
      <c r="N63" s="5" t="n">
        <v>4</v>
      </c>
      <c r="O63" s="5" t="n">
        <v>6615</v>
      </c>
      <c r="P63" s="5" t="n">
        <v>1</v>
      </c>
      <c r="Q63">
        <f>L63+IF(M63&gt;1,N(N63)*(M63-1),0)</f>
        <v/>
      </c>
      <c r="R63">
        <f>IFERROR(K63*MAX(M63,1)/Q63*P63,0)</f>
        <v/>
      </c>
      <c r="AA63" s="6" t="inlineStr">
        <is>
          <t>^Chaingun</t>
        </is>
      </c>
    </row>
    <row r="64">
      <c r="B64" s="6" t="inlineStr">
        <is>
          <t xml:space="preserve">  ↳ ZeroFighterChainGunWaveforce</t>
        </is>
      </c>
      <c r="C64" s="6" t="inlineStr">
        <is>
          <t>Armament@Upgrade</t>
        </is>
      </c>
      <c r="K64" s="5" t="n">
        <v>4000</v>
      </c>
      <c r="L64" s="5" t="n">
        <v>92</v>
      </c>
      <c r="M64" s="5" t="n">
        <v>12</v>
      </c>
      <c r="N64" s="5" t="n">
        <v>4</v>
      </c>
      <c r="O64" s="5" t="n">
        <v>6615</v>
      </c>
      <c r="P64" s="5" t="n">
        <v>1</v>
      </c>
      <c r="Q64">
        <f>L64+IF(M64&gt;1,N(N64)*(M64-1),0)</f>
        <v/>
      </c>
      <c r="R64">
        <f>IFERROR(K64*MAX(M64,1)/Q64*P64,0)</f>
        <v/>
      </c>
      <c r="AA64" s="6" t="inlineStr">
        <is>
          <t>^WaveforceBulletWarhead, ^Grenade, ^Chaingun, ^WaveforceBulletProjectile</t>
        </is>
      </c>
    </row>
    <row r="65">
      <c r="B65" s="6" t="inlineStr">
        <is>
          <t xml:space="preserve">  ↳ ZeroFighterChainGunWaveforce</t>
        </is>
      </c>
      <c r="C65" s="6" t="inlineStr">
        <is>
          <t>Armament@UpgradeSECONDARY</t>
        </is>
      </c>
      <c r="K65" s="5" t="n">
        <v>4000</v>
      </c>
      <c r="L65" s="5" t="n">
        <v>92</v>
      </c>
      <c r="M65" s="5" t="n">
        <v>12</v>
      </c>
      <c r="N65" s="5" t="n">
        <v>4</v>
      </c>
      <c r="O65" s="5" t="n">
        <v>6615</v>
      </c>
      <c r="P65" s="5" t="n">
        <v>1</v>
      </c>
      <c r="Q65">
        <f>L65+IF(M65&gt;1,N(N65)*(M65-1),0)</f>
        <v/>
      </c>
      <c r="R65">
        <f>IFERROR(K65*MAX(M65,1)/Q65*P65,0)</f>
        <v/>
      </c>
      <c r="AA65" s="6" t="inlineStr">
        <is>
          <t>^WaveforceBulletWarhead, ^Grenade, ^Chaingun, ^WaveforceBulletProjectile</t>
        </is>
      </c>
    </row>
    <row r="66">
      <c r="B66" s="6" t="inlineStr">
        <is>
          <t xml:space="preserve">  ↳ JapanCarrierFighterBomb</t>
        </is>
      </c>
      <c r="C66" s="6" t="inlineStr">
        <is>
          <t>Armament</t>
        </is>
      </c>
      <c r="K66" s="5" t="n">
        <v>10000</v>
      </c>
      <c r="L66" s="5" t="n">
        <v>5</v>
      </c>
      <c r="M66" s="5" t="n">
        <v>1</v>
      </c>
      <c r="N66" s="5" t="n"/>
      <c r="O66" s="5" t="n">
        <v>3000</v>
      </c>
      <c r="P66" s="5" t="n">
        <v>1</v>
      </c>
      <c r="Q66">
        <f>L66+IF(M66&gt;1,N(N66)*(M66-1),0)</f>
        <v/>
      </c>
      <c r="R66">
        <f>IFERROR(K66*MAX(M66,1)/Q66*P66,0)</f>
        <v/>
      </c>
      <c r="AA66" s="6" t="inlineStr">
        <is>
          <t>^HeavyBomb</t>
        </is>
      </c>
    </row>
    <row r="67">
      <c r="A67" t="inlineStr">
        <is>
          <t>shared</t>
        </is>
      </c>
      <c r="B67" t="inlineStr">
        <is>
          <t>ra1_allies_cruiser</t>
        </is>
      </c>
      <c r="C67" t="inlineStr">
        <is>
          <t>Cruiser</t>
        </is>
      </c>
      <c r="D67" t="inlineStr"/>
      <c r="E67" s="5" t="n">
        <v>225000</v>
      </c>
      <c r="F67" s="5" t="n">
        <v>40</v>
      </c>
      <c r="G67" t="inlineStr">
        <is>
          <t>Superheavy</t>
        </is>
      </c>
      <c r="H67" s="5" t="n">
        <v>1</v>
      </c>
      <c r="I67" s="5" t="n">
        <v>1</v>
      </c>
      <c r="J67" s="5" t="n">
        <v>1</v>
      </c>
      <c r="O67">
        <f>MAX(O68,O69)</f>
        <v/>
      </c>
      <c r="R67">
        <f>R68+R69</f>
        <v/>
      </c>
      <c r="S67">
        <f>(E67/100000+F67/100+(O67/1000)*J67/5+R67/200)*200*I67*H67</f>
        <v/>
      </c>
      <c r="T67">
        <f>((E67*F67/25000)+((O67/1000)*J67*R67/2.5))*I67*H67</f>
        <v/>
      </c>
      <c r="U67">
        <f>(E67*F67*(O67/1000)*J67*R67*I67*H67)/12500000</f>
        <v/>
      </c>
      <c r="V67">
        <f>(S67+T67+U67)/3</f>
        <v/>
      </c>
      <c r="W67" s="5" t="n">
        <v>3000</v>
      </c>
      <c r="X67">
        <f>IFERROR(V67-W67,"")</f>
        <v/>
      </c>
      <c r="Y67">
        <f>IFERROR(ABS(X67)/MAX(W67,1),"")</f>
        <v/>
      </c>
      <c r="Z67">
        <f>IFERROR((W67-(((E67/100000+F67/100+R67/200)*200*I67*H67)+((E67*F67/25000)*I67*H67))/3)/(((J67/5)*200*I67*H67)+((J67*R67/2.5)*I67*H67)+((E67*F67*J67*R67*I67*H67)/12500000))/3*1000,"")</f>
        <v/>
      </c>
    </row>
    <row r="68">
      <c r="B68" s="6" t="inlineStr">
        <is>
          <t xml:space="preserve">  ↳ 8Inch</t>
        </is>
      </c>
      <c r="C68" s="6" t="inlineStr">
        <is>
          <t>Armament@PRIMARY</t>
        </is>
      </c>
      <c r="K68" s="5" t="n">
        <v>40000</v>
      </c>
      <c r="L68" s="5" t="n">
        <v>250</v>
      </c>
      <c r="M68" s="5" t="n">
        <v>2</v>
      </c>
      <c r="N68" s="5" t="n"/>
      <c r="O68" s="5" t="n">
        <v>15000</v>
      </c>
      <c r="P68" s="5" t="n">
        <v>1</v>
      </c>
      <c r="Q68">
        <f>L68+IF(M68&gt;1,N(N68)*(M68-1),0)</f>
        <v/>
      </c>
      <c r="R68">
        <f>IFERROR(K68*MAX(M68,1)/Q68*P68,0)</f>
        <v/>
      </c>
      <c r="AA68" s="6" t="inlineStr">
        <is>
          <t>^HeavyBomb, ^Grenade</t>
        </is>
      </c>
    </row>
    <row r="69">
      <c r="B69" s="6" t="inlineStr">
        <is>
          <t xml:space="preserve">  ↳ 8Inch</t>
        </is>
      </c>
      <c r="C69" s="6" t="inlineStr">
        <is>
          <t>Armament@SECONDARY</t>
        </is>
      </c>
      <c r="K69" s="5" t="n">
        <v>40000</v>
      </c>
      <c r="L69" s="5" t="n">
        <v>250</v>
      </c>
      <c r="M69" s="5" t="n">
        <v>2</v>
      </c>
      <c r="N69" s="5" t="n"/>
      <c r="O69" s="5" t="n">
        <v>15000</v>
      </c>
      <c r="P69" s="5" t="n">
        <v>1</v>
      </c>
      <c r="Q69">
        <f>L69+IF(M69&gt;1,N(N69)*(M69-1),0)</f>
        <v/>
      </c>
      <c r="R69">
        <f>IFERROR(K69*MAX(M69,1)/Q69*P69,0)</f>
        <v/>
      </c>
      <c r="AA69" s="6" t="inlineStr">
        <is>
          <t>^HeavyBomb, ^Grenade</t>
        </is>
      </c>
    </row>
    <row r="70">
      <c r="A70" t="inlineStr">
        <is>
          <t>shared</t>
        </is>
      </c>
      <c r="B70" t="inlineStr">
        <is>
          <t>ra1_allies_destroyer</t>
        </is>
      </c>
      <c r="C70" t="inlineStr">
        <is>
          <t>Destroyer</t>
        </is>
      </c>
      <c r="D70" t="inlineStr"/>
      <c r="E70" s="5" t="n">
        <v>125000</v>
      </c>
      <c r="F70" s="5" t="n">
        <v>85</v>
      </c>
      <c r="G70" t="inlineStr">
        <is>
          <t>Heavy</t>
        </is>
      </c>
      <c r="H70" s="5" t="n">
        <v>1</v>
      </c>
      <c r="I70" s="5" t="n">
        <v>1</v>
      </c>
      <c r="J70" s="5" t="n">
        <v>1</v>
      </c>
      <c r="O70">
        <f>MAX(O71,O72,O73,O74)</f>
        <v/>
      </c>
      <c r="R70">
        <f>R71+R72+R73+R74</f>
        <v/>
      </c>
      <c r="S70">
        <f>(E70/100000+F70/100+(O70/1000)*J70/5+R70/200)*200*I70*H70</f>
        <v/>
      </c>
      <c r="T70">
        <f>((E70*F70/25000)+((O70/1000)*J70*R70/2.5))*I70*H70</f>
        <v/>
      </c>
      <c r="U70">
        <f>(E70*F70*(O70/1000)*J70*R70*I70*H70)/12500000</f>
        <v/>
      </c>
      <c r="V70">
        <f>(S70+T70+U70)/3</f>
        <v/>
      </c>
      <c r="W70" s="5" t="n">
        <v>1600</v>
      </c>
      <c r="X70">
        <f>IFERROR(V70-W70,"")</f>
        <v/>
      </c>
      <c r="Y70">
        <f>IFERROR(ABS(X70)/MAX(W70,1),"")</f>
        <v/>
      </c>
      <c r="Z70">
        <f>IFERROR((W70-(((E70/100000+F70/100+R70/200)*200*I70*H70)+((E70*F70/25000)*I70*H70))/3)/(((J70/5)*200*I70*H70)+((J70*R70/2.5)*I70*H70)+((E70*F70*J70*R70*I70*H70)/12500000))/3*1000,"")</f>
        <v/>
      </c>
    </row>
    <row r="71">
      <c r="B71" s="6" t="inlineStr">
        <is>
          <t xml:space="preserve">  ↳ Stinger</t>
        </is>
      </c>
      <c r="C71" s="6" t="inlineStr">
        <is>
          <t>Armament</t>
        </is>
      </c>
      <c r="K71" s="5" t="n">
        <v>10000</v>
      </c>
      <c r="L71" s="5" t="n">
        <v>27</v>
      </c>
      <c r="M71" s="5" t="n">
        <v>2</v>
      </c>
      <c r="N71" s="5" t="n">
        <v>7</v>
      </c>
      <c r="O71" s="5" t="n">
        <v>8000</v>
      </c>
      <c r="P71" s="5" t="n">
        <v>1</v>
      </c>
      <c r="Q71">
        <f>L71+IF(M71&gt;1,N(N71)*(M71-1),0)</f>
        <v/>
      </c>
      <c r="R71">
        <f>IFERROR(K71*MAX(M71,1)/Q71*P71,0)</f>
        <v/>
      </c>
      <c r="AA71" s="6" t="inlineStr">
        <is>
          <t>^HeavyMissile, ^ImpactGlow</t>
        </is>
      </c>
    </row>
    <row r="72">
      <c r="B72" s="6" t="inlineStr">
        <is>
          <t xml:space="preserve">  ↳ StingerCryo</t>
        </is>
      </c>
      <c r="C72" s="6" t="inlineStr">
        <is>
          <t>Armament@Upgrade</t>
        </is>
      </c>
      <c r="K72" s="5" t="n">
        <v>10000</v>
      </c>
      <c r="L72" s="5" t="n">
        <v>27</v>
      </c>
      <c r="M72" s="5" t="n">
        <v>2</v>
      </c>
      <c r="N72" s="5" t="n">
        <v>7</v>
      </c>
      <c r="O72" s="5" t="n">
        <v>8000</v>
      </c>
      <c r="P72" s="5" t="n">
        <v>1</v>
      </c>
      <c r="Q72">
        <f>L72+IF(M72&gt;1,N(N72)*(M72-1),0)</f>
        <v/>
      </c>
      <c r="R72">
        <f>IFERROR(K72*MAX(M72,1)/Q72*P72,0)</f>
        <v/>
      </c>
      <c r="AA72" s="6" t="inlineStr">
        <is>
          <t>^HeavyMissile, ^ImpactGlow, ^CryoMissileProjectile</t>
        </is>
      </c>
    </row>
    <row r="73">
      <c r="B73" s="6" t="inlineStr">
        <is>
          <t xml:space="preserve">  ↳ DepthCharge</t>
        </is>
      </c>
      <c r="C73" s="6" t="inlineStr">
        <is>
          <t>Armament@DC1</t>
        </is>
      </c>
      <c r="K73" s="5" t="n">
        <v>60000</v>
      </c>
      <c r="L73" s="5" t="n">
        <v>60</v>
      </c>
      <c r="M73" s="5" t="n">
        <v>1</v>
      </c>
      <c r="N73" s="5" t="n"/>
      <c r="O73" s="5" t="n">
        <v>6000</v>
      </c>
      <c r="P73" s="5" t="n">
        <v>1</v>
      </c>
      <c r="Q73">
        <f>L73+IF(M73&gt;1,N(N73)*(M73-1),0)</f>
        <v/>
      </c>
      <c r="R73">
        <f>IFERROR(K73*MAX(M73,1)/Q73*P73,0)</f>
        <v/>
      </c>
      <c r="AA73" s="6" t="inlineStr">
        <is>
          <t>^Grenade</t>
        </is>
      </c>
    </row>
    <row r="74">
      <c r="B74" s="6" t="inlineStr">
        <is>
          <t xml:space="preserve">  ↳ DepthCharge</t>
        </is>
      </c>
      <c r="C74" s="6" t="inlineStr">
        <is>
          <t>Armament@DC2</t>
        </is>
      </c>
      <c r="K74" s="5" t="n">
        <v>60000</v>
      </c>
      <c r="L74" s="5" t="n">
        <v>60</v>
      </c>
      <c r="M74" s="5" t="n">
        <v>1</v>
      </c>
      <c r="N74" s="5" t="n"/>
      <c r="O74" s="5" t="n">
        <v>6000</v>
      </c>
      <c r="P74" s="5" t="n">
        <v>1</v>
      </c>
      <c r="Q74">
        <f>L74+IF(M74&gt;1,N(N74)*(M74-1),0)</f>
        <v/>
      </c>
      <c r="R74">
        <f>IFERROR(K74*MAX(M74,1)/Q74*P74,0)</f>
        <v/>
      </c>
      <c r="AA74" s="6" t="inlineStr">
        <is>
          <t>^Grenade</t>
        </is>
      </c>
    </row>
    <row r="75">
      <c r="A75" t="inlineStr">
        <is>
          <t>shared</t>
        </is>
      </c>
      <c r="B75" t="inlineStr">
        <is>
          <t>ra1_allies_gunboat</t>
        </is>
      </c>
      <c r="C75" t="inlineStr">
        <is>
          <t>Gunboat</t>
        </is>
      </c>
      <c r="D75" t="inlineStr"/>
      <c r="E75" s="5" t="n">
        <v>60000</v>
      </c>
      <c r="F75" s="5" t="n">
        <v>120</v>
      </c>
      <c r="G75" t="inlineStr">
        <is>
          <t>Medium</t>
        </is>
      </c>
      <c r="H75" s="5" t="n">
        <v>1</v>
      </c>
      <c r="I75" s="5" t="n">
        <v>1</v>
      </c>
      <c r="J75" s="5" t="n">
        <v>1</v>
      </c>
      <c r="O75">
        <f>MAX(O76,O77)</f>
        <v/>
      </c>
      <c r="R75">
        <f>R76+R77</f>
        <v/>
      </c>
      <c r="S75">
        <f>(E75/100000+F75/100+(O75/1000)*J75/5+R75/200)*200*I75*H75</f>
        <v/>
      </c>
      <c r="T75">
        <f>((E75*F75/25000)+((O75/1000)*J75*R75/2.5))*I75*H75</f>
        <v/>
      </c>
      <c r="U75">
        <f>(E75*F75*(O75/1000)*J75*R75*I75*H75)/12500000</f>
        <v/>
      </c>
      <c r="V75">
        <f>(S75+T75+U75)/3</f>
        <v/>
      </c>
      <c r="W75" s="5" t="n">
        <v>1300</v>
      </c>
      <c r="X75">
        <f>IFERROR(V75-W75,"")</f>
        <v/>
      </c>
      <c r="Y75">
        <f>IFERROR(ABS(X75)/MAX(W75,1),"")</f>
        <v/>
      </c>
      <c r="Z75">
        <f>IFERROR((W75-(((E75/100000+F75/100+R75/200)*200*I75*H75)+((E75*F75/25000)*I75*H75))/3)/(((J75/5)*200*I75*H75)+((J75*R75/2.5)*I75*H75)+((E75*F75*J75*R75*I75*H75)/12500000))/3*1000,"")</f>
        <v/>
      </c>
    </row>
    <row r="76">
      <c r="B76" s="6" t="inlineStr">
        <is>
          <t xml:space="preserve">  ↳ 2Inch</t>
        </is>
      </c>
      <c r="C76" s="6" t="inlineStr">
        <is>
          <t>Armament@PRIMARY</t>
        </is>
      </c>
      <c r="K76" s="5" t="n">
        <v>30000</v>
      </c>
      <c r="L76" s="5" t="n">
        <v>30</v>
      </c>
      <c r="M76" s="5" t="n">
        <v>1</v>
      </c>
      <c r="N76" s="5" t="n"/>
      <c r="O76" s="5" t="n">
        <v>6000</v>
      </c>
      <c r="P76" s="5" t="n">
        <v>1</v>
      </c>
      <c r="Q76">
        <f>L76+IF(M76&gt;1,N(N76)*(M76-1),0)</f>
        <v/>
      </c>
      <c r="R76">
        <f>IFERROR(K76*MAX(M76,1)/Q76*P76,0)</f>
        <v/>
      </c>
      <c r="AA76" s="6" t="inlineStr">
        <is>
          <t>^TankDestroyerCannon</t>
        </is>
      </c>
    </row>
    <row r="77">
      <c r="B77" s="6" t="inlineStr">
        <is>
          <t xml:space="preserve">  ↳ DepthCharge</t>
        </is>
      </c>
      <c r="C77" s="6" t="inlineStr">
        <is>
          <t>Armament@SECONDARY</t>
        </is>
      </c>
      <c r="K77" s="5" t="n">
        <v>60000</v>
      </c>
      <c r="L77" s="5" t="n">
        <v>60</v>
      </c>
      <c r="M77" s="5" t="n">
        <v>1</v>
      </c>
      <c r="N77" s="5" t="n"/>
      <c r="O77" s="5" t="n">
        <v>6000</v>
      </c>
      <c r="P77" s="5" t="n">
        <v>1</v>
      </c>
      <c r="Q77">
        <f>L77+IF(M77&gt;1,N(N77)*(M77-1),0)</f>
        <v/>
      </c>
      <c r="R77">
        <f>IFERROR(K77*MAX(M77,1)/Q77*P77,0)</f>
        <v/>
      </c>
      <c r="AA77" s="6" t="inlineStr">
        <is>
          <t>^Grenade</t>
        </is>
      </c>
    </row>
    <row r="78">
      <c r="A78" t="inlineStr">
        <is>
          <t>shared</t>
        </is>
      </c>
      <c r="B78" t="inlineStr">
        <is>
          <t>ra1_navaltransport</t>
        </is>
      </c>
      <c r="C78" t="inlineStr">
        <is>
          <t>Naval Transport</t>
        </is>
      </c>
      <c r="D78" t="inlineStr"/>
      <c r="E78" s="5" t="n">
        <v>100000</v>
      </c>
      <c r="F78" s="5" t="n">
        <v>100</v>
      </c>
      <c r="G78" t="inlineStr">
        <is>
          <t>Heavy</t>
        </is>
      </c>
      <c r="H78" s="5" t="n">
        <v>1</v>
      </c>
      <c r="I78" s="5" t="n">
        <v>1</v>
      </c>
      <c r="J78" s="5" t="n">
        <v>1</v>
      </c>
      <c r="W78" s="5" t="n">
        <v>500</v>
      </c>
    </row>
    <row r="79">
      <c r="A79" t="inlineStr">
        <is>
          <t>shared</t>
        </is>
      </c>
      <c r="B79" t="inlineStr">
        <is>
          <t>ra1_soviets_missilesubmarine</t>
        </is>
      </c>
      <c r="C79" t="inlineStr">
        <is>
          <t>Missile Submarine</t>
        </is>
      </c>
      <c r="D79" t="inlineStr"/>
      <c r="E79" s="5" t="n">
        <v>70000</v>
      </c>
      <c r="F79" s="5" t="n">
        <v>60</v>
      </c>
      <c r="G79" t="inlineStr">
        <is>
          <t>Medium</t>
        </is>
      </c>
      <c r="H79" s="5" t="n">
        <v>1</v>
      </c>
      <c r="I79" s="5" t="n">
        <v>1</v>
      </c>
      <c r="J79" s="5" t="n">
        <v>1</v>
      </c>
      <c r="O79">
        <f>MAX(O80)</f>
        <v/>
      </c>
      <c r="R79">
        <f>R80</f>
        <v/>
      </c>
      <c r="S79">
        <f>(E79/100000+F79/100+(O79/1000)*J79/5+R79/200)*200*I79*H79</f>
        <v/>
      </c>
      <c r="T79">
        <f>((E79*F79/25000)+((O79/1000)*J79*R79/2.5))*I79*H79</f>
        <v/>
      </c>
      <c r="U79">
        <f>(E79*F79*(O79/1000)*J79*R79*I79*H79)/12500000</f>
        <v/>
      </c>
      <c r="V79">
        <f>(S79+T79+U79)/3</f>
        <v/>
      </c>
      <c r="W79" s="5" t="n">
        <v>3000</v>
      </c>
      <c r="X79">
        <f>IFERROR(V79-W79,"")</f>
        <v/>
      </c>
      <c r="Y79">
        <f>IFERROR(ABS(X79)/MAX(W79,1),"")</f>
        <v/>
      </c>
      <c r="Z79">
        <f>IFERROR((W79-(((E79/100000+F79/100+R79/200)*200*I79*H79)+((E79*F79/25000)*I79*H79))/3)/(((J79/5)*200*I79*H79)+((J79*R79/2.5)*I79*H79)+((E79*F79*J79*R79*I79*H79)/12500000))/3*1000,"")</f>
        <v/>
      </c>
    </row>
    <row r="80">
      <c r="B80" s="6" t="inlineStr">
        <is>
          <t xml:space="preserve">  ↳ 227mm</t>
        </is>
      </c>
      <c r="C80" s="6" t="inlineStr">
        <is>
          <t>Armament@PRIMARY</t>
        </is>
      </c>
      <c r="K80" s="5" t="n">
        <v>2000</v>
      </c>
      <c r="L80" s="5" t="n">
        <v>111</v>
      </c>
      <c r="M80" s="5" t="n">
        <v>6</v>
      </c>
      <c r="N80" s="5" t="n">
        <v>5</v>
      </c>
      <c r="O80" s="5" t="n">
        <v>9920</v>
      </c>
      <c r="P80" s="5" t="n">
        <v>1</v>
      </c>
      <c r="Q80">
        <f>L80+IF(M80&gt;1,N(N80)*(M80-1),0)</f>
        <v/>
      </c>
      <c r="R80">
        <f>IFERROR(K80*MAX(M80,1)/Q80*P80,0)</f>
        <v/>
      </c>
      <c r="AA80" s="6" t="inlineStr">
        <is>
          <t>^FlakWeapon, ^Grenade, ^HeavyMissile, ^MediumMissile</t>
        </is>
      </c>
    </row>
    <row r="81">
      <c r="A81" t="inlineStr">
        <is>
          <t>shared</t>
        </is>
      </c>
      <c r="B81" t="inlineStr">
        <is>
          <t>ra1_soviets_submarine</t>
        </is>
      </c>
      <c r="C81" t="inlineStr">
        <is>
          <t>Soviet Submarine</t>
        </is>
      </c>
      <c r="D81" t="inlineStr"/>
      <c r="E81" s="5" t="n">
        <v>100000</v>
      </c>
      <c r="F81" s="5" t="n">
        <v>75</v>
      </c>
      <c r="G81" t="inlineStr">
        <is>
          <t>Heavy</t>
        </is>
      </c>
      <c r="H81" s="5" t="n">
        <v>1</v>
      </c>
      <c r="I81" s="5" t="n">
        <v>1</v>
      </c>
      <c r="J81" s="5" t="n">
        <v>1</v>
      </c>
      <c r="O81">
        <f>MAX(O82,O83)</f>
        <v/>
      </c>
      <c r="R81">
        <f>R82+R83</f>
        <v/>
      </c>
      <c r="S81">
        <f>(E81/100000+F81/100+(O81/1000)*J81/5+R81/200)*200*I81*H81</f>
        <v/>
      </c>
      <c r="T81">
        <f>((E81*F81/25000)+((O81/1000)*J81*R81/2.5))*I81*H81</f>
        <v/>
      </c>
      <c r="U81">
        <f>(E81*F81*(O81/1000)*J81*R81*I81*H81)/12500000</f>
        <v/>
      </c>
      <c r="V81">
        <f>(S81+T81+U81)/3</f>
        <v/>
      </c>
      <c r="W81" s="5" t="n">
        <v>1000</v>
      </c>
      <c r="X81">
        <f>IFERROR(V81-W81,"")</f>
        <v/>
      </c>
      <c r="Y81">
        <f>IFERROR(ABS(X81)/MAX(W81,1),"")</f>
        <v/>
      </c>
      <c r="Z81">
        <f>IFERROR((W81-(((E81/100000+F81/100+R81/200)*200*I81*H81)+((E81*F81/25000)*I81*H81))/3)/(((J81/5)*200*I81*H81)+((J81*R81/2.5)*I81*H81)+((E81*F81*J81*R81*I81*H81)/12500000))/3*1000,"")</f>
        <v/>
      </c>
    </row>
    <row r="82">
      <c r="B82" s="6" t="inlineStr">
        <is>
          <t xml:space="preserve">  ↳ TorpTube</t>
        </is>
      </c>
      <c r="C82" s="6" t="inlineStr">
        <is>
          <t>Armament@PRIMARY</t>
        </is>
      </c>
      <c r="K82" s="5" t="n">
        <v>16000</v>
      </c>
      <c r="L82" s="5" t="n">
        <v>100</v>
      </c>
      <c r="M82" s="5" t="n">
        <v>1</v>
      </c>
      <c r="N82" s="5" t="n"/>
      <c r="O82" s="5" t="n">
        <v>10000</v>
      </c>
      <c r="P82" s="5" t="n">
        <v>1</v>
      </c>
      <c r="Q82">
        <f>L82+IF(M82&gt;1,N(N82)*(M82-1),0)</f>
        <v/>
      </c>
      <c r="R82">
        <f>IFERROR(K82*MAX(M82,1)/Q82*P82,0)</f>
        <v/>
      </c>
      <c r="AA82" s="6" t="inlineStr">
        <is>
          <t>^Grenade, ^HeavyMissile</t>
        </is>
      </c>
    </row>
    <row r="83">
      <c r="B83" s="6" t="inlineStr">
        <is>
          <t xml:space="preserve">  ↳ TorpTubeThermobaric</t>
        </is>
      </c>
      <c r="C83" s="6" t="inlineStr">
        <is>
          <t>Armament@Upgrade</t>
        </is>
      </c>
      <c r="K83" s="5" t="n">
        <v>16000</v>
      </c>
      <c r="L83" s="5" t="n">
        <v>100</v>
      </c>
      <c r="M83" s="5" t="n">
        <v>1</v>
      </c>
      <c r="N83" s="5" t="n"/>
      <c r="O83" s="5" t="n">
        <v>10000</v>
      </c>
      <c r="P83" s="5" t="n">
        <v>1</v>
      </c>
      <c r="Q83">
        <f>L83+IF(M83&gt;1,N(N83)*(M83-1),0)</f>
        <v/>
      </c>
      <c r="R83">
        <f>IFERROR(K83*MAX(M83,1)/Q83*P83,0)</f>
        <v/>
      </c>
      <c r="AA83" s="6" t="inlineStr">
        <is>
          <t>^NuclearWarhead, ^HeavyMissile</t>
        </is>
      </c>
    </row>
    <row r="84">
      <c r="A84" s="3" t="inlineStr">
        <is>
          <t>BUILDINGS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>
      <c r="A85" t="inlineStr">
        <is>
          <t>shared</t>
        </is>
      </c>
      <c r="B85" t="inlineStr">
        <is>
          <t>japan_japanesenavalyard</t>
        </is>
      </c>
      <c r="C85" t="inlineStr">
        <is>
          <t>Japanese Naval Yard</t>
        </is>
      </c>
      <c r="D85" t="inlineStr"/>
      <c r="E85" s="5" t="n">
        <v>600000</v>
      </c>
      <c r="F85" s="5" t="n"/>
      <c r="G85" t="inlineStr">
        <is>
          <t>Concrete</t>
        </is>
      </c>
      <c r="H85" s="5" t="n">
        <v>1</v>
      </c>
      <c r="I85" s="5" t="n">
        <v>1</v>
      </c>
      <c r="J85" s="5" t="n">
        <v>1</v>
      </c>
      <c r="W85" s="5" t="n">
        <v>3000</v>
      </c>
    </row>
    <row r="86">
      <c r="A86" t="inlineStr">
        <is>
          <t>shared</t>
        </is>
      </c>
      <c r="B86" t="inlineStr">
        <is>
          <t>ra1_advancedpowerplant</t>
        </is>
      </c>
      <c r="C86" t="inlineStr">
        <is>
          <t>Advanced Power Plant</t>
        </is>
      </c>
      <c r="D86" t="inlineStr"/>
      <c r="E86" s="5" t="n">
        <v>250000</v>
      </c>
      <c r="F86" s="5" t="n"/>
      <c r="G86" t="inlineStr">
        <is>
          <t>Wood</t>
        </is>
      </c>
      <c r="H86" s="5" t="n">
        <v>1</v>
      </c>
      <c r="I86" s="5" t="n">
        <v>1</v>
      </c>
      <c r="J86" s="5" t="n">
        <v>1</v>
      </c>
      <c r="W86" s="5" t="n">
        <v>1000</v>
      </c>
    </row>
    <row r="87">
      <c r="A87" t="inlineStr">
        <is>
          <t>shared</t>
        </is>
      </c>
      <c r="B87" t="inlineStr">
        <is>
          <t>ra1_allies_alliednavalyard</t>
        </is>
      </c>
      <c r="C87" t="inlineStr">
        <is>
          <t>Allied Naval Yard</t>
        </is>
      </c>
      <c r="D87" t="inlineStr"/>
      <c r="E87" s="5" t="n">
        <v>600000</v>
      </c>
      <c r="F87" s="5" t="n"/>
      <c r="G87" t="inlineStr">
        <is>
          <t>Concrete</t>
        </is>
      </c>
      <c r="H87" s="5" t="n">
        <v>1</v>
      </c>
      <c r="I87" s="5" t="n">
        <v>1</v>
      </c>
      <c r="J87" s="5" t="n">
        <v>1</v>
      </c>
      <c r="W87" s="5" t="n">
        <v>3000</v>
      </c>
    </row>
    <row r="88">
      <c r="A88" t="inlineStr">
        <is>
          <t>shared</t>
        </is>
      </c>
      <c r="B88" t="inlineStr">
        <is>
          <t>ra1_oresilo</t>
        </is>
      </c>
      <c r="C88" t="inlineStr">
        <is>
          <t>Ore Silo</t>
        </is>
      </c>
      <c r="D88" t="inlineStr"/>
      <c r="E88" s="5" t="n">
        <v>50000</v>
      </c>
      <c r="F88" s="5" t="n"/>
      <c r="G88" t="inlineStr">
        <is>
          <t>Wood</t>
        </is>
      </c>
      <c r="H88" s="5" t="n">
        <v>1</v>
      </c>
      <c r="I88" s="5" t="n">
        <v>1</v>
      </c>
      <c r="J88" s="5" t="n">
        <v>1</v>
      </c>
      <c r="W88" s="5" t="n">
        <v>150</v>
      </c>
    </row>
    <row r="89">
      <c r="A89" t="inlineStr">
        <is>
          <t>shared</t>
        </is>
      </c>
      <c r="B89" t="inlineStr">
        <is>
          <t>ra1_powerplant</t>
        </is>
      </c>
      <c r="C89" t="inlineStr">
        <is>
          <t>Power Plant</t>
        </is>
      </c>
      <c r="D89" t="inlineStr"/>
      <c r="E89" s="5" t="n">
        <v>125000</v>
      </c>
      <c r="F89" s="5" t="n"/>
      <c r="G89" t="inlineStr">
        <is>
          <t>Wood</t>
        </is>
      </c>
      <c r="H89" s="5" t="n">
        <v>1</v>
      </c>
      <c r="I89" s="5" t="n">
        <v>1</v>
      </c>
      <c r="J89" s="5" t="n">
        <v>1</v>
      </c>
      <c r="W89" s="5" t="n">
        <v>500</v>
      </c>
    </row>
    <row r="90">
      <c r="A90" t="inlineStr">
        <is>
          <t>shared</t>
        </is>
      </c>
      <c r="B90" t="inlineStr">
        <is>
          <t>ra1_soviets_kennel</t>
        </is>
      </c>
      <c r="C90" t="inlineStr">
        <is>
          <t>Kennel</t>
        </is>
      </c>
      <c r="D90" t="inlineStr"/>
      <c r="E90" s="5" t="n">
        <v>50000</v>
      </c>
      <c r="F90" s="5" t="n"/>
      <c r="G90" t="inlineStr">
        <is>
          <t>Wood</t>
        </is>
      </c>
      <c r="H90" s="5" t="n">
        <v>1</v>
      </c>
      <c r="I90" s="5" t="n">
        <v>1</v>
      </c>
      <c r="J90" s="5" t="n">
        <v>1</v>
      </c>
      <c r="W90" s="5" t="n">
        <v>200</v>
      </c>
    </row>
    <row r="91">
      <c r="A91" t="inlineStr">
        <is>
          <t>shared</t>
        </is>
      </c>
      <c r="B91" t="inlineStr">
        <is>
          <t>ra1_soviets_subpen</t>
        </is>
      </c>
      <c r="C91" t="inlineStr">
        <is>
          <t>Soviet Sub Pen</t>
        </is>
      </c>
      <c r="D91" t="inlineStr"/>
      <c r="E91" s="5" t="n">
        <v>600000</v>
      </c>
      <c r="F91" s="5" t="n"/>
      <c r="G91" t="inlineStr">
        <is>
          <t>Concrete</t>
        </is>
      </c>
      <c r="H91" s="5" t="n">
        <v>1</v>
      </c>
      <c r="I91" s="5" t="n">
        <v>1</v>
      </c>
      <c r="J91" s="5" t="n">
        <v>1</v>
      </c>
      <c r="W91" s="5" t="n">
        <v>800</v>
      </c>
    </row>
    <row r="92">
      <c r="A92" s="3" t="inlineStr">
        <is>
          <t>UPGRADES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</row>
    <row r="93">
      <c r="A93" t="inlineStr">
        <is>
          <t>shared</t>
        </is>
      </c>
      <c r="B93" t="inlineStr">
        <is>
          <t>japan_upgrade_nanotechrepairs_proxy_actor</t>
        </is>
      </c>
      <c r="C93" t="inlineStr">
        <is>
          <t>Nanotech Repairs</t>
        </is>
      </c>
      <c r="D93" t="inlineStr"/>
      <c r="E93" s="5" t="n"/>
      <c r="F93" s="5" t="n"/>
      <c r="H93" s="5" t="n">
        <v>1</v>
      </c>
      <c r="I93" s="5" t="n">
        <v>1</v>
      </c>
      <c r="J93" s="5" t="n">
        <v>1</v>
      </c>
      <c r="W93" s="5" t="n"/>
    </row>
    <row r="94">
      <c r="A94" t="inlineStr">
        <is>
          <t>shared</t>
        </is>
      </c>
      <c r="B94" t="inlineStr">
        <is>
          <t>ra1_allies_upgrade_gpssatellitesupport_proxy_actor</t>
        </is>
      </c>
      <c r="C94" t="inlineStr">
        <is>
          <t>GPS Satellite Support</t>
        </is>
      </c>
      <c r="D94" t="inlineStr"/>
      <c r="E94" s="5" t="n"/>
      <c r="F94" s="5" t="n"/>
      <c r="H94" s="5" t="n">
        <v>1</v>
      </c>
      <c r="I94" s="5" t="n">
        <v>1</v>
      </c>
      <c r="J94" s="5" t="n">
        <v>1</v>
      </c>
      <c r="W94" s="5" t="n"/>
    </row>
    <row r="95">
      <c r="A95" t="inlineStr">
        <is>
          <t>shared</t>
        </is>
      </c>
      <c r="B95" t="inlineStr">
        <is>
          <t>ra1_soviets_upgrade_menofsteel_proxy_actor</t>
        </is>
      </c>
      <c r="C95" t="inlineStr">
        <is>
          <t>Men Of Steel</t>
        </is>
      </c>
      <c r="D95" t="inlineStr"/>
      <c r="E95" s="5" t="n"/>
      <c r="F95" s="5" t="n"/>
      <c r="H95" s="5" t="n">
        <v>1</v>
      </c>
      <c r="I95" s="5" t="n">
        <v>1</v>
      </c>
      <c r="J95" s="5" t="n">
        <v>1</v>
      </c>
      <c r="W95" s="5" t="n"/>
    </row>
    <row r="96">
      <c r="A96" t="inlineStr">
        <is>
          <t>shared</t>
        </is>
      </c>
      <c r="B96" t="inlineStr">
        <is>
          <t>ra1_soviets_upgrade_nuclearshells_proxy_actor</t>
        </is>
      </c>
      <c r="C96" t="inlineStr">
        <is>
          <t>Nuclear Tank Shells</t>
        </is>
      </c>
      <c r="D96" t="inlineStr"/>
      <c r="E96" s="5" t="n"/>
      <c r="F96" s="5" t="n"/>
      <c r="H96" s="5" t="n">
        <v>1</v>
      </c>
      <c r="I96" s="5" t="n">
        <v>1</v>
      </c>
      <c r="J96" s="5" t="n">
        <v>1</v>
      </c>
      <c r="W96" s="5" t="n"/>
    </row>
    <row r="97">
      <c r="A97" t="inlineStr">
        <is>
          <t>shared</t>
        </is>
      </c>
      <c r="B97" t="inlineStr">
        <is>
          <t>ra1_soviets_upgrade_reactoroverload_proxy_actor</t>
        </is>
      </c>
      <c r="C97" t="inlineStr">
        <is>
          <t>Reactor Overload</t>
        </is>
      </c>
      <c r="D97" t="inlineStr"/>
      <c r="E97" s="5" t="n"/>
      <c r="F97" s="5" t="n"/>
      <c r="H97" s="5" t="n">
        <v>1</v>
      </c>
      <c r="I97" s="5" t="n">
        <v>1</v>
      </c>
      <c r="J97" s="5" t="n">
        <v>1</v>
      </c>
      <c r="W97" s="5" t="n"/>
    </row>
    <row r="98">
      <c r="A98" t="inlineStr">
        <is>
          <t>shared</t>
        </is>
      </c>
      <c r="B98" t="inlineStr">
        <is>
          <t>ra1_soviets_upgrade_scorchedearth_proxy_actor</t>
        </is>
      </c>
      <c r="C98" t="inlineStr">
        <is>
          <t>Scorched Earth</t>
        </is>
      </c>
      <c r="D98" t="inlineStr"/>
      <c r="E98" s="5" t="n"/>
      <c r="F98" s="5" t="n"/>
      <c r="H98" s="5" t="n">
        <v>1</v>
      </c>
      <c r="I98" s="5" t="n">
        <v>1</v>
      </c>
      <c r="J98" s="5" t="n">
        <v>1</v>
      </c>
      <c r="W98" s="5" t="n"/>
    </row>
    <row r="99">
      <c r="A99" t="inlineStr">
        <is>
          <t>shared</t>
        </is>
      </c>
      <c r="B99" t="inlineStr">
        <is>
          <t>ra1_soviets_upgrade_stalinium_proxy_actor</t>
        </is>
      </c>
      <c r="C99" t="inlineStr">
        <is>
          <t>Stalinium</t>
        </is>
      </c>
      <c r="D99" t="inlineStr"/>
      <c r="E99" s="5" t="n"/>
      <c r="F99" s="5" t="n"/>
      <c r="H99" s="5" t="n">
        <v>1</v>
      </c>
      <c r="I99" s="5" t="n">
        <v>1</v>
      </c>
      <c r="J99" s="5" t="n">
        <v>1</v>
      </c>
      <c r="W99" s="5" t="n"/>
    </row>
    <row r="100">
      <c r="A100" t="inlineStr">
        <is>
          <t>shared</t>
        </is>
      </c>
      <c r="B100" t="inlineStr">
        <is>
          <t>ra1_soviets_upgrade_wareconomy_proxy_actor</t>
        </is>
      </c>
      <c r="C100" t="inlineStr">
        <is>
          <t>War Economy</t>
        </is>
      </c>
      <c r="D100" t="inlineStr"/>
      <c r="E100" s="5" t="n"/>
      <c r="F100" s="5" t="n"/>
      <c r="H100" s="5" t="n">
        <v>1</v>
      </c>
      <c r="I100" s="5" t="n">
        <v>1</v>
      </c>
      <c r="J100" s="5" t="n">
        <v>1</v>
      </c>
      <c r="W100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101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7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UPGRADES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shared</t>
        </is>
      </c>
      <c r="B3" t="inlineStr">
        <is>
          <t>ra2_yuri_upgrade_geneticboost_proxy_actor</t>
        </is>
      </c>
      <c r="C3" t="inlineStr">
        <is>
          <t>Infantry Stealth Suits</t>
        </is>
      </c>
      <c r="D3" t="inlineStr"/>
      <c r="E3" s="5" t="n"/>
      <c r="F3" s="5" t="n"/>
      <c r="H3" s="5" t="n">
        <v>1</v>
      </c>
      <c r="I3" s="5" t="n">
        <v>1</v>
      </c>
      <c r="J3" s="5" t="n">
        <v>1</v>
      </c>
      <c r="W3" s="5" t="n"/>
    </row>
    <row r="4">
      <c r="A4" t="inlineStr">
        <is>
          <t>shared</t>
        </is>
      </c>
      <c r="B4" t="inlineStr">
        <is>
          <t>ra2_yuri_upgrade_psychicvision_proxy_actor</t>
        </is>
      </c>
      <c r="C4" t="inlineStr">
        <is>
          <t>Psychic Vision</t>
        </is>
      </c>
      <c r="D4" t="inlineStr"/>
      <c r="E4" s="5" t="n"/>
      <c r="F4" s="5" t="n"/>
      <c r="H4" s="5" t="n">
        <v>1</v>
      </c>
      <c r="I4" s="5" t="n">
        <v>1</v>
      </c>
      <c r="J4" s="5" t="n">
        <v>1</v>
      </c>
      <c r="W4" s="5" t="n"/>
    </row>
    <row r="5">
      <c r="A5" t="inlineStr">
        <is>
          <t>shared</t>
        </is>
      </c>
      <c r="B5" t="inlineStr">
        <is>
          <t>ra2_yuri_upgrade_stealthsuits_proxy_actor</t>
        </is>
      </c>
      <c r="C5" t="inlineStr">
        <is>
          <t>Infantry Stealth Suits</t>
        </is>
      </c>
      <c r="D5" t="inlineStr"/>
      <c r="E5" s="5" t="n"/>
      <c r="F5" s="5" t="n"/>
      <c r="H5" s="5" t="n">
        <v>1</v>
      </c>
      <c r="I5" s="5" t="n">
        <v>1</v>
      </c>
      <c r="J5" s="5" t="n">
        <v>1</v>
      </c>
      <c r="W5" s="5" t="n"/>
    </row>
    <row r="6">
      <c r="A6" s="3" t="inlineStr">
        <is>
          <t>MISC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>
      <c r="A7" t="inlineStr">
        <is>
          <t>shared</t>
        </is>
      </c>
      <c r="B7" t="inlineStr">
        <is>
          <t>OILB.RA2</t>
        </is>
      </c>
      <c r="C7" t="inlineStr">
        <is>
          <t>RA2 Oil Derrick</t>
        </is>
      </c>
      <c r="D7" t="inlineStr"/>
      <c r="E7" s="5" t="n">
        <v>250000</v>
      </c>
      <c r="F7" s="5" t="n"/>
      <c r="G7" t="inlineStr">
        <is>
          <t>Wood</t>
        </is>
      </c>
      <c r="H7" s="5" t="n">
        <v>1</v>
      </c>
      <c r="I7" s="5" t="n">
        <v>1</v>
      </c>
      <c r="J7" s="5" t="n">
        <v>1</v>
      </c>
      <c r="W7" s="5" t="n">
        <v>2500</v>
      </c>
    </row>
    <row r="8">
      <c r="A8" t="inlineStr">
        <is>
          <t>shared</t>
        </is>
      </c>
      <c r="B8" t="inlineStr">
        <is>
          <t>YRSLAV</t>
        </is>
      </c>
      <c r="C8" t="inlineStr">
        <is>
          <t>Slave</t>
        </is>
      </c>
      <c r="D8" t="inlineStr"/>
      <c r="E8" s="5" t="n">
        <v>10000</v>
      </c>
      <c r="F8" s="5" t="n">
        <v>60</v>
      </c>
      <c r="G8" t="inlineStr">
        <is>
          <t>Plate</t>
        </is>
      </c>
      <c r="H8" s="5" t="n">
        <v>1</v>
      </c>
      <c r="I8" s="5" t="n">
        <v>1</v>
      </c>
      <c r="J8" s="5" t="n">
        <v>1</v>
      </c>
      <c r="O8">
        <f>MAX(O9)</f>
        <v/>
      </c>
      <c r="R8">
        <f>R9</f>
        <v/>
      </c>
      <c r="S8">
        <f>(E8/100000+F8/100+(O8/1000)*J8/5+R8/200)*200*I8*H8</f>
        <v/>
      </c>
      <c r="T8">
        <f>((E8*F8/25000)+((O8/1000)*J8*R8/2.5))*I8*H8</f>
        <v/>
      </c>
      <c r="U8">
        <f>(E8*F8*(O8/1000)*J8*R8*I8*H8)/12500000</f>
        <v/>
      </c>
      <c r="V8">
        <f>(S8+T8+U8)/3</f>
        <v/>
      </c>
      <c r="W8" s="5" t="n">
        <v>250</v>
      </c>
      <c r="X8">
        <f>IFERROR(V8-W8,"")</f>
        <v/>
      </c>
      <c r="Y8">
        <f>IFERROR(ABS(X8)/MAX(W8,1),"")</f>
        <v/>
      </c>
      <c r="Z8">
        <f>IFERROR((W8-(((E8/100000+F8/100+R8/200)*200*I8*H8)+((E8*F8/25000)*I8*H8))/3)/(((J8/5)*200*I8*H8)+((J8*R8/2.5)*I8*H8)+((E8*F8*J8*R8*I8*H8)/12500000))/3*1000,"")</f>
        <v/>
      </c>
    </row>
    <row r="9">
      <c r="B9" s="6" t="inlineStr">
        <is>
          <t xml:space="preserve">  ↳ RA2Shovel</t>
        </is>
      </c>
      <c r="C9" s="6" t="inlineStr">
        <is>
          <t>Armament@PRIMARY</t>
        </is>
      </c>
      <c r="K9" s="5" t="n">
        <v>2000</v>
      </c>
      <c r="L9" s="5" t="n">
        <v>30</v>
      </c>
      <c r="M9" s="5" t="n">
        <v>1</v>
      </c>
      <c r="N9" s="5" t="n"/>
      <c r="O9" s="5" t="n">
        <v>1500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>
        <is>
          <t>^SwordWeapon</t>
        </is>
      </c>
    </row>
    <row r="10">
      <c r="B10" s="6" t="inlineStr">
        <is>
          <t xml:space="preserve">  ↳ RA2Shovel</t>
        </is>
      </c>
      <c r="C10" s="6" t="inlineStr">
        <is>
          <t>Armament@GARRISONED</t>
        </is>
      </c>
      <c r="K10" s="5" t="n">
        <v>2000</v>
      </c>
      <c r="L10" s="5" t="n">
        <v>30</v>
      </c>
      <c r="M10" s="5" t="n">
        <v>1</v>
      </c>
      <c r="N10" s="5" t="n"/>
      <c r="O10" s="5" t="n">
        <v>1500</v>
      </c>
      <c r="P10" s="5" t="n">
        <v>1</v>
      </c>
      <c r="Q10">
        <f>L10+IF(M10&gt;1,N(N10)*(M10-1),0)</f>
        <v/>
      </c>
      <c r="R10">
        <f>IFERROR(K10*MAX(M10,1)/Q10*P10,0)</f>
        <v/>
      </c>
      <c r="AA10" s="6" t="inlineStr">
        <is>
          <t>^SwordWeapon</t>
        </is>
      </c>
    </row>
    <row r="11">
      <c r="A11" t="inlineStr">
        <is>
          <t>shared</t>
        </is>
      </c>
      <c r="B11" t="inlineStr">
        <is>
          <t>ra2_ambu_demo</t>
        </is>
      </c>
      <c r="C11" t="inlineStr">
        <is>
          <t>Bomb Car</t>
        </is>
      </c>
      <c r="D11" t="inlineStr"/>
      <c r="E11" s="5" t="n">
        <v>20000</v>
      </c>
      <c r="F11" s="5" t="n">
        <v>100</v>
      </c>
      <c r="G11" t="inlineStr">
        <is>
          <t>Light</t>
        </is>
      </c>
      <c r="H11" s="5" t="n">
        <v>1</v>
      </c>
      <c r="I11" s="5" t="n">
        <v>1</v>
      </c>
      <c r="J11" s="5" t="n">
        <v>1</v>
      </c>
      <c r="O11">
        <f>MAX(O12)</f>
        <v/>
      </c>
      <c r="R11">
        <f>R12</f>
        <v/>
      </c>
      <c r="S11">
        <f>(E11/100000+F11/100+(O11/1000)*J11/5+R11/200)*200*I11*H11</f>
        <v/>
      </c>
      <c r="T11">
        <f>((E11*F11/25000)+((O11/1000)*J11*R11/2.5))*I11*H11</f>
        <v/>
      </c>
      <c r="U11">
        <f>(E11*F11*(O11/1000)*J11*R11*I11*H11)/12500000</f>
        <v/>
      </c>
      <c r="V11">
        <f>(S11+T11+U11)/3</f>
        <v/>
      </c>
      <c r="W11" s="5" t="n">
        <v>500</v>
      </c>
      <c r="X11">
        <f>IFERROR(V11-W11,"")</f>
        <v/>
      </c>
      <c r="Y11">
        <f>IFERROR(ABS(X11)/MAX(W11,1),"")</f>
        <v/>
      </c>
      <c r="Z11">
        <f>IFERROR((W11-(((E11/100000+F11/100+R11/200)*200*I11*H11)+((E11*F11/25000)*I11*H11))/3)/(((J11/5)*200*I11*H11)+((J11*R11/2.5)*I11*H11)+((E11*F11*J11*R11*I11*H11)/12500000))/3*1000,"")</f>
        <v/>
      </c>
    </row>
    <row r="12">
      <c r="B12" s="6" t="inlineStr">
        <is>
          <t xml:space="preserve">  ↳ DemoTruckTargeting</t>
        </is>
      </c>
      <c r="C12" s="6" t="inlineStr">
        <is>
          <t>Armament@PRIMARY</t>
        </is>
      </c>
      <c r="K12" s="5" t="n"/>
      <c r="L12" s="5" t="n"/>
      <c r="M12" s="5" t="n">
        <v>1</v>
      </c>
      <c r="N12" s="5" t="n"/>
      <c r="O12" s="5" t="n">
        <v>2000</v>
      </c>
      <c r="P12" s="5" t="n">
        <v>1</v>
      </c>
      <c r="Q12">
        <f>L12+IF(M12&gt;1,N(N12)*(M12-1),0)</f>
        <v/>
      </c>
      <c r="R12">
        <f>IFERROR(K12*MAX(M12,1)/Q12*P12,0)</f>
        <v/>
      </c>
      <c r="AA12" s="6" t="inlineStr"/>
    </row>
    <row r="13">
      <c r="A13" t="inlineStr">
        <is>
          <t>shared</t>
        </is>
      </c>
      <c r="B13" t="inlineStr">
        <is>
          <t>ra2_ambu_driveby</t>
        </is>
      </c>
      <c r="C13" t="inlineStr">
        <is>
          <t>Drive By Car</t>
        </is>
      </c>
      <c r="D13" t="inlineStr"/>
      <c r="E13" s="5" t="n">
        <v>25000</v>
      </c>
      <c r="F13" s="5" t="n">
        <v>100</v>
      </c>
      <c r="G13" t="inlineStr">
        <is>
          <t>Scout</t>
        </is>
      </c>
      <c r="H13" s="5" t="n">
        <v>1</v>
      </c>
      <c r="I13" s="5" t="n">
        <v>1</v>
      </c>
      <c r="J13" s="5" t="n">
        <v>1</v>
      </c>
      <c r="O13">
        <f>MAX(O14)</f>
        <v/>
      </c>
      <c r="R13">
        <f>R14</f>
        <v/>
      </c>
      <c r="S13">
        <f>(E13/100000+F13/100+(O13/1000)*J13/5+R13/200)*200*I13*H13</f>
        <v/>
      </c>
      <c r="T13">
        <f>((E13*F13/25000)+((O13/1000)*J13*R13/2.5))*I13*H13</f>
        <v/>
      </c>
      <c r="U13">
        <f>(E13*F13*(O13/1000)*J13*R13*I13*H13)/12500000</f>
        <v/>
      </c>
      <c r="V13">
        <f>(S13+T13+U13)/3</f>
        <v/>
      </c>
      <c r="W13" s="5" t="n">
        <v>1000</v>
      </c>
      <c r="X13">
        <f>IFERROR(V13-W13,"")</f>
        <v/>
      </c>
      <c r="Y13">
        <f>IFERROR(ABS(X13)/MAX(W13,1),"")</f>
        <v/>
      </c>
      <c r="Z13">
        <f>IFERROR((W13-(((E13/100000+F13/100+R13/200)*200*I13*H13)+((E13*F13/25000)*I13*H13))/3)/(((J13/5)*200*I13*H13)+((J13*R13/2.5)*I13*H13)+((E13*F13*J13*R13*I13*H13)/12500000))/3*1000,"")</f>
        <v/>
      </c>
    </row>
    <row r="14">
      <c r="B14" s="6" t="inlineStr">
        <is>
          <t xml:space="preserve">  ↳ RA220mmrapid</t>
        </is>
      </c>
      <c r="C14" s="6" t="inlineStr">
        <is>
          <t>Armament</t>
        </is>
      </c>
      <c r="K14" s="5" t="n">
        <v>4000</v>
      </c>
      <c r="L14" s="5" t="n">
        <v>15</v>
      </c>
      <c r="M14" s="5" t="n">
        <v>1</v>
      </c>
      <c r="N14" s="5" t="n"/>
      <c r="O14" s="5" t="n">
        <v>5000</v>
      </c>
      <c r="P14" s="5" t="n">
        <v>1</v>
      </c>
      <c r="Q14">
        <f>L14+IF(M14&gt;1,N(N14)*(M14-1),0)</f>
        <v/>
      </c>
      <c r="R14">
        <f>IFERROR(K14*MAX(M14,1)/Q14*P14,0)</f>
        <v/>
      </c>
      <c r="AA14" s="6" t="inlineStr">
        <is>
          <t>^RA2SmallArms, ^RA2Chaingun</t>
        </is>
      </c>
    </row>
    <row r="15">
      <c r="A15" t="inlineStr">
        <is>
          <t>shared</t>
        </is>
      </c>
      <c r="B15" t="inlineStr">
        <is>
          <t>ra2_awall</t>
        </is>
      </c>
      <c r="C15" t="inlineStr">
        <is>
          <t>Concrete Barrier</t>
        </is>
      </c>
      <c r="D15" t="inlineStr"/>
      <c r="E15" s="5" t="n">
        <v>100000</v>
      </c>
      <c r="F15" s="5" t="n"/>
      <c r="G15" t="inlineStr">
        <is>
          <t>Concrete</t>
        </is>
      </c>
      <c r="H15" s="5" t="n">
        <v>1</v>
      </c>
      <c r="I15" s="5" t="n">
        <v>1</v>
      </c>
      <c r="J15" s="5" t="n">
        <v>1</v>
      </c>
      <c r="W15" s="5" t="n">
        <v>200</v>
      </c>
    </row>
    <row r="16">
      <c r="A16" t="inlineStr">
        <is>
          <t>shared</t>
        </is>
      </c>
      <c r="B16" t="inlineStr">
        <is>
          <t>ra2_bcab_demo</t>
        </is>
      </c>
      <c r="C16" t="inlineStr">
        <is>
          <t>Bomb Car</t>
        </is>
      </c>
      <c r="D16" t="inlineStr"/>
      <c r="E16" s="5" t="n">
        <v>20000</v>
      </c>
      <c r="F16" s="5" t="n">
        <v>100</v>
      </c>
      <c r="G16" t="inlineStr">
        <is>
          <t>Light</t>
        </is>
      </c>
      <c r="H16" s="5" t="n">
        <v>1</v>
      </c>
      <c r="I16" s="5" t="n">
        <v>1</v>
      </c>
      <c r="J16" s="5" t="n">
        <v>1</v>
      </c>
      <c r="O16">
        <f>MAX(O17)</f>
        <v/>
      </c>
      <c r="R16">
        <f>R17</f>
        <v/>
      </c>
      <c r="S16">
        <f>(E16/100000+F16/100+(O16/1000)*J16/5+R16/200)*200*I16*H16</f>
        <v/>
      </c>
      <c r="T16">
        <f>((E16*F16/25000)+((O16/1000)*J16*R16/2.5))*I16*H16</f>
        <v/>
      </c>
      <c r="U16">
        <f>(E16*F16*(O16/1000)*J16*R16*I16*H16)/12500000</f>
        <v/>
      </c>
      <c r="V16">
        <f>(S16+T16+U16)/3</f>
        <v/>
      </c>
      <c r="W16" s="5" t="n">
        <v>500</v>
      </c>
      <c r="X16">
        <f>IFERROR(V16-W16,"")</f>
        <v/>
      </c>
      <c r="Y16">
        <f>IFERROR(ABS(X16)/MAX(W16,1),"")</f>
        <v/>
      </c>
      <c r="Z16">
        <f>IFERROR((W16-(((E16/100000+F16/100+R16/200)*200*I16*H16)+((E16*F16/25000)*I16*H16))/3)/(((J16/5)*200*I16*H16)+((J16*R16/2.5)*I16*H16)+((E16*F16*J16*R16*I16*H16)/12500000))/3*1000,"")</f>
        <v/>
      </c>
    </row>
    <row r="17">
      <c r="B17" s="6" t="inlineStr">
        <is>
          <t xml:space="preserve">  ↳ DemoTruckTargeting</t>
        </is>
      </c>
      <c r="C17" s="6" t="inlineStr">
        <is>
          <t>Armament@PRIMARY</t>
        </is>
      </c>
      <c r="K17" s="5" t="n"/>
      <c r="L17" s="5" t="n"/>
      <c r="M17" s="5" t="n">
        <v>1</v>
      </c>
      <c r="N17" s="5" t="n"/>
      <c r="O17" s="5" t="n">
        <v>2000</v>
      </c>
      <c r="P17" s="5" t="n">
        <v>1</v>
      </c>
      <c r="Q17">
        <f>L17+IF(M17&gt;1,N(N17)*(M17-1),0)</f>
        <v/>
      </c>
      <c r="R17">
        <f>IFERROR(K17*MAX(M17,1)/Q17*P17,0)</f>
        <v/>
      </c>
      <c r="AA17" s="6" t="inlineStr"/>
    </row>
    <row r="18">
      <c r="A18" t="inlineStr">
        <is>
          <t>shared</t>
        </is>
      </c>
      <c r="B18" t="inlineStr">
        <is>
          <t>ra2_bcab_driveby</t>
        </is>
      </c>
      <c r="C18" t="inlineStr">
        <is>
          <t>Drive By Car</t>
        </is>
      </c>
      <c r="D18" t="inlineStr"/>
      <c r="E18" s="5" t="n">
        <v>25000</v>
      </c>
      <c r="F18" s="5" t="n">
        <v>100</v>
      </c>
      <c r="G18" t="inlineStr">
        <is>
          <t>Scout</t>
        </is>
      </c>
      <c r="H18" s="5" t="n">
        <v>1</v>
      </c>
      <c r="I18" s="5" t="n">
        <v>1</v>
      </c>
      <c r="J18" s="5" t="n">
        <v>1</v>
      </c>
      <c r="O18">
        <f>MAX(O19)</f>
        <v/>
      </c>
      <c r="R18">
        <f>R19</f>
        <v/>
      </c>
      <c r="S18">
        <f>(E18/100000+F18/100+(O18/1000)*J18/5+R18/200)*200*I18*H18</f>
        <v/>
      </c>
      <c r="T18">
        <f>((E18*F18/25000)+((O18/1000)*J18*R18/2.5))*I18*H18</f>
        <v/>
      </c>
      <c r="U18">
        <f>(E18*F18*(O18/1000)*J18*R18*I18*H18)/12500000</f>
        <v/>
      </c>
      <c r="V18">
        <f>(S18+T18+U18)/3</f>
        <v/>
      </c>
      <c r="W18" s="5" t="n">
        <v>1000</v>
      </c>
      <c r="X18">
        <f>IFERROR(V18-W18,"")</f>
        <v/>
      </c>
      <c r="Y18">
        <f>IFERROR(ABS(X18)/MAX(W18,1),"")</f>
        <v/>
      </c>
      <c r="Z18">
        <f>IFERROR((W18-(((E18/100000+F18/100+R18/200)*200*I18*H18)+((E18*F18/25000)*I18*H18))/3)/(((J18/5)*200*I18*H18)+((J18*R18/2.5)*I18*H18)+((E18*F18*J18*R18*I18*H18)/12500000))/3*1000,"")</f>
        <v/>
      </c>
    </row>
    <row r="19">
      <c r="B19" s="6" t="inlineStr">
        <is>
          <t xml:space="preserve">  ↳ RA220mmrapid</t>
        </is>
      </c>
      <c r="C19" s="6" t="inlineStr">
        <is>
          <t>Armament</t>
        </is>
      </c>
      <c r="K19" s="5" t="n">
        <v>4000</v>
      </c>
      <c r="L19" s="5" t="n">
        <v>15</v>
      </c>
      <c r="M19" s="5" t="n">
        <v>1</v>
      </c>
      <c r="N19" s="5" t="n"/>
      <c r="O19" s="5" t="n">
        <v>5000</v>
      </c>
      <c r="P19" s="5" t="n">
        <v>1</v>
      </c>
      <c r="Q19">
        <f>L19+IF(M19&gt;1,N(N19)*(M19-1),0)</f>
        <v/>
      </c>
      <c r="R19">
        <f>IFERROR(K19*MAX(M19,1)/Q19*P19,0)</f>
        <v/>
      </c>
      <c r="AA19" s="6" t="inlineStr">
        <is>
          <t>^RA2SmallArms, ^RA2Chaingun</t>
        </is>
      </c>
    </row>
    <row r="20">
      <c r="A20" t="inlineStr">
        <is>
          <t>shared</t>
        </is>
      </c>
      <c r="B20" t="inlineStr">
        <is>
          <t>ra2_bus_demo</t>
        </is>
      </c>
      <c r="C20" t="inlineStr">
        <is>
          <t>Bomb Car</t>
        </is>
      </c>
      <c r="D20" t="inlineStr"/>
      <c r="E20" s="5" t="n">
        <v>20000</v>
      </c>
      <c r="F20" s="5" t="n">
        <v>100</v>
      </c>
      <c r="G20" t="inlineStr">
        <is>
          <t>Light</t>
        </is>
      </c>
      <c r="H20" s="5" t="n">
        <v>1</v>
      </c>
      <c r="I20" s="5" t="n">
        <v>1</v>
      </c>
      <c r="J20" s="5" t="n">
        <v>1</v>
      </c>
      <c r="O20">
        <f>MAX(O21)</f>
        <v/>
      </c>
      <c r="R20">
        <f>R21</f>
        <v/>
      </c>
      <c r="S20">
        <f>(E20/100000+F20/100+(O20/1000)*J20/5+R20/200)*200*I20*H20</f>
        <v/>
      </c>
      <c r="T20">
        <f>((E20*F20/25000)+((O20/1000)*J20*R20/2.5))*I20*H20</f>
        <v/>
      </c>
      <c r="U20">
        <f>(E20*F20*(O20/1000)*J20*R20*I20*H20)/12500000</f>
        <v/>
      </c>
      <c r="V20">
        <f>(S20+T20+U20)/3</f>
        <v/>
      </c>
      <c r="W20" s="5" t="n">
        <v>500</v>
      </c>
      <c r="X20">
        <f>IFERROR(V20-W20,"")</f>
        <v/>
      </c>
      <c r="Y20">
        <f>IFERROR(ABS(X20)/MAX(W20,1),"")</f>
        <v/>
      </c>
      <c r="Z20">
        <f>IFERROR((W20-(((E20/100000+F20/100+R20/200)*200*I20*H20)+((E20*F20/25000)*I20*H20))/3)/(((J20/5)*200*I20*H20)+((J20*R20/2.5)*I20*H20)+((E20*F20*J20*R20*I20*H20)/12500000))/3*1000,"")</f>
        <v/>
      </c>
    </row>
    <row r="21">
      <c r="B21" s="6" t="inlineStr">
        <is>
          <t xml:space="preserve">  ↳ DemoTruckTargeting</t>
        </is>
      </c>
      <c r="C21" s="6" t="inlineStr">
        <is>
          <t>Armament@PRIMARY</t>
        </is>
      </c>
      <c r="K21" s="5" t="n"/>
      <c r="L21" s="5" t="n"/>
      <c r="M21" s="5" t="n">
        <v>1</v>
      </c>
      <c r="N21" s="5" t="n"/>
      <c r="O21" s="5" t="n">
        <v>2000</v>
      </c>
      <c r="P21" s="5" t="n">
        <v>1</v>
      </c>
      <c r="Q21">
        <f>L21+IF(M21&gt;1,N(N21)*(M21-1),0)</f>
        <v/>
      </c>
      <c r="R21">
        <f>IFERROR(K21*MAX(M21,1)/Q21*P21,0)</f>
        <v/>
      </c>
      <c r="AA21" s="6" t="inlineStr"/>
    </row>
    <row r="22">
      <c r="A22" t="inlineStr">
        <is>
          <t>shared</t>
        </is>
      </c>
      <c r="B22" t="inlineStr">
        <is>
          <t>ra2_bus_driveby</t>
        </is>
      </c>
      <c r="C22" t="inlineStr">
        <is>
          <t>Drive By Car</t>
        </is>
      </c>
      <c r="D22" t="inlineStr"/>
      <c r="E22" s="5" t="n">
        <v>25000</v>
      </c>
      <c r="F22" s="5" t="n">
        <v>100</v>
      </c>
      <c r="G22" t="inlineStr">
        <is>
          <t>Scout</t>
        </is>
      </c>
      <c r="H22" s="5" t="n">
        <v>1</v>
      </c>
      <c r="I22" s="5" t="n">
        <v>1</v>
      </c>
      <c r="J22" s="5" t="n">
        <v>1</v>
      </c>
      <c r="O22">
        <f>MAX(O23)</f>
        <v/>
      </c>
      <c r="R22">
        <f>R23</f>
        <v/>
      </c>
      <c r="S22">
        <f>(E22/100000+F22/100+(O22/1000)*J22/5+R22/200)*200*I22*H22</f>
        <v/>
      </c>
      <c r="T22">
        <f>((E22*F22/25000)+((O22/1000)*J22*R22/2.5))*I22*H22</f>
        <v/>
      </c>
      <c r="U22">
        <f>(E22*F22*(O22/1000)*J22*R22*I22*H22)/12500000</f>
        <v/>
      </c>
      <c r="V22">
        <f>(S22+T22+U22)/3</f>
        <v/>
      </c>
      <c r="W22" s="5" t="n">
        <v>1000</v>
      </c>
      <c r="X22">
        <f>IFERROR(V22-W22,"")</f>
        <v/>
      </c>
      <c r="Y22">
        <f>IFERROR(ABS(X22)/MAX(W22,1),"")</f>
        <v/>
      </c>
      <c r="Z22">
        <f>IFERROR((W22-(((E22/100000+F22/100+R22/200)*200*I22*H22)+((E22*F22/25000)*I22*H22))/3)/(((J22/5)*200*I22*H22)+((J22*R22/2.5)*I22*H22)+((E22*F22*J22*R22*I22*H22)/12500000))/3*1000,"")</f>
        <v/>
      </c>
    </row>
    <row r="23">
      <c r="B23" s="6" t="inlineStr">
        <is>
          <t xml:space="preserve">  ↳ RA220mmrapid</t>
        </is>
      </c>
      <c r="C23" s="6" t="inlineStr">
        <is>
          <t>Armament</t>
        </is>
      </c>
      <c r="K23" s="5" t="n">
        <v>4000</v>
      </c>
      <c r="L23" s="5" t="n">
        <v>15</v>
      </c>
      <c r="M23" s="5" t="n">
        <v>1</v>
      </c>
      <c r="N23" s="5" t="n"/>
      <c r="O23" s="5" t="n">
        <v>5000</v>
      </c>
      <c r="P23" s="5" t="n">
        <v>1</v>
      </c>
      <c r="Q23">
        <f>L23+IF(M23&gt;1,N(N23)*(M23-1),0)</f>
        <v/>
      </c>
      <c r="R23">
        <f>IFERROR(K23*MAX(M23,1)/Q23*P23,0)</f>
        <v/>
      </c>
      <c r="AA23" s="6" t="inlineStr">
        <is>
          <t>^RA2SmallArms, ^RA2Chaingun</t>
        </is>
      </c>
    </row>
    <row r="24">
      <c r="A24" t="inlineStr">
        <is>
          <t>shared</t>
        </is>
      </c>
      <c r="B24" t="inlineStr">
        <is>
          <t>ra2_c_abram</t>
        </is>
      </c>
      <c r="C24" t="inlineStr">
        <is>
          <t>Civilian MBT</t>
        </is>
      </c>
      <c r="D24" t="inlineStr"/>
      <c r="E24" s="5" t="n">
        <v>190000</v>
      </c>
      <c r="F24" s="5" t="n">
        <v>75</v>
      </c>
      <c r="G24" t="inlineStr">
        <is>
          <t>Heavy</t>
        </is>
      </c>
      <c r="H24" s="5" t="n">
        <v>1</v>
      </c>
      <c r="I24" s="5" t="n">
        <v>1</v>
      </c>
      <c r="J24" s="5" t="n">
        <v>1</v>
      </c>
      <c r="O24">
        <f>MAX(O25,O26,O27)</f>
        <v/>
      </c>
      <c r="R24">
        <f>R25+R26+R27</f>
        <v/>
      </c>
      <c r="S24">
        <f>(E24/100000+F24/100+(O24/1000)*J24/5+R24/200)*200*I24*H24</f>
        <v/>
      </c>
      <c r="T24">
        <f>((E24*F24/25000)+((O24/1000)*J24*R24/2.5))*I24*H24</f>
        <v/>
      </c>
      <c r="U24">
        <f>(E24*F24*(O24/1000)*J24*R24*I24*H24)/12500000</f>
        <v/>
      </c>
      <c r="V24">
        <f>(S24+T24+U24)/3</f>
        <v/>
      </c>
      <c r="W24" s="5" t="n">
        <v>900</v>
      </c>
      <c r="X24">
        <f>IFERROR(V24-W24,"")</f>
        <v/>
      </c>
      <c r="Y24">
        <f>IFERROR(ABS(X24)/MAX(W24,1),"")</f>
        <v/>
      </c>
      <c r="Z24">
        <f>IFERROR((W24-(((E24/100000+F24/100+R24/200)*200*I24*H24)+((E24*F24/25000)*I24*H24))/3)/(((J24/5)*200*I24*H24)+((J24*R24/2.5)*I24*H24)+((E24*F24*J24*R24*I24*H24)/12500000))/3*1000,"")</f>
        <v/>
      </c>
    </row>
    <row r="25">
      <c r="B25" s="6" t="inlineStr">
        <is>
          <t xml:space="preserve">  ↳ RA2120mm</t>
        </is>
      </c>
      <c r="C25" s="6" t="inlineStr">
        <is>
          <t>Armament</t>
        </is>
      </c>
      <c r="K25" s="5" t="n">
        <v>10000</v>
      </c>
      <c r="L25" s="5" t="n">
        <v>54</v>
      </c>
      <c r="M25" s="5" t="n">
        <v>1</v>
      </c>
      <c r="N25" s="5" t="n"/>
      <c r="O25" s="5" t="n">
        <v>5374</v>
      </c>
      <c r="P25" s="5" t="n">
        <v>1</v>
      </c>
      <c r="Q25">
        <f>L25+IF(M25&gt;1,N(N25)*(M25-1),0)</f>
        <v/>
      </c>
      <c r="R25">
        <f>IFERROR(K25*MAX(M25,1)/Q25*P25,0)</f>
        <v/>
      </c>
      <c r="AA25" s="6" t="inlineStr">
        <is>
          <t>^RA2MediumCannon</t>
        </is>
      </c>
    </row>
    <row r="26">
      <c r="B26" s="6" t="inlineStr">
        <is>
          <t xml:space="preserve">  ↳ RA2120mm_elite</t>
        </is>
      </c>
      <c r="C26" s="6" t="inlineStr">
        <is>
          <t>Armament@elite</t>
        </is>
      </c>
      <c r="K26" s="5" t="n">
        <v>10000</v>
      </c>
      <c r="L26" s="5" t="n">
        <v>54</v>
      </c>
      <c r="M26" s="5" t="n">
        <v>2</v>
      </c>
      <c r="N26" s="5" t="n">
        <v>3</v>
      </c>
      <c r="O26" s="5" t="n">
        <v>6374</v>
      </c>
      <c r="P26" s="5" t="n">
        <v>1</v>
      </c>
      <c r="Q26">
        <f>L26+IF(M26&gt;1,N(N26)*(M26-1),0)</f>
        <v/>
      </c>
      <c r="R26">
        <f>IFERROR(K26*MAX(M26,1)/Q26*P26,0)</f>
        <v/>
      </c>
      <c r="AA26" s="6" t="inlineStr">
        <is>
          <t>^RA2MediumCannon, ^RA2EliteEffects</t>
        </is>
      </c>
    </row>
    <row r="27">
      <c r="B27" s="6" t="inlineStr">
        <is>
          <t xml:space="preserve">  ↳ RA2GattlingMG1</t>
        </is>
      </c>
      <c r="C27" s="6" t="inlineStr">
        <is>
          <t>Armament@machinegun</t>
        </is>
      </c>
      <c r="K27" s="5" t="n">
        <v>2000</v>
      </c>
      <c r="L27" s="5" t="n">
        <v>6</v>
      </c>
      <c r="M27" s="5" t="n">
        <v>1</v>
      </c>
      <c r="N27" s="5" t="n"/>
      <c r="O27" s="5" t="n">
        <v>5000</v>
      </c>
      <c r="P27" s="5" t="n">
        <v>1</v>
      </c>
      <c r="Q27">
        <f>L27+IF(M27&gt;1,N(N27)*(M27-1),0)</f>
        <v/>
      </c>
      <c r="R27">
        <f>IFERROR(K27*MAX(M27,1)/Q27*P27,0)</f>
        <v/>
      </c>
      <c r="AA27" s="6" t="inlineStr">
        <is>
          <t>^SmallArms, ^RA2Chaingun</t>
        </is>
      </c>
    </row>
    <row r="28">
      <c r="A28" t="inlineStr">
        <is>
          <t>shared</t>
        </is>
      </c>
      <c r="B28" t="inlineStr">
        <is>
          <t>ra2_c_hum</t>
        </is>
      </c>
      <c r="C28" t="inlineStr">
        <is>
          <t>Humvee</t>
        </is>
      </c>
      <c r="D28" t="inlineStr"/>
      <c r="E28" s="5" t="n">
        <v>80000</v>
      </c>
      <c r="F28" s="5" t="n">
        <v>100</v>
      </c>
      <c r="G28" t="inlineStr">
        <is>
          <t>Light</t>
        </is>
      </c>
      <c r="H28" s="5" t="n">
        <v>1</v>
      </c>
      <c r="I28" s="5" t="n">
        <v>1</v>
      </c>
      <c r="J28" s="5" t="n">
        <v>1</v>
      </c>
      <c r="O28">
        <f>MAX(O29,O30)</f>
        <v/>
      </c>
      <c r="R28">
        <f>R29+R30</f>
        <v/>
      </c>
      <c r="S28">
        <f>(E28/100000+F28/100+(O28/1000)*J28/5+R28/200)*200*I28*H28</f>
        <v/>
      </c>
      <c r="T28">
        <f>((E28*F28/25000)+((O28/1000)*J28*R28/2.5))*I28*H28</f>
        <v/>
      </c>
      <c r="U28">
        <f>(E28*F28*(O28/1000)*J28*R28*I28*H28)/12500000</f>
        <v/>
      </c>
      <c r="V28">
        <f>(S28+T28+U28)/3</f>
        <v/>
      </c>
      <c r="W28" s="5" t="n">
        <v>400</v>
      </c>
      <c r="X28">
        <f>IFERROR(V28-W28,"")</f>
        <v/>
      </c>
      <c r="Y28">
        <f>IFERROR(ABS(X28)/MAX(W28,1),"")</f>
        <v/>
      </c>
      <c r="Z28">
        <f>IFERROR((W28-(((E28/100000+F28/100+R28/200)*200*I28*H28)+((E28*F28/25000)*I28*H28))/3)/(((J28/5)*200*I28*H28)+((J28*R28/2.5)*I28*H28)+((E28*F28*J28*R28*I28*H28)/12500000))/3*1000,"")</f>
        <v/>
      </c>
    </row>
    <row r="29">
      <c r="B29" s="6" t="inlineStr">
        <is>
          <t xml:space="preserve">  ↳ RA2GattlingMG1</t>
        </is>
      </c>
      <c r="C29" s="6" t="inlineStr">
        <is>
          <t>Armament</t>
        </is>
      </c>
      <c r="K29" s="5" t="n">
        <v>2000</v>
      </c>
      <c r="L29" s="5" t="n">
        <v>6</v>
      </c>
      <c r="M29" s="5" t="n">
        <v>1</v>
      </c>
      <c r="N29" s="5" t="n"/>
      <c r="O29" s="5" t="n">
        <v>5000</v>
      </c>
      <c r="P29" s="5" t="n">
        <v>1</v>
      </c>
      <c r="Q29">
        <f>L29+IF(M29&gt;1,N(N29)*(M29-1),0)</f>
        <v/>
      </c>
      <c r="R29">
        <f>IFERROR(K29*MAX(M29,1)/Q29*P29,0)</f>
        <v/>
      </c>
      <c r="AA29" s="6" t="inlineStr">
        <is>
          <t>^SmallArms, ^RA2Chaingun</t>
        </is>
      </c>
    </row>
    <row r="30">
      <c r="B30" s="6" t="inlineStr">
        <is>
          <t xml:space="preserve">  ↳ RA2GattlingMG2</t>
        </is>
      </c>
      <c r="C30" s="6" t="inlineStr">
        <is>
          <t>Armament@elite</t>
        </is>
      </c>
      <c r="K30" s="5" t="n">
        <v>2000</v>
      </c>
      <c r="L30" s="5" t="n">
        <v>4</v>
      </c>
      <c r="M30" s="5" t="n">
        <v>1</v>
      </c>
      <c r="N30" s="5" t="n"/>
      <c r="O30" s="5" t="n">
        <v>5250</v>
      </c>
      <c r="P30" s="5" t="n">
        <v>1</v>
      </c>
      <c r="Q30">
        <f>L30+IF(M30&gt;1,N(N30)*(M30-1),0)</f>
        <v/>
      </c>
      <c r="R30">
        <f>IFERROR(K30*MAX(M30,1)/Q30*P30,0)</f>
        <v/>
      </c>
      <c r="AA30" s="6" t="inlineStr">
        <is>
          <t>^SmallArms, ^RA2Chaingun</t>
        </is>
      </c>
    </row>
    <row r="31">
      <c r="A31" t="inlineStr">
        <is>
          <t>shared</t>
        </is>
      </c>
      <c r="B31" t="inlineStr">
        <is>
          <t>ra2_c_hum2</t>
        </is>
      </c>
      <c r="C31" t="inlineStr">
        <is>
          <t>Civilian Humvee</t>
        </is>
      </c>
      <c r="D31" t="inlineStr"/>
      <c r="E31" s="5" t="n">
        <v>80000</v>
      </c>
      <c r="F31" s="5" t="n">
        <v>100</v>
      </c>
      <c r="G31" t="inlineStr">
        <is>
          <t>Light</t>
        </is>
      </c>
      <c r="H31" s="5" t="n">
        <v>1</v>
      </c>
      <c r="I31" s="5" t="n">
        <v>1</v>
      </c>
      <c r="J31" s="5" t="n">
        <v>1</v>
      </c>
      <c r="O31">
        <f>MAX(O32,O33)</f>
        <v/>
      </c>
      <c r="R31">
        <f>R32+R33</f>
        <v/>
      </c>
      <c r="S31">
        <f>(E31/100000+F31/100+(O31/1000)*J31/5+R31/200)*200*I31*H31</f>
        <v/>
      </c>
      <c r="T31">
        <f>((E31*F31/25000)+((O31/1000)*J31*R31/2.5))*I31*H31</f>
        <v/>
      </c>
      <c r="U31">
        <f>(E31*F31*(O31/1000)*J31*R31*I31*H31)/12500000</f>
        <v/>
      </c>
      <c r="V31">
        <f>(S31+T31+U31)/3</f>
        <v/>
      </c>
      <c r="W31" s="5" t="n">
        <v>400</v>
      </c>
      <c r="X31">
        <f>IFERROR(V31-W31,"")</f>
        <v/>
      </c>
      <c r="Y31">
        <f>IFERROR(ABS(X31)/MAX(W31,1),"")</f>
        <v/>
      </c>
      <c r="Z31">
        <f>IFERROR((W31-(((E31/100000+F31/100+R31/200)*200*I31*H31)+((E31*F31/25000)*I31*H31))/3)/(((J31/5)*200*I31*H31)+((J31*R31/2.5)*I31*H31)+((E31*F31*J31*R31*I31*H31)/12500000))/3*1000,"")</f>
        <v/>
      </c>
    </row>
    <row r="32">
      <c r="B32" s="6" t="inlineStr">
        <is>
          <t xml:space="preserve">  ↳ RA2GattlingMG1</t>
        </is>
      </c>
      <c r="C32" s="6" t="inlineStr">
        <is>
          <t>Armament</t>
        </is>
      </c>
      <c r="K32" s="5" t="n">
        <v>2000</v>
      </c>
      <c r="L32" s="5" t="n">
        <v>6</v>
      </c>
      <c r="M32" s="5" t="n">
        <v>1</v>
      </c>
      <c r="N32" s="5" t="n"/>
      <c r="O32" s="5" t="n">
        <v>5000</v>
      </c>
      <c r="P32" s="5" t="n">
        <v>1</v>
      </c>
      <c r="Q32">
        <f>L32+IF(M32&gt;1,N(N32)*(M32-1),0)</f>
        <v/>
      </c>
      <c r="R32">
        <f>IFERROR(K32*MAX(M32,1)/Q32*P32,0)</f>
        <v/>
      </c>
      <c r="AA32" s="6" t="inlineStr">
        <is>
          <t>^SmallArms, ^RA2Chaingun</t>
        </is>
      </c>
    </row>
    <row r="33">
      <c r="B33" s="6" t="inlineStr">
        <is>
          <t xml:space="preserve">  ↳ RA2GattlingMG2</t>
        </is>
      </c>
      <c r="C33" s="6" t="inlineStr">
        <is>
          <t>Armament@elite</t>
        </is>
      </c>
      <c r="K33" s="5" t="n">
        <v>2000</v>
      </c>
      <c r="L33" s="5" t="n">
        <v>4</v>
      </c>
      <c r="M33" s="5" t="n">
        <v>1</v>
      </c>
      <c r="N33" s="5" t="n"/>
      <c r="O33" s="5" t="n">
        <v>5250</v>
      </c>
      <c r="P33" s="5" t="n">
        <v>1</v>
      </c>
      <c r="Q33">
        <f>L33+IF(M33&gt;1,N(N33)*(M33-1),0)</f>
        <v/>
      </c>
      <c r="R33">
        <f>IFERROR(K33*MAX(M33,1)/Q33*P33,0)</f>
        <v/>
      </c>
      <c r="AA33" s="6" t="inlineStr">
        <is>
          <t>^SmallArms, ^RA2Chaingun</t>
        </is>
      </c>
    </row>
    <row r="34">
      <c r="A34" t="inlineStr">
        <is>
          <t>shared</t>
        </is>
      </c>
      <c r="B34" t="inlineStr">
        <is>
          <t>ra2_c_ifv</t>
        </is>
      </c>
      <c r="C34" t="inlineStr">
        <is>
          <t>Machinegunner IFV</t>
        </is>
      </c>
      <c r="D34" t="inlineStr"/>
      <c r="E34" s="5" t="n">
        <v>120000</v>
      </c>
      <c r="F34" s="5" t="n">
        <v>100</v>
      </c>
      <c r="G34" t="inlineStr">
        <is>
          <t>Medium</t>
        </is>
      </c>
      <c r="H34" s="5" t="n">
        <v>1</v>
      </c>
      <c r="I34" s="5" t="n">
        <v>1</v>
      </c>
      <c r="J34" s="5" t="n">
        <v>1</v>
      </c>
      <c r="O34">
        <f>MAX(O35,O36,O37,O38)</f>
        <v/>
      </c>
      <c r="R34">
        <f>R35+R36+R37+R38</f>
        <v/>
      </c>
      <c r="S34">
        <f>(E34/100000+F34/100+(O34/1000)*J34/5+R34/200)*200*I34*H34</f>
        <v/>
      </c>
      <c r="T34">
        <f>((E34*F34/25000)+((O34/1000)*J34*R34/2.5))*I34*H34</f>
        <v/>
      </c>
      <c r="U34">
        <f>(E34*F34*(O34/1000)*J34*R34*I34*H34)/12500000</f>
        <v/>
      </c>
      <c r="V34">
        <f>(S34+T34+U34)/3</f>
        <v/>
      </c>
      <c r="W34" s="5" t="n">
        <v>600</v>
      </c>
      <c r="X34">
        <f>IFERROR(V34-W34,"")</f>
        <v/>
      </c>
      <c r="Y34">
        <f>IFERROR(ABS(X34)/MAX(W34,1),"")</f>
        <v/>
      </c>
      <c r="Z34">
        <f>IFERROR((W34-(((E34/100000+F34/100+R34/200)*200*I34*H34)+((E34*F34/25000)*I34*H34))/3)/(((J34/5)*200*I34*H34)+((J34*R34/2.5)*I34*H34)+((E34*F34*J34*R34*I34*H34)/12500000))/3*1000,"")</f>
        <v/>
      </c>
    </row>
    <row r="35">
      <c r="B35" s="6" t="inlineStr">
        <is>
          <t xml:space="preserve">  ↳ RA2GattlingMG1</t>
        </is>
      </c>
      <c r="C35" s="6" t="inlineStr">
        <is>
          <t>Armament</t>
        </is>
      </c>
      <c r="K35" s="5" t="n">
        <v>2000</v>
      </c>
      <c r="L35" s="5" t="n">
        <v>6</v>
      </c>
      <c r="M35" s="5" t="n">
        <v>1</v>
      </c>
      <c r="N35" s="5" t="n"/>
      <c r="O35" s="5" t="n">
        <v>5000</v>
      </c>
      <c r="P35" s="5" t="n">
        <v>1</v>
      </c>
      <c r="Q35">
        <f>L35+IF(M35&gt;1,N(N35)*(M35-1),0)</f>
        <v/>
      </c>
      <c r="R35">
        <f>IFERROR(K35*MAX(M35,1)/Q35*P35,0)</f>
        <v/>
      </c>
      <c r="AA35" s="6" t="inlineStr">
        <is>
          <t>^SmallArms, ^RA2Chaingun</t>
        </is>
      </c>
    </row>
    <row r="36">
      <c r="B36" s="6" t="inlineStr">
        <is>
          <t xml:space="preserve">  ↳ RA2GattlingMG2</t>
        </is>
      </c>
      <c r="C36" s="6" t="inlineStr">
        <is>
          <t>Armament@elite</t>
        </is>
      </c>
      <c r="K36" s="5" t="n">
        <v>2000</v>
      </c>
      <c r="L36" s="5" t="n">
        <v>4</v>
      </c>
      <c r="M36" s="5" t="n">
        <v>1</v>
      </c>
      <c r="N36" s="5" t="n"/>
      <c r="O36" s="5" t="n">
        <v>5250</v>
      </c>
      <c r="P36" s="5" t="n">
        <v>1</v>
      </c>
      <c r="Q36">
        <f>L36+IF(M36&gt;1,N(N36)*(M36-1),0)</f>
        <v/>
      </c>
      <c r="R36">
        <f>IFERROR(K36*MAX(M36,1)/Q36*P36,0)</f>
        <v/>
      </c>
      <c r="AA36" s="6" t="inlineStr">
        <is>
          <t>^SmallArms, ^RA2Chaingun</t>
        </is>
      </c>
    </row>
    <row r="37">
      <c r="B37" s="6" t="inlineStr">
        <is>
          <t xml:space="preserve">  ↳ RA2GattlingMG1AA</t>
        </is>
      </c>
      <c r="C37" s="6" t="inlineStr">
        <is>
          <t>Armament@AA</t>
        </is>
      </c>
      <c r="K37" s="5" t="n">
        <v>4000</v>
      </c>
      <c r="L37" s="5" t="n">
        <v>6</v>
      </c>
      <c r="M37" s="5" t="n">
        <v>1</v>
      </c>
      <c r="N37" s="5" t="n"/>
      <c r="O37" s="5" t="n">
        <v>6750</v>
      </c>
      <c r="P37" s="5" t="n">
        <v>1</v>
      </c>
      <c r="Q37">
        <f>L37+IF(M37&gt;1,N(N37)*(M37-1),0)</f>
        <v/>
      </c>
      <c r="R37">
        <f>IFERROR(K37*MAX(M37,1)/Q37*P37,0)</f>
        <v/>
      </c>
      <c r="AA37" s="6" t="inlineStr">
        <is>
          <t>^SmallArms, ^RA2Chaingun</t>
        </is>
      </c>
    </row>
    <row r="38">
      <c r="B38" s="6" t="inlineStr">
        <is>
          <t xml:space="preserve">  ↳ RA2GattlingMG2AA</t>
        </is>
      </c>
      <c r="C38" s="6" t="inlineStr">
        <is>
          <t>Armament@eliteAA</t>
        </is>
      </c>
      <c r="K38" s="5" t="n">
        <v>4000</v>
      </c>
      <c r="L38" s="5" t="n">
        <v>4</v>
      </c>
      <c r="M38" s="5" t="n">
        <v>1</v>
      </c>
      <c r="N38" s="5" t="n"/>
      <c r="O38" s="5" t="n">
        <v>7500</v>
      </c>
      <c r="P38" s="5" t="n">
        <v>1</v>
      </c>
      <c r="Q38">
        <f>L38+IF(M38&gt;1,N(N38)*(M38-1),0)</f>
        <v/>
      </c>
      <c r="R38">
        <f>IFERROR(K38*MAX(M38,1)/Q38*P38,0)</f>
        <v/>
      </c>
      <c r="AA38" s="6" t="inlineStr">
        <is>
          <t>^SmallArms, ^RA2Chaingun</t>
        </is>
      </c>
    </row>
    <row r="39">
      <c r="A39" t="inlineStr">
        <is>
          <t>shared</t>
        </is>
      </c>
      <c r="B39" t="inlineStr">
        <is>
          <t>ra2_car_demo</t>
        </is>
      </c>
      <c r="C39" t="inlineStr">
        <is>
          <t>Bomb Car</t>
        </is>
      </c>
      <c r="D39" t="inlineStr"/>
      <c r="E39" s="5" t="n">
        <v>20000</v>
      </c>
      <c r="F39" s="5" t="n">
        <v>100</v>
      </c>
      <c r="G39" t="inlineStr">
        <is>
          <t>Light</t>
        </is>
      </c>
      <c r="H39" s="5" t="n">
        <v>1</v>
      </c>
      <c r="I39" s="5" t="n">
        <v>1</v>
      </c>
      <c r="J39" s="5" t="n">
        <v>1</v>
      </c>
      <c r="O39">
        <f>MAX(O40)</f>
        <v/>
      </c>
      <c r="R39">
        <f>R40</f>
        <v/>
      </c>
      <c r="S39">
        <f>(E39/100000+F39/100+(O39/1000)*J39/5+R39/200)*200*I39*H39</f>
        <v/>
      </c>
      <c r="T39">
        <f>((E39*F39/25000)+((O39/1000)*J39*R39/2.5))*I39*H39</f>
        <v/>
      </c>
      <c r="U39">
        <f>(E39*F39*(O39/1000)*J39*R39*I39*H39)/12500000</f>
        <v/>
      </c>
      <c r="V39">
        <f>(S39+T39+U39)/3</f>
        <v/>
      </c>
      <c r="W39" s="5" t="n">
        <v>500</v>
      </c>
      <c r="X39">
        <f>IFERROR(V39-W39,"")</f>
        <v/>
      </c>
      <c r="Y39">
        <f>IFERROR(ABS(X39)/MAX(W39,1),"")</f>
        <v/>
      </c>
      <c r="Z39">
        <f>IFERROR((W39-(((E39/100000+F39/100+R39/200)*200*I39*H39)+((E39*F39/25000)*I39*H39))/3)/(((J39/5)*200*I39*H39)+((J39*R39/2.5)*I39*H39)+((E39*F39*J39*R39*I39*H39)/12500000))/3*1000,"")</f>
        <v/>
      </c>
    </row>
    <row r="40">
      <c r="B40" s="6" t="inlineStr">
        <is>
          <t xml:space="preserve">  ↳ DemoTruckTargeting</t>
        </is>
      </c>
      <c r="C40" s="6" t="inlineStr">
        <is>
          <t>Armament@PRIMARY</t>
        </is>
      </c>
      <c r="K40" s="5" t="n"/>
      <c r="L40" s="5" t="n"/>
      <c r="M40" s="5" t="n">
        <v>1</v>
      </c>
      <c r="N40" s="5" t="n"/>
      <c r="O40" s="5" t="n">
        <v>2000</v>
      </c>
      <c r="P40" s="5" t="n">
        <v>1</v>
      </c>
      <c r="Q40">
        <f>L40+IF(M40&gt;1,N(N40)*(M40-1),0)</f>
        <v/>
      </c>
      <c r="R40">
        <f>IFERROR(K40*MAX(M40,1)/Q40*P40,0)</f>
        <v/>
      </c>
      <c r="AA40" s="6" t="inlineStr"/>
    </row>
    <row r="41">
      <c r="A41" t="inlineStr">
        <is>
          <t>shared</t>
        </is>
      </c>
      <c r="B41" t="inlineStr">
        <is>
          <t>ra2_car_driveby</t>
        </is>
      </c>
      <c r="C41" t="inlineStr">
        <is>
          <t>Drive By Car</t>
        </is>
      </c>
      <c r="D41" t="inlineStr"/>
      <c r="E41" s="5" t="n">
        <v>25000</v>
      </c>
      <c r="F41" s="5" t="n">
        <v>100</v>
      </c>
      <c r="G41" t="inlineStr">
        <is>
          <t>Scout</t>
        </is>
      </c>
      <c r="H41" s="5" t="n">
        <v>1</v>
      </c>
      <c r="I41" s="5" t="n">
        <v>1</v>
      </c>
      <c r="J41" s="5" t="n">
        <v>1</v>
      </c>
      <c r="O41">
        <f>MAX(O42)</f>
        <v/>
      </c>
      <c r="R41">
        <f>R42</f>
        <v/>
      </c>
      <c r="S41">
        <f>(E41/100000+F41/100+(O41/1000)*J41/5+R41/200)*200*I41*H41</f>
        <v/>
      </c>
      <c r="T41">
        <f>((E41*F41/25000)+((O41/1000)*J41*R41/2.5))*I41*H41</f>
        <v/>
      </c>
      <c r="U41">
        <f>(E41*F41*(O41/1000)*J41*R41*I41*H41)/12500000</f>
        <v/>
      </c>
      <c r="V41">
        <f>(S41+T41+U41)/3</f>
        <v/>
      </c>
      <c r="W41" s="5" t="n">
        <v>1000</v>
      </c>
      <c r="X41">
        <f>IFERROR(V41-W41,"")</f>
        <v/>
      </c>
      <c r="Y41">
        <f>IFERROR(ABS(X41)/MAX(W41,1),"")</f>
        <v/>
      </c>
      <c r="Z41">
        <f>IFERROR((W41-(((E41/100000+F41/100+R41/200)*200*I41*H41)+((E41*F41/25000)*I41*H41))/3)/(((J41/5)*200*I41*H41)+((J41*R41/2.5)*I41*H41)+((E41*F41*J41*R41*I41*H41)/12500000))/3*1000,"")</f>
        <v/>
      </c>
    </row>
    <row r="42">
      <c r="B42" s="6" t="inlineStr">
        <is>
          <t xml:space="preserve">  ↳ RA220mmrapid</t>
        </is>
      </c>
      <c r="C42" s="6" t="inlineStr">
        <is>
          <t>Armament</t>
        </is>
      </c>
      <c r="K42" s="5" t="n">
        <v>4000</v>
      </c>
      <c r="L42" s="5" t="n">
        <v>15</v>
      </c>
      <c r="M42" s="5" t="n">
        <v>1</v>
      </c>
      <c r="N42" s="5" t="n"/>
      <c r="O42" s="5" t="n">
        <v>5000</v>
      </c>
      <c r="P42" s="5" t="n">
        <v>1</v>
      </c>
      <c r="Q42">
        <f>L42+IF(M42&gt;1,N(N42)*(M42-1),0)</f>
        <v/>
      </c>
      <c r="R42">
        <f>IFERROR(K42*MAX(M42,1)/Q42*P42,0)</f>
        <v/>
      </c>
      <c r="AA42" s="6" t="inlineStr">
        <is>
          <t>^RA2SmallArms, ^RA2Chaingun</t>
        </is>
      </c>
    </row>
    <row r="43">
      <c r="A43" t="inlineStr">
        <is>
          <t>shared</t>
        </is>
      </c>
      <c r="B43" t="inlineStr">
        <is>
          <t>ra2_cona_demo</t>
        </is>
      </c>
      <c r="C43" t="inlineStr">
        <is>
          <t>Bomb Car</t>
        </is>
      </c>
      <c r="D43" t="inlineStr"/>
      <c r="E43" s="5" t="n">
        <v>20000</v>
      </c>
      <c r="F43" s="5" t="n">
        <v>100</v>
      </c>
      <c r="G43" t="inlineStr">
        <is>
          <t>Light</t>
        </is>
      </c>
      <c r="H43" s="5" t="n">
        <v>1</v>
      </c>
      <c r="I43" s="5" t="n">
        <v>1</v>
      </c>
      <c r="J43" s="5" t="n">
        <v>1</v>
      </c>
      <c r="O43">
        <f>MAX(O44)</f>
        <v/>
      </c>
      <c r="R43">
        <f>R44</f>
        <v/>
      </c>
      <c r="S43">
        <f>(E43/100000+F43/100+(O43/1000)*J43/5+R43/200)*200*I43*H43</f>
        <v/>
      </c>
      <c r="T43">
        <f>((E43*F43/25000)+((O43/1000)*J43*R43/2.5))*I43*H43</f>
        <v/>
      </c>
      <c r="U43">
        <f>(E43*F43*(O43/1000)*J43*R43*I43*H43)/12500000</f>
        <v/>
      </c>
      <c r="V43">
        <f>(S43+T43+U43)/3</f>
        <v/>
      </c>
      <c r="W43" s="5" t="n">
        <v>500</v>
      </c>
      <c r="X43">
        <f>IFERROR(V43-W43,"")</f>
        <v/>
      </c>
      <c r="Y43">
        <f>IFERROR(ABS(X43)/MAX(W43,1),"")</f>
        <v/>
      </c>
      <c r="Z43">
        <f>IFERROR((W43-(((E43/100000+F43/100+R43/200)*200*I43*H43)+((E43*F43/25000)*I43*H43))/3)/(((J43/5)*200*I43*H43)+((J43*R43/2.5)*I43*H43)+((E43*F43*J43*R43*I43*H43)/12500000))/3*1000,"")</f>
        <v/>
      </c>
    </row>
    <row r="44">
      <c r="B44" s="6" t="inlineStr">
        <is>
          <t xml:space="preserve">  ↳ DemoTruckTargeting</t>
        </is>
      </c>
      <c r="C44" s="6" t="inlineStr">
        <is>
          <t>Armament@PRIMARY</t>
        </is>
      </c>
      <c r="K44" s="5" t="n"/>
      <c r="L44" s="5" t="n"/>
      <c r="M44" s="5" t="n">
        <v>1</v>
      </c>
      <c r="N44" s="5" t="n"/>
      <c r="O44" s="5" t="n">
        <v>2000</v>
      </c>
      <c r="P44" s="5" t="n">
        <v>1</v>
      </c>
      <c r="Q44">
        <f>L44+IF(M44&gt;1,N(N44)*(M44-1),0)</f>
        <v/>
      </c>
      <c r="R44">
        <f>IFERROR(K44*MAX(M44,1)/Q44*P44,0)</f>
        <v/>
      </c>
      <c r="AA44" s="6" t="inlineStr"/>
    </row>
    <row r="45">
      <c r="A45" t="inlineStr">
        <is>
          <t>shared</t>
        </is>
      </c>
      <c r="B45" t="inlineStr">
        <is>
          <t>ra2_cona_driveby</t>
        </is>
      </c>
      <c r="C45" t="inlineStr">
        <is>
          <t>Drive By Car</t>
        </is>
      </c>
      <c r="D45" t="inlineStr"/>
      <c r="E45" s="5" t="n">
        <v>25000</v>
      </c>
      <c r="F45" s="5" t="n">
        <v>100</v>
      </c>
      <c r="G45" t="inlineStr">
        <is>
          <t>Scout</t>
        </is>
      </c>
      <c r="H45" s="5" t="n">
        <v>1</v>
      </c>
      <c r="I45" s="5" t="n">
        <v>1</v>
      </c>
      <c r="J45" s="5" t="n">
        <v>1</v>
      </c>
      <c r="O45">
        <f>MAX(O46)</f>
        <v/>
      </c>
      <c r="R45">
        <f>R46</f>
        <v/>
      </c>
      <c r="S45">
        <f>(E45/100000+F45/100+(O45/1000)*J45/5+R45/200)*200*I45*H45</f>
        <v/>
      </c>
      <c r="T45">
        <f>((E45*F45/25000)+((O45/1000)*J45*R45/2.5))*I45*H45</f>
        <v/>
      </c>
      <c r="U45">
        <f>(E45*F45*(O45/1000)*J45*R45*I45*H45)/12500000</f>
        <v/>
      </c>
      <c r="V45">
        <f>(S45+T45+U45)/3</f>
        <v/>
      </c>
      <c r="W45" s="5" t="n">
        <v>1000</v>
      </c>
      <c r="X45">
        <f>IFERROR(V45-W45,"")</f>
        <v/>
      </c>
      <c r="Y45">
        <f>IFERROR(ABS(X45)/MAX(W45,1),"")</f>
        <v/>
      </c>
      <c r="Z45">
        <f>IFERROR((W45-(((E45/100000+F45/100+R45/200)*200*I45*H45)+((E45*F45/25000)*I45*H45))/3)/(((J45/5)*200*I45*H45)+((J45*R45/2.5)*I45*H45)+((E45*F45*J45*R45*I45*H45)/12500000))/3*1000,"")</f>
        <v/>
      </c>
    </row>
    <row r="46">
      <c r="B46" s="6" t="inlineStr">
        <is>
          <t xml:space="preserve">  ↳ RA220mmrapid</t>
        </is>
      </c>
      <c r="C46" s="6" t="inlineStr">
        <is>
          <t>Armament</t>
        </is>
      </c>
      <c r="K46" s="5" t="n">
        <v>4000</v>
      </c>
      <c r="L46" s="5" t="n">
        <v>15</v>
      </c>
      <c r="M46" s="5" t="n">
        <v>1</v>
      </c>
      <c r="N46" s="5" t="n"/>
      <c r="O46" s="5" t="n">
        <v>5000</v>
      </c>
      <c r="P46" s="5" t="n">
        <v>1</v>
      </c>
      <c r="Q46">
        <f>L46+IF(M46&gt;1,N(N46)*(M46-1),0)</f>
        <v/>
      </c>
      <c r="R46">
        <f>IFERROR(K46*MAX(M46,1)/Q46*P46,0)</f>
        <v/>
      </c>
      <c r="AA46" s="6" t="inlineStr">
        <is>
          <t>^RA2SmallArms, ^RA2Chaingun</t>
        </is>
      </c>
    </row>
    <row r="47">
      <c r="A47" t="inlineStr">
        <is>
          <t>shared</t>
        </is>
      </c>
      <c r="B47" t="inlineStr">
        <is>
          <t>ra2_cop_demo</t>
        </is>
      </c>
      <c r="C47" t="inlineStr">
        <is>
          <t>Bomb Car</t>
        </is>
      </c>
      <c r="D47" t="inlineStr"/>
      <c r="E47" s="5" t="n">
        <v>20000</v>
      </c>
      <c r="F47" s="5" t="n">
        <v>100</v>
      </c>
      <c r="G47" t="inlineStr">
        <is>
          <t>Light</t>
        </is>
      </c>
      <c r="H47" s="5" t="n">
        <v>1</v>
      </c>
      <c r="I47" s="5" t="n">
        <v>1</v>
      </c>
      <c r="J47" s="5" t="n">
        <v>1</v>
      </c>
      <c r="O47">
        <f>MAX(O48)</f>
        <v/>
      </c>
      <c r="R47">
        <f>R48</f>
        <v/>
      </c>
      <c r="S47">
        <f>(E47/100000+F47/100+(O47/1000)*J47/5+R47/200)*200*I47*H47</f>
        <v/>
      </c>
      <c r="T47">
        <f>((E47*F47/25000)+((O47/1000)*J47*R47/2.5))*I47*H47</f>
        <v/>
      </c>
      <c r="U47">
        <f>(E47*F47*(O47/1000)*J47*R47*I47*H47)/12500000</f>
        <v/>
      </c>
      <c r="V47">
        <f>(S47+T47+U47)/3</f>
        <v/>
      </c>
      <c r="W47" s="5" t="n">
        <v>500</v>
      </c>
      <c r="X47">
        <f>IFERROR(V47-W47,"")</f>
        <v/>
      </c>
      <c r="Y47">
        <f>IFERROR(ABS(X47)/MAX(W47,1),"")</f>
        <v/>
      </c>
      <c r="Z47">
        <f>IFERROR((W47-(((E47/100000+F47/100+R47/200)*200*I47*H47)+((E47*F47/25000)*I47*H47))/3)/(((J47/5)*200*I47*H47)+((J47*R47/2.5)*I47*H47)+((E47*F47*J47*R47*I47*H47)/12500000))/3*1000,"")</f>
        <v/>
      </c>
    </row>
    <row r="48">
      <c r="B48" s="6" t="inlineStr">
        <is>
          <t xml:space="preserve">  ↳ DemoTruckTargeting</t>
        </is>
      </c>
      <c r="C48" s="6" t="inlineStr">
        <is>
          <t>Armament@PRIMARY</t>
        </is>
      </c>
      <c r="K48" s="5" t="n"/>
      <c r="L48" s="5" t="n"/>
      <c r="M48" s="5" t="n">
        <v>1</v>
      </c>
      <c r="N48" s="5" t="n"/>
      <c r="O48" s="5" t="n">
        <v>2000</v>
      </c>
      <c r="P48" s="5" t="n">
        <v>1</v>
      </c>
      <c r="Q48">
        <f>L48+IF(M48&gt;1,N(N48)*(M48-1),0)</f>
        <v/>
      </c>
      <c r="R48">
        <f>IFERROR(K48*MAX(M48,1)/Q48*P48,0)</f>
        <v/>
      </c>
      <c r="AA48" s="6" t="inlineStr"/>
    </row>
    <row r="49">
      <c r="A49" t="inlineStr">
        <is>
          <t>shared</t>
        </is>
      </c>
      <c r="B49" t="inlineStr">
        <is>
          <t>ra2_cop_driveby</t>
        </is>
      </c>
      <c r="C49" t="inlineStr">
        <is>
          <t>Drive By Car</t>
        </is>
      </c>
      <c r="D49" t="inlineStr"/>
      <c r="E49" s="5" t="n">
        <v>25000</v>
      </c>
      <c r="F49" s="5" t="n">
        <v>100</v>
      </c>
      <c r="G49" t="inlineStr">
        <is>
          <t>Scout</t>
        </is>
      </c>
      <c r="H49" s="5" t="n">
        <v>1</v>
      </c>
      <c r="I49" s="5" t="n">
        <v>1</v>
      </c>
      <c r="J49" s="5" t="n">
        <v>1</v>
      </c>
      <c r="O49">
        <f>MAX(O50)</f>
        <v/>
      </c>
      <c r="R49">
        <f>R50</f>
        <v/>
      </c>
      <c r="S49">
        <f>(E49/100000+F49/100+(O49/1000)*J49/5+R49/200)*200*I49*H49</f>
        <v/>
      </c>
      <c r="T49">
        <f>((E49*F49/25000)+((O49/1000)*J49*R49/2.5))*I49*H49</f>
        <v/>
      </c>
      <c r="U49">
        <f>(E49*F49*(O49/1000)*J49*R49*I49*H49)/12500000</f>
        <v/>
      </c>
      <c r="V49">
        <f>(S49+T49+U49)/3</f>
        <v/>
      </c>
      <c r="W49" s="5" t="n">
        <v>1000</v>
      </c>
      <c r="X49">
        <f>IFERROR(V49-W49,"")</f>
        <v/>
      </c>
      <c r="Y49">
        <f>IFERROR(ABS(X49)/MAX(W49,1),"")</f>
        <v/>
      </c>
      <c r="Z49">
        <f>IFERROR((W49-(((E49/100000+F49/100+R49/200)*200*I49*H49)+((E49*F49/25000)*I49*H49))/3)/(((J49/5)*200*I49*H49)+((J49*R49/2.5)*I49*H49)+((E49*F49*J49*R49*I49*H49)/12500000))/3*1000,"")</f>
        <v/>
      </c>
    </row>
    <row r="50">
      <c r="B50" s="6" t="inlineStr">
        <is>
          <t xml:space="preserve">  ↳ RA220mmrapid</t>
        </is>
      </c>
      <c r="C50" s="6" t="inlineStr">
        <is>
          <t>Armament</t>
        </is>
      </c>
      <c r="K50" s="5" t="n">
        <v>4000</v>
      </c>
      <c r="L50" s="5" t="n">
        <v>15</v>
      </c>
      <c r="M50" s="5" t="n">
        <v>1</v>
      </c>
      <c r="N50" s="5" t="n"/>
      <c r="O50" s="5" t="n">
        <v>5000</v>
      </c>
      <c r="P50" s="5" t="n">
        <v>1</v>
      </c>
      <c r="Q50">
        <f>L50+IF(M50&gt;1,N(N50)*(M50-1),0)</f>
        <v/>
      </c>
      <c r="R50">
        <f>IFERROR(K50*MAX(M50,1)/Q50*P50,0)</f>
        <v/>
      </c>
      <c r="AA50" s="6" t="inlineStr">
        <is>
          <t>^RA2SmallArms, ^RA2Chaingun</t>
        </is>
      </c>
    </row>
    <row r="51">
      <c r="A51" t="inlineStr">
        <is>
          <t>shared</t>
        </is>
      </c>
      <c r="B51" t="inlineStr">
        <is>
          <t>ra2_ddbx_demo</t>
        </is>
      </c>
      <c r="C51" t="inlineStr">
        <is>
          <t>Bomb Car</t>
        </is>
      </c>
      <c r="D51" t="inlineStr"/>
      <c r="E51" s="5" t="n">
        <v>20000</v>
      </c>
      <c r="F51" s="5" t="n">
        <v>100</v>
      </c>
      <c r="G51" t="inlineStr">
        <is>
          <t>Light</t>
        </is>
      </c>
      <c r="H51" s="5" t="n">
        <v>1</v>
      </c>
      <c r="I51" s="5" t="n">
        <v>1</v>
      </c>
      <c r="J51" s="5" t="n">
        <v>1</v>
      </c>
      <c r="O51">
        <f>MAX(O52)</f>
        <v/>
      </c>
      <c r="R51">
        <f>R52</f>
        <v/>
      </c>
      <c r="S51">
        <f>(E51/100000+F51/100+(O51/1000)*J51/5+R51/200)*200*I51*H51</f>
        <v/>
      </c>
      <c r="T51">
        <f>((E51*F51/25000)+((O51/1000)*J51*R51/2.5))*I51*H51</f>
        <v/>
      </c>
      <c r="U51">
        <f>(E51*F51*(O51/1000)*J51*R51*I51*H51)/12500000</f>
        <v/>
      </c>
      <c r="V51">
        <f>(S51+T51+U51)/3</f>
        <v/>
      </c>
      <c r="W51" s="5" t="n">
        <v>500</v>
      </c>
      <c r="X51">
        <f>IFERROR(V51-W51,"")</f>
        <v/>
      </c>
      <c r="Y51">
        <f>IFERROR(ABS(X51)/MAX(W51,1),"")</f>
        <v/>
      </c>
      <c r="Z51">
        <f>IFERROR((W51-(((E51/100000+F51/100+R51/200)*200*I51*H51)+((E51*F51/25000)*I51*H51))/3)/(((J51/5)*200*I51*H51)+((J51*R51/2.5)*I51*H51)+((E51*F51*J51*R51*I51*H51)/12500000))/3*1000,"")</f>
        <v/>
      </c>
    </row>
    <row r="52">
      <c r="B52" s="6" t="inlineStr">
        <is>
          <t xml:space="preserve">  ↳ DemoTruckTargeting</t>
        </is>
      </c>
      <c r="C52" s="6" t="inlineStr">
        <is>
          <t>Armament@PRIMARY</t>
        </is>
      </c>
      <c r="K52" s="5" t="n"/>
      <c r="L52" s="5" t="n"/>
      <c r="M52" s="5" t="n">
        <v>1</v>
      </c>
      <c r="N52" s="5" t="n"/>
      <c r="O52" s="5" t="n">
        <v>2000</v>
      </c>
      <c r="P52" s="5" t="n">
        <v>1</v>
      </c>
      <c r="Q52">
        <f>L52+IF(M52&gt;1,N(N52)*(M52-1),0)</f>
        <v/>
      </c>
      <c r="R52">
        <f>IFERROR(K52*MAX(M52,1)/Q52*P52,0)</f>
        <v/>
      </c>
      <c r="AA52" s="6" t="inlineStr"/>
    </row>
    <row r="53">
      <c r="A53" t="inlineStr">
        <is>
          <t>shared</t>
        </is>
      </c>
      <c r="B53" t="inlineStr">
        <is>
          <t>ra2_ddbx_driveby</t>
        </is>
      </c>
      <c r="C53" t="inlineStr">
        <is>
          <t>Drive By Car</t>
        </is>
      </c>
      <c r="D53" t="inlineStr"/>
      <c r="E53" s="5" t="n">
        <v>25000</v>
      </c>
      <c r="F53" s="5" t="n">
        <v>100</v>
      </c>
      <c r="G53" t="inlineStr">
        <is>
          <t>Scout</t>
        </is>
      </c>
      <c r="H53" s="5" t="n">
        <v>1</v>
      </c>
      <c r="I53" s="5" t="n">
        <v>1</v>
      </c>
      <c r="J53" s="5" t="n">
        <v>1</v>
      </c>
      <c r="O53">
        <f>MAX(O54)</f>
        <v/>
      </c>
      <c r="R53">
        <f>R54</f>
        <v/>
      </c>
      <c r="S53">
        <f>(E53/100000+F53/100+(O53/1000)*J53/5+R53/200)*200*I53*H53</f>
        <v/>
      </c>
      <c r="T53">
        <f>((E53*F53/25000)+((O53/1000)*J53*R53/2.5))*I53*H53</f>
        <v/>
      </c>
      <c r="U53">
        <f>(E53*F53*(O53/1000)*J53*R53*I53*H53)/12500000</f>
        <v/>
      </c>
      <c r="V53">
        <f>(S53+T53+U53)/3</f>
        <v/>
      </c>
      <c r="W53" s="5" t="n">
        <v>1000</v>
      </c>
      <c r="X53">
        <f>IFERROR(V53-W53,"")</f>
        <v/>
      </c>
      <c r="Y53">
        <f>IFERROR(ABS(X53)/MAX(W53,1),"")</f>
        <v/>
      </c>
      <c r="Z53">
        <f>IFERROR((W53-(((E53/100000+F53/100+R53/200)*200*I53*H53)+((E53*F53/25000)*I53*H53))/3)/(((J53/5)*200*I53*H53)+((J53*R53/2.5)*I53*H53)+((E53*F53*J53*R53*I53*H53)/12500000))/3*1000,"")</f>
        <v/>
      </c>
    </row>
    <row r="54">
      <c r="B54" s="6" t="inlineStr">
        <is>
          <t xml:space="preserve">  ↳ RA220mmrapid</t>
        </is>
      </c>
      <c r="C54" s="6" t="inlineStr">
        <is>
          <t>Armament</t>
        </is>
      </c>
      <c r="K54" s="5" t="n">
        <v>4000</v>
      </c>
      <c r="L54" s="5" t="n">
        <v>15</v>
      </c>
      <c r="M54" s="5" t="n">
        <v>1</v>
      </c>
      <c r="N54" s="5" t="n"/>
      <c r="O54" s="5" t="n">
        <v>5000</v>
      </c>
      <c r="P54" s="5" t="n">
        <v>1</v>
      </c>
      <c r="Q54">
        <f>L54+IF(M54&gt;1,N(N54)*(M54-1),0)</f>
        <v/>
      </c>
      <c r="R54">
        <f>IFERROR(K54*MAX(M54,1)/Q54*P54,0)</f>
        <v/>
      </c>
      <c r="AA54" s="6" t="inlineStr">
        <is>
          <t>^RA2SmallArms, ^RA2Chaingun</t>
        </is>
      </c>
    </row>
    <row r="55">
      <c r="A55" t="inlineStr">
        <is>
          <t>shared</t>
        </is>
      </c>
      <c r="B55" t="inlineStr">
        <is>
          <t>ra2_euroc_demo</t>
        </is>
      </c>
      <c r="C55" t="inlineStr">
        <is>
          <t>Bomb Car</t>
        </is>
      </c>
      <c r="D55" t="inlineStr"/>
      <c r="E55" s="5" t="n">
        <v>20000</v>
      </c>
      <c r="F55" s="5" t="n">
        <v>100</v>
      </c>
      <c r="G55" t="inlineStr">
        <is>
          <t>Light</t>
        </is>
      </c>
      <c r="H55" s="5" t="n">
        <v>1</v>
      </c>
      <c r="I55" s="5" t="n">
        <v>1</v>
      </c>
      <c r="J55" s="5" t="n">
        <v>1</v>
      </c>
      <c r="O55">
        <f>MAX(O56)</f>
        <v/>
      </c>
      <c r="R55">
        <f>R56</f>
        <v/>
      </c>
      <c r="S55">
        <f>(E55/100000+F55/100+(O55/1000)*J55/5+R55/200)*200*I55*H55</f>
        <v/>
      </c>
      <c r="T55">
        <f>((E55*F55/25000)+((O55/1000)*J55*R55/2.5))*I55*H55</f>
        <v/>
      </c>
      <c r="U55">
        <f>(E55*F55*(O55/1000)*J55*R55*I55*H55)/12500000</f>
        <v/>
      </c>
      <c r="V55">
        <f>(S55+T55+U55)/3</f>
        <v/>
      </c>
      <c r="W55" s="5" t="n">
        <v>500</v>
      </c>
      <c r="X55">
        <f>IFERROR(V55-W55,"")</f>
        <v/>
      </c>
      <c r="Y55">
        <f>IFERROR(ABS(X55)/MAX(W55,1),"")</f>
        <v/>
      </c>
      <c r="Z55">
        <f>IFERROR((W55-(((E55/100000+F55/100+R55/200)*200*I55*H55)+((E55*F55/25000)*I55*H55))/3)/(((J55/5)*200*I55*H55)+((J55*R55/2.5)*I55*H55)+((E55*F55*J55*R55*I55*H55)/12500000))/3*1000,"")</f>
        <v/>
      </c>
    </row>
    <row r="56">
      <c r="B56" s="6" t="inlineStr">
        <is>
          <t xml:space="preserve">  ↳ DemoTruckTargeting</t>
        </is>
      </c>
      <c r="C56" s="6" t="inlineStr">
        <is>
          <t>Armament@PRIMARY</t>
        </is>
      </c>
      <c r="K56" s="5" t="n"/>
      <c r="L56" s="5" t="n"/>
      <c r="M56" s="5" t="n">
        <v>1</v>
      </c>
      <c r="N56" s="5" t="n"/>
      <c r="O56" s="5" t="n">
        <v>2000</v>
      </c>
      <c r="P56" s="5" t="n">
        <v>1</v>
      </c>
      <c r="Q56">
        <f>L56+IF(M56&gt;1,N(N56)*(M56-1),0)</f>
        <v/>
      </c>
      <c r="R56">
        <f>IFERROR(K56*MAX(M56,1)/Q56*P56,0)</f>
        <v/>
      </c>
      <c r="AA56" s="6" t="inlineStr"/>
    </row>
    <row r="57">
      <c r="A57" t="inlineStr">
        <is>
          <t>shared</t>
        </is>
      </c>
      <c r="B57" t="inlineStr">
        <is>
          <t>ra2_euroc_driveby</t>
        </is>
      </c>
      <c r="C57" t="inlineStr">
        <is>
          <t>Drive By Car</t>
        </is>
      </c>
      <c r="D57" t="inlineStr"/>
      <c r="E57" s="5" t="n">
        <v>25000</v>
      </c>
      <c r="F57" s="5" t="n">
        <v>100</v>
      </c>
      <c r="G57" t="inlineStr">
        <is>
          <t>Scout</t>
        </is>
      </c>
      <c r="H57" s="5" t="n">
        <v>1</v>
      </c>
      <c r="I57" s="5" t="n">
        <v>1</v>
      </c>
      <c r="J57" s="5" t="n">
        <v>1</v>
      </c>
      <c r="O57">
        <f>MAX(O58)</f>
        <v/>
      </c>
      <c r="R57">
        <f>R58</f>
        <v/>
      </c>
      <c r="S57">
        <f>(E57/100000+F57/100+(O57/1000)*J57/5+R57/200)*200*I57*H57</f>
        <v/>
      </c>
      <c r="T57">
        <f>((E57*F57/25000)+((O57/1000)*J57*R57/2.5))*I57*H57</f>
        <v/>
      </c>
      <c r="U57">
        <f>(E57*F57*(O57/1000)*J57*R57*I57*H57)/12500000</f>
        <v/>
      </c>
      <c r="V57">
        <f>(S57+T57+U57)/3</f>
        <v/>
      </c>
      <c r="W57" s="5" t="n">
        <v>1000</v>
      </c>
      <c r="X57">
        <f>IFERROR(V57-W57,"")</f>
        <v/>
      </c>
      <c r="Y57">
        <f>IFERROR(ABS(X57)/MAX(W57,1),"")</f>
        <v/>
      </c>
      <c r="Z57">
        <f>IFERROR((W57-(((E57/100000+F57/100+R57/200)*200*I57*H57)+((E57*F57/25000)*I57*H57))/3)/(((J57/5)*200*I57*H57)+((J57*R57/2.5)*I57*H57)+((E57*F57*J57*R57*I57*H57)/12500000))/3*1000,"")</f>
        <v/>
      </c>
    </row>
    <row r="58">
      <c r="B58" s="6" t="inlineStr">
        <is>
          <t xml:space="preserve">  ↳ RA220mmrapid</t>
        </is>
      </c>
      <c r="C58" s="6" t="inlineStr">
        <is>
          <t>Armament</t>
        </is>
      </c>
      <c r="K58" s="5" t="n">
        <v>4000</v>
      </c>
      <c r="L58" s="5" t="n">
        <v>15</v>
      </c>
      <c r="M58" s="5" t="n">
        <v>1</v>
      </c>
      <c r="N58" s="5" t="n"/>
      <c r="O58" s="5" t="n">
        <v>5000</v>
      </c>
      <c r="P58" s="5" t="n">
        <v>1</v>
      </c>
      <c r="Q58">
        <f>L58+IF(M58&gt;1,N(N58)*(M58-1),0)</f>
        <v/>
      </c>
      <c r="R58">
        <f>IFERROR(K58*MAX(M58,1)/Q58*P58,0)</f>
        <v/>
      </c>
      <c r="AA58" s="6" t="inlineStr">
        <is>
          <t>^RA2SmallArms, ^RA2Chaingun</t>
        </is>
      </c>
    </row>
    <row r="59">
      <c r="A59" t="inlineStr">
        <is>
          <t>shared</t>
        </is>
      </c>
      <c r="B59" t="inlineStr">
        <is>
          <t>ra2_jeep_demo</t>
        </is>
      </c>
      <c r="C59" t="inlineStr">
        <is>
          <t>Bomb Car</t>
        </is>
      </c>
      <c r="D59" t="inlineStr"/>
      <c r="E59" s="5" t="n">
        <v>20000</v>
      </c>
      <c r="F59" s="5" t="n">
        <v>100</v>
      </c>
      <c r="G59" t="inlineStr">
        <is>
          <t>Light</t>
        </is>
      </c>
      <c r="H59" s="5" t="n">
        <v>1</v>
      </c>
      <c r="I59" s="5" t="n">
        <v>1</v>
      </c>
      <c r="J59" s="5" t="n">
        <v>1</v>
      </c>
      <c r="O59">
        <f>MAX(O60)</f>
        <v/>
      </c>
      <c r="R59">
        <f>R60</f>
        <v/>
      </c>
      <c r="S59">
        <f>(E59/100000+F59/100+(O59/1000)*J59/5+R59/200)*200*I59*H59</f>
        <v/>
      </c>
      <c r="T59">
        <f>((E59*F59/25000)+((O59/1000)*J59*R59/2.5))*I59*H59</f>
        <v/>
      </c>
      <c r="U59">
        <f>(E59*F59*(O59/1000)*J59*R59*I59*H59)/12500000</f>
        <v/>
      </c>
      <c r="V59">
        <f>(S59+T59+U59)/3</f>
        <v/>
      </c>
      <c r="W59" s="5" t="n">
        <v>500</v>
      </c>
      <c r="X59">
        <f>IFERROR(V59-W59,"")</f>
        <v/>
      </c>
      <c r="Y59">
        <f>IFERROR(ABS(X59)/MAX(W59,1),"")</f>
        <v/>
      </c>
      <c r="Z59">
        <f>IFERROR((W59-(((E59/100000+F59/100+R59/200)*200*I59*H59)+((E59*F59/25000)*I59*H59))/3)/(((J59/5)*200*I59*H59)+((J59*R59/2.5)*I59*H59)+((E59*F59*J59*R59*I59*H59)/12500000))/3*1000,"")</f>
        <v/>
      </c>
    </row>
    <row r="60">
      <c r="B60" s="6" t="inlineStr">
        <is>
          <t xml:space="preserve">  ↳ DemoTruckTargeting</t>
        </is>
      </c>
      <c r="C60" s="6" t="inlineStr">
        <is>
          <t>Armament@PRIMARY</t>
        </is>
      </c>
      <c r="K60" s="5" t="n"/>
      <c r="L60" s="5" t="n"/>
      <c r="M60" s="5" t="n">
        <v>1</v>
      </c>
      <c r="N60" s="5" t="n"/>
      <c r="O60" s="5" t="n">
        <v>2000</v>
      </c>
      <c r="P60" s="5" t="n">
        <v>1</v>
      </c>
      <c r="Q60">
        <f>L60+IF(M60&gt;1,N(N60)*(M60-1),0)</f>
        <v/>
      </c>
      <c r="R60">
        <f>IFERROR(K60*MAX(M60,1)/Q60*P60,0)</f>
        <v/>
      </c>
      <c r="AA60" s="6" t="inlineStr"/>
    </row>
    <row r="61">
      <c r="A61" t="inlineStr">
        <is>
          <t>shared</t>
        </is>
      </c>
      <c r="B61" t="inlineStr">
        <is>
          <t>ra2_jeep_driveby</t>
        </is>
      </c>
      <c r="C61" t="inlineStr">
        <is>
          <t>Drive By Car</t>
        </is>
      </c>
      <c r="D61" t="inlineStr"/>
      <c r="E61" s="5" t="n">
        <v>25000</v>
      </c>
      <c r="F61" s="5" t="n">
        <v>100</v>
      </c>
      <c r="G61" t="inlineStr">
        <is>
          <t>Scout</t>
        </is>
      </c>
      <c r="H61" s="5" t="n">
        <v>1</v>
      </c>
      <c r="I61" s="5" t="n">
        <v>1</v>
      </c>
      <c r="J61" s="5" t="n">
        <v>1</v>
      </c>
      <c r="O61">
        <f>MAX(O62)</f>
        <v/>
      </c>
      <c r="R61">
        <f>R62</f>
        <v/>
      </c>
      <c r="S61">
        <f>(E61/100000+F61/100+(O61/1000)*J61/5+R61/200)*200*I61*H61</f>
        <v/>
      </c>
      <c r="T61">
        <f>((E61*F61/25000)+((O61/1000)*J61*R61/2.5))*I61*H61</f>
        <v/>
      </c>
      <c r="U61">
        <f>(E61*F61*(O61/1000)*J61*R61*I61*H61)/12500000</f>
        <v/>
      </c>
      <c r="V61">
        <f>(S61+T61+U61)/3</f>
        <v/>
      </c>
      <c r="W61" s="5" t="n">
        <v>1000</v>
      </c>
      <c r="X61">
        <f>IFERROR(V61-W61,"")</f>
        <v/>
      </c>
      <c r="Y61">
        <f>IFERROR(ABS(X61)/MAX(W61,1),"")</f>
        <v/>
      </c>
      <c r="Z61">
        <f>IFERROR((W61-(((E61/100000+F61/100+R61/200)*200*I61*H61)+((E61*F61/25000)*I61*H61))/3)/(((J61/5)*200*I61*H61)+((J61*R61/2.5)*I61*H61)+((E61*F61*J61*R61*I61*H61)/12500000))/3*1000,"")</f>
        <v/>
      </c>
    </row>
    <row r="62">
      <c r="B62" s="6" t="inlineStr">
        <is>
          <t xml:space="preserve">  ↳ RA220mmrapid</t>
        </is>
      </c>
      <c r="C62" s="6" t="inlineStr">
        <is>
          <t>Armament</t>
        </is>
      </c>
      <c r="K62" s="5" t="n">
        <v>4000</v>
      </c>
      <c r="L62" s="5" t="n">
        <v>15</v>
      </c>
      <c r="M62" s="5" t="n">
        <v>1</v>
      </c>
      <c r="N62" s="5" t="n"/>
      <c r="O62" s="5" t="n">
        <v>5000</v>
      </c>
      <c r="P62" s="5" t="n">
        <v>1</v>
      </c>
      <c r="Q62">
        <f>L62+IF(M62&gt;1,N(N62)*(M62-1),0)</f>
        <v/>
      </c>
      <c r="R62">
        <f>IFERROR(K62*MAX(M62,1)/Q62*P62,0)</f>
        <v/>
      </c>
      <c r="AA62" s="6" t="inlineStr">
        <is>
          <t>^RA2SmallArms, ^RA2Chaingun</t>
        </is>
      </c>
    </row>
    <row r="63">
      <c r="A63" t="inlineStr">
        <is>
          <t>shared</t>
        </is>
      </c>
      <c r="B63" t="inlineStr">
        <is>
          <t>ra2_limo_demo</t>
        </is>
      </c>
      <c r="C63" t="inlineStr">
        <is>
          <t>Bomb Car</t>
        </is>
      </c>
      <c r="D63" t="inlineStr"/>
      <c r="E63" s="5" t="n">
        <v>20000</v>
      </c>
      <c r="F63" s="5" t="n">
        <v>100</v>
      </c>
      <c r="G63" t="inlineStr">
        <is>
          <t>Light</t>
        </is>
      </c>
      <c r="H63" s="5" t="n">
        <v>1</v>
      </c>
      <c r="I63" s="5" t="n">
        <v>1</v>
      </c>
      <c r="J63" s="5" t="n">
        <v>1</v>
      </c>
      <c r="O63">
        <f>MAX(O64)</f>
        <v/>
      </c>
      <c r="R63">
        <f>R64</f>
        <v/>
      </c>
      <c r="S63">
        <f>(E63/100000+F63/100+(O63/1000)*J63/5+R63/200)*200*I63*H63</f>
        <v/>
      </c>
      <c r="T63">
        <f>((E63*F63/25000)+((O63/1000)*J63*R63/2.5))*I63*H63</f>
        <v/>
      </c>
      <c r="U63">
        <f>(E63*F63*(O63/1000)*J63*R63*I63*H63)/12500000</f>
        <v/>
      </c>
      <c r="V63">
        <f>(S63+T63+U63)/3</f>
        <v/>
      </c>
      <c r="W63" s="5" t="n">
        <v>500</v>
      </c>
      <c r="X63">
        <f>IFERROR(V63-W63,"")</f>
        <v/>
      </c>
      <c r="Y63">
        <f>IFERROR(ABS(X63)/MAX(W63,1),"")</f>
        <v/>
      </c>
      <c r="Z63">
        <f>IFERROR((W63-(((E63/100000+F63/100+R63/200)*200*I63*H63)+((E63*F63/25000)*I63*H63))/3)/(((J63/5)*200*I63*H63)+((J63*R63/2.5)*I63*H63)+((E63*F63*J63*R63*I63*H63)/12500000))/3*1000,"")</f>
        <v/>
      </c>
    </row>
    <row r="64">
      <c r="B64" s="6" t="inlineStr">
        <is>
          <t xml:space="preserve">  ↳ DemoTruckTargeting</t>
        </is>
      </c>
      <c r="C64" s="6" t="inlineStr">
        <is>
          <t>Armament@PRIMARY</t>
        </is>
      </c>
      <c r="K64" s="5" t="n"/>
      <c r="L64" s="5" t="n"/>
      <c r="M64" s="5" t="n">
        <v>1</v>
      </c>
      <c r="N64" s="5" t="n"/>
      <c r="O64" s="5" t="n">
        <v>2000</v>
      </c>
      <c r="P64" s="5" t="n">
        <v>1</v>
      </c>
      <c r="Q64">
        <f>L64+IF(M64&gt;1,N(N64)*(M64-1),0)</f>
        <v/>
      </c>
      <c r="R64">
        <f>IFERROR(K64*MAX(M64,1)/Q64*P64,0)</f>
        <v/>
      </c>
      <c r="AA64" s="6" t="inlineStr"/>
    </row>
    <row r="65">
      <c r="A65" t="inlineStr">
        <is>
          <t>shared</t>
        </is>
      </c>
      <c r="B65" t="inlineStr">
        <is>
          <t>ra2_limo_driveby</t>
        </is>
      </c>
      <c r="C65" t="inlineStr">
        <is>
          <t>Drive By Car</t>
        </is>
      </c>
      <c r="D65" t="inlineStr"/>
      <c r="E65" s="5" t="n">
        <v>25000</v>
      </c>
      <c r="F65" s="5" t="n">
        <v>100</v>
      </c>
      <c r="G65" t="inlineStr">
        <is>
          <t>Scout</t>
        </is>
      </c>
      <c r="H65" s="5" t="n">
        <v>1</v>
      </c>
      <c r="I65" s="5" t="n">
        <v>1</v>
      </c>
      <c r="J65" s="5" t="n">
        <v>1</v>
      </c>
      <c r="O65">
        <f>MAX(O66)</f>
        <v/>
      </c>
      <c r="R65">
        <f>R66</f>
        <v/>
      </c>
      <c r="S65">
        <f>(E65/100000+F65/100+(O65/1000)*J65/5+R65/200)*200*I65*H65</f>
        <v/>
      </c>
      <c r="T65">
        <f>((E65*F65/25000)+((O65/1000)*J65*R65/2.5))*I65*H65</f>
        <v/>
      </c>
      <c r="U65">
        <f>(E65*F65*(O65/1000)*J65*R65*I65*H65)/12500000</f>
        <v/>
      </c>
      <c r="V65">
        <f>(S65+T65+U65)/3</f>
        <v/>
      </c>
      <c r="W65" s="5" t="n">
        <v>1000</v>
      </c>
      <c r="X65">
        <f>IFERROR(V65-W65,"")</f>
        <v/>
      </c>
      <c r="Y65">
        <f>IFERROR(ABS(X65)/MAX(W65,1),"")</f>
        <v/>
      </c>
      <c r="Z65">
        <f>IFERROR((W65-(((E65/100000+F65/100+R65/200)*200*I65*H65)+((E65*F65/25000)*I65*H65))/3)/(((J65/5)*200*I65*H65)+((J65*R65/2.5)*I65*H65)+((E65*F65*J65*R65*I65*H65)/12500000))/3*1000,"")</f>
        <v/>
      </c>
    </row>
    <row r="66">
      <c r="B66" s="6" t="inlineStr">
        <is>
          <t xml:space="preserve">  ↳ RA220mmrapid</t>
        </is>
      </c>
      <c r="C66" s="6" t="inlineStr">
        <is>
          <t>Armament</t>
        </is>
      </c>
      <c r="K66" s="5" t="n">
        <v>4000</v>
      </c>
      <c r="L66" s="5" t="n">
        <v>15</v>
      </c>
      <c r="M66" s="5" t="n">
        <v>1</v>
      </c>
      <c r="N66" s="5" t="n"/>
      <c r="O66" s="5" t="n">
        <v>5000</v>
      </c>
      <c r="P66" s="5" t="n">
        <v>1</v>
      </c>
      <c r="Q66">
        <f>L66+IF(M66&gt;1,N(N66)*(M66-1),0)</f>
        <v/>
      </c>
      <c r="R66">
        <f>IFERROR(K66*MAX(M66,1)/Q66*P66,0)</f>
        <v/>
      </c>
      <c r="AA66" s="6" t="inlineStr">
        <is>
          <t>^RA2SmallArms, ^RA2Chaingun</t>
        </is>
      </c>
    </row>
    <row r="67">
      <c r="A67" t="inlineStr">
        <is>
          <t>shared</t>
        </is>
      </c>
      <c r="B67" t="inlineStr">
        <is>
          <t>ra2_ptruck_demo</t>
        </is>
      </c>
      <c r="C67" t="inlineStr">
        <is>
          <t>Bomb Car</t>
        </is>
      </c>
      <c r="D67" t="inlineStr"/>
      <c r="E67" s="5" t="n">
        <v>20000</v>
      </c>
      <c r="F67" s="5" t="n">
        <v>100</v>
      </c>
      <c r="G67" t="inlineStr">
        <is>
          <t>Light</t>
        </is>
      </c>
      <c r="H67" s="5" t="n">
        <v>1</v>
      </c>
      <c r="I67" s="5" t="n">
        <v>1</v>
      </c>
      <c r="J67" s="5" t="n">
        <v>1</v>
      </c>
      <c r="O67">
        <f>MAX(O68)</f>
        <v/>
      </c>
      <c r="R67">
        <f>R68</f>
        <v/>
      </c>
      <c r="S67">
        <f>(E67/100000+F67/100+(O67/1000)*J67/5+R67/200)*200*I67*H67</f>
        <v/>
      </c>
      <c r="T67">
        <f>((E67*F67/25000)+((O67/1000)*J67*R67/2.5))*I67*H67</f>
        <v/>
      </c>
      <c r="U67">
        <f>(E67*F67*(O67/1000)*J67*R67*I67*H67)/12500000</f>
        <v/>
      </c>
      <c r="V67">
        <f>(S67+T67+U67)/3</f>
        <v/>
      </c>
      <c r="W67" s="5" t="n">
        <v>500</v>
      </c>
      <c r="X67">
        <f>IFERROR(V67-W67,"")</f>
        <v/>
      </c>
      <c r="Y67">
        <f>IFERROR(ABS(X67)/MAX(W67,1),"")</f>
        <v/>
      </c>
      <c r="Z67">
        <f>IFERROR((W67-(((E67/100000+F67/100+R67/200)*200*I67*H67)+((E67*F67/25000)*I67*H67))/3)/(((J67/5)*200*I67*H67)+((J67*R67/2.5)*I67*H67)+((E67*F67*J67*R67*I67*H67)/12500000))/3*1000,"")</f>
        <v/>
      </c>
    </row>
    <row r="68">
      <c r="B68" s="6" t="inlineStr">
        <is>
          <t xml:space="preserve">  ↳ DemoTruckTargeting</t>
        </is>
      </c>
      <c r="C68" s="6" t="inlineStr">
        <is>
          <t>Armament@PRIMARY</t>
        </is>
      </c>
      <c r="K68" s="5" t="n"/>
      <c r="L68" s="5" t="n"/>
      <c r="M68" s="5" t="n">
        <v>1</v>
      </c>
      <c r="N68" s="5" t="n"/>
      <c r="O68" s="5" t="n">
        <v>2000</v>
      </c>
      <c r="P68" s="5" t="n">
        <v>1</v>
      </c>
      <c r="Q68">
        <f>L68+IF(M68&gt;1,N(N68)*(M68-1),0)</f>
        <v/>
      </c>
      <c r="R68">
        <f>IFERROR(K68*MAX(M68,1)/Q68*P68,0)</f>
        <v/>
      </c>
      <c r="AA68" s="6" t="inlineStr"/>
    </row>
    <row r="69">
      <c r="A69" t="inlineStr">
        <is>
          <t>shared</t>
        </is>
      </c>
      <c r="B69" t="inlineStr">
        <is>
          <t>ra2_ptruck_driveby</t>
        </is>
      </c>
      <c r="C69" t="inlineStr">
        <is>
          <t>Drive By Car</t>
        </is>
      </c>
      <c r="D69" t="inlineStr"/>
      <c r="E69" s="5" t="n">
        <v>25000</v>
      </c>
      <c r="F69" s="5" t="n">
        <v>100</v>
      </c>
      <c r="G69" t="inlineStr">
        <is>
          <t>Scout</t>
        </is>
      </c>
      <c r="H69" s="5" t="n">
        <v>1</v>
      </c>
      <c r="I69" s="5" t="n">
        <v>1</v>
      </c>
      <c r="J69" s="5" t="n">
        <v>1</v>
      </c>
      <c r="O69">
        <f>MAX(O70)</f>
        <v/>
      </c>
      <c r="R69">
        <f>R70</f>
        <v/>
      </c>
      <c r="S69">
        <f>(E69/100000+F69/100+(O69/1000)*J69/5+R69/200)*200*I69*H69</f>
        <v/>
      </c>
      <c r="T69">
        <f>((E69*F69/25000)+((O69/1000)*J69*R69/2.5))*I69*H69</f>
        <v/>
      </c>
      <c r="U69">
        <f>(E69*F69*(O69/1000)*J69*R69*I69*H69)/12500000</f>
        <v/>
      </c>
      <c r="V69">
        <f>(S69+T69+U69)/3</f>
        <v/>
      </c>
      <c r="W69" s="5" t="n">
        <v>1000</v>
      </c>
      <c r="X69">
        <f>IFERROR(V69-W69,"")</f>
        <v/>
      </c>
      <c r="Y69">
        <f>IFERROR(ABS(X69)/MAX(W69,1),"")</f>
        <v/>
      </c>
      <c r="Z69">
        <f>IFERROR((W69-(((E69/100000+F69/100+R69/200)*200*I69*H69)+((E69*F69/25000)*I69*H69))/3)/(((J69/5)*200*I69*H69)+((J69*R69/2.5)*I69*H69)+((E69*F69*J69*R69*I69*H69)/12500000))/3*1000,"")</f>
        <v/>
      </c>
    </row>
    <row r="70">
      <c r="B70" s="6" t="inlineStr">
        <is>
          <t xml:space="preserve">  ↳ RA220mmrapid</t>
        </is>
      </c>
      <c r="C70" s="6" t="inlineStr">
        <is>
          <t>Armament</t>
        </is>
      </c>
      <c r="K70" s="5" t="n">
        <v>4000</v>
      </c>
      <c r="L70" s="5" t="n">
        <v>15</v>
      </c>
      <c r="M70" s="5" t="n">
        <v>1</v>
      </c>
      <c r="N70" s="5" t="n"/>
      <c r="O70" s="5" t="n">
        <v>5000</v>
      </c>
      <c r="P70" s="5" t="n">
        <v>1</v>
      </c>
      <c r="Q70">
        <f>L70+IF(M70&gt;1,N(N70)*(M70-1),0)</f>
        <v/>
      </c>
      <c r="R70">
        <f>IFERROR(K70*MAX(M70,1)/Q70*P70,0)</f>
        <v/>
      </c>
      <c r="AA70" s="6" t="inlineStr">
        <is>
          <t>^RA2SmallArms, ^RA2Chaingun</t>
        </is>
      </c>
    </row>
    <row r="71">
      <c r="A71" t="inlineStr">
        <is>
          <t>shared</t>
        </is>
      </c>
      <c r="B71" t="inlineStr">
        <is>
          <t>ra2_stang_demo</t>
        </is>
      </c>
      <c r="C71" t="inlineStr">
        <is>
          <t>Bomb Car</t>
        </is>
      </c>
      <c r="D71" t="inlineStr"/>
      <c r="E71" s="5" t="n">
        <v>20000</v>
      </c>
      <c r="F71" s="5" t="n">
        <v>100</v>
      </c>
      <c r="G71" t="inlineStr">
        <is>
          <t>Light</t>
        </is>
      </c>
      <c r="H71" s="5" t="n">
        <v>1</v>
      </c>
      <c r="I71" s="5" t="n">
        <v>1</v>
      </c>
      <c r="J71" s="5" t="n">
        <v>1</v>
      </c>
      <c r="O71">
        <f>MAX(O72)</f>
        <v/>
      </c>
      <c r="R71">
        <f>R72</f>
        <v/>
      </c>
      <c r="S71">
        <f>(E71/100000+F71/100+(O71/1000)*J71/5+R71/200)*200*I71*H71</f>
        <v/>
      </c>
      <c r="T71">
        <f>((E71*F71/25000)+((O71/1000)*J71*R71/2.5))*I71*H71</f>
        <v/>
      </c>
      <c r="U71">
        <f>(E71*F71*(O71/1000)*J71*R71*I71*H71)/12500000</f>
        <v/>
      </c>
      <c r="V71">
        <f>(S71+T71+U71)/3</f>
        <v/>
      </c>
      <c r="W71" s="5" t="n">
        <v>500</v>
      </c>
      <c r="X71">
        <f>IFERROR(V71-W71,"")</f>
        <v/>
      </c>
      <c r="Y71">
        <f>IFERROR(ABS(X71)/MAX(W71,1),"")</f>
        <v/>
      </c>
      <c r="Z71">
        <f>IFERROR((W71-(((E71/100000+F71/100+R71/200)*200*I71*H71)+((E71*F71/25000)*I71*H71))/3)/(((J71/5)*200*I71*H71)+((J71*R71/2.5)*I71*H71)+((E71*F71*J71*R71*I71*H71)/12500000))/3*1000,"")</f>
        <v/>
      </c>
    </row>
    <row r="72">
      <c r="B72" s="6" t="inlineStr">
        <is>
          <t xml:space="preserve">  ↳ DemoTruckTargeting</t>
        </is>
      </c>
      <c r="C72" s="6" t="inlineStr">
        <is>
          <t>Armament@PRIMARY</t>
        </is>
      </c>
      <c r="K72" s="5" t="n"/>
      <c r="L72" s="5" t="n"/>
      <c r="M72" s="5" t="n">
        <v>1</v>
      </c>
      <c r="N72" s="5" t="n"/>
      <c r="O72" s="5" t="n">
        <v>2000</v>
      </c>
      <c r="P72" s="5" t="n">
        <v>1</v>
      </c>
      <c r="Q72">
        <f>L72+IF(M72&gt;1,N(N72)*(M72-1),0)</f>
        <v/>
      </c>
      <c r="R72">
        <f>IFERROR(K72*MAX(M72,1)/Q72*P72,0)</f>
        <v/>
      </c>
      <c r="AA72" s="6" t="inlineStr"/>
    </row>
    <row r="73">
      <c r="A73" t="inlineStr">
        <is>
          <t>shared</t>
        </is>
      </c>
      <c r="B73" t="inlineStr">
        <is>
          <t>ra2_stang_driveby</t>
        </is>
      </c>
      <c r="C73" t="inlineStr">
        <is>
          <t>Drive By Car</t>
        </is>
      </c>
      <c r="D73" t="inlineStr"/>
      <c r="E73" s="5" t="n">
        <v>25000</v>
      </c>
      <c r="F73" s="5" t="n">
        <v>100</v>
      </c>
      <c r="G73" t="inlineStr">
        <is>
          <t>Scout</t>
        </is>
      </c>
      <c r="H73" s="5" t="n">
        <v>1</v>
      </c>
      <c r="I73" s="5" t="n">
        <v>1</v>
      </c>
      <c r="J73" s="5" t="n">
        <v>1</v>
      </c>
      <c r="O73">
        <f>MAX(O74)</f>
        <v/>
      </c>
      <c r="R73">
        <f>R74</f>
        <v/>
      </c>
      <c r="S73">
        <f>(E73/100000+F73/100+(O73/1000)*J73/5+R73/200)*200*I73*H73</f>
        <v/>
      </c>
      <c r="T73">
        <f>((E73*F73/25000)+((O73/1000)*J73*R73/2.5))*I73*H73</f>
        <v/>
      </c>
      <c r="U73">
        <f>(E73*F73*(O73/1000)*J73*R73*I73*H73)/12500000</f>
        <v/>
      </c>
      <c r="V73">
        <f>(S73+T73+U73)/3</f>
        <v/>
      </c>
      <c r="W73" s="5" t="n">
        <v>1000</v>
      </c>
      <c r="X73">
        <f>IFERROR(V73-W73,"")</f>
        <v/>
      </c>
      <c r="Y73">
        <f>IFERROR(ABS(X73)/MAX(W73,1),"")</f>
        <v/>
      </c>
      <c r="Z73">
        <f>IFERROR((W73-(((E73/100000+F73/100+R73/200)*200*I73*H73)+((E73*F73/25000)*I73*H73))/3)/(((J73/5)*200*I73*H73)+((J73*R73/2.5)*I73*H73)+((E73*F73*J73*R73*I73*H73)/12500000))/3*1000,"")</f>
        <v/>
      </c>
    </row>
    <row r="74">
      <c r="B74" s="6" t="inlineStr">
        <is>
          <t xml:space="preserve">  ↳ RA220mmrapid</t>
        </is>
      </c>
      <c r="C74" s="6" t="inlineStr">
        <is>
          <t>Armament</t>
        </is>
      </c>
      <c r="K74" s="5" t="n">
        <v>4000</v>
      </c>
      <c r="L74" s="5" t="n">
        <v>15</v>
      </c>
      <c r="M74" s="5" t="n">
        <v>1</v>
      </c>
      <c r="N74" s="5" t="n"/>
      <c r="O74" s="5" t="n">
        <v>5000</v>
      </c>
      <c r="P74" s="5" t="n">
        <v>1</v>
      </c>
      <c r="Q74">
        <f>L74+IF(M74&gt;1,N(N74)*(M74-1),0)</f>
        <v/>
      </c>
      <c r="R74">
        <f>IFERROR(K74*MAX(M74,1)/Q74*P74,0)</f>
        <v/>
      </c>
      <c r="AA74" s="6" t="inlineStr">
        <is>
          <t>^RA2SmallArms, ^RA2Chaingun</t>
        </is>
      </c>
    </row>
    <row r="75">
      <c r="A75" t="inlineStr">
        <is>
          <t>shared</t>
        </is>
      </c>
      <c r="B75" t="inlineStr">
        <is>
          <t>ra2_suvb_demo</t>
        </is>
      </c>
      <c r="C75" t="inlineStr">
        <is>
          <t>Bomb Car</t>
        </is>
      </c>
      <c r="D75" t="inlineStr"/>
      <c r="E75" s="5" t="n">
        <v>20000</v>
      </c>
      <c r="F75" s="5" t="n">
        <v>100</v>
      </c>
      <c r="G75" t="inlineStr">
        <is>
          <t>Light</t>
        </is>
      </c>
      <c r="H75" s="5" t="n">
        <v>1</v>
      </c>
      <c r="I75" s="5" t="n">
        <v>1</v>
      </c>
      <c r="J75" s="5" t="n">
        <v>1</v>
      </c>
      <c r="O75">
        <f>MAX(O76)</f>
        <v/>
      </c>
      <c r="R75">
        <f>R76</f>
        <v/>
      </c>
      <c r="S75">
        <f>(E75/100000+F75/100+(O75/1000)*J75/5+R75/200)*200*I75*H75</f>
        <v/>
      </c>
      <c r="T75">
        <f>((E75*F75/25000)+((O75/1000)*J75*R75/2.5))*I75*H75</f>
        <v/>
      </c>
      <c r="U75">
        <f>(E75*F75*(O75/1000)*J75*R75*I75*H75)/12500000</f>
        <v/>
      </c>
      <c r="V75">
        <f>(S75+T75+U75)/3</f>
        <v/>
      </c>
      <c r="W75" s="5" t="n">
        <v>500</v>
      </c>
      <c r="X75">
        <f>IFERROR(V75-W75,"")</f>
        <v/>
      </c>
      <c r="Y75">
        <f>IFERROR(ABS(X75)/MAX(W75,1),"")</f>
        <v/>
      </c>
      <c r="Z75">
        <f>IFERROR((W75-(((E75/100000+F75/100+R75/200)*200*I75*H75)+((E75*F75/25000)*I75*H75))/3)/(((J75/5)*200*I75*H75)+((J75*R75/2.5)*I75*H75)+((E75*F75*J75*R75*I75*H75)/12500000))/3*1000,"")</f>
        <v/>
      </c>
    </row>
    <row r="76">
      <c r="B76" s="6" t="inlineStr">
        <is>
          <t xml:space="preserve">  ↳ DemoTruckTargeting</t>
        </is>
      </c>
      <c r="C76" s="6" t="inlineStr">
        <is>
          <t>Armament@PRIMARY</t>
        </is>
      </c>
      <c r="K76" s="5" t="n"/>
      <c r="L76" s="5" t="n"/>
      <c r="M76" s="5" t="n">
        <v>1</v>
      </c>
      <c r="N76" s="5" t="n"/>
      <c r="O76" s="5" t="n">
        <v>2000</v>
      </c>
      <c r="P76" s="5" t="n">
        <v>1</v>
      </c>
      <c r="Q76">
        <f>L76+IF(M76&gt;1,N(N76)*(M76-1),0)</f>
        <v/>
      </c>
      <c r="R76">
        <f>IFERROR(K76*MAX(M76,1)/Q76*P76,0)</f>
        <v/>
      </c>
      <c r="AA76" s="6" t="inlineStr"/>
    </row>
    <row r="77">
      <c r="A77" t="inlineStr">
        <is>
          <t>shared</t>
        </is>
      </c>
      <c r="B77" t="inlineStr">
        <is>
          <t>ra2_suvb_driveby</t>
        </is>
      </c>
      <c r="C77" t="inlineStr">
        <is>
          <t>Drive By Car</t>
        </is>
      </c>
      <c r="D77" t="inlineStr"/>
      <c r="E77" s="5" t="n">
        <v>25000</v>
      </c>
      <c r="F77" s="5" t="n">
        <v>100</v>
      </c>
      <c r="G77" t="inlineStr">
        <is>
          <t>Scout</t>
        </is>
      </c>
      <c r="H77" s="5" t="n">
        <v>1</v>
      </c>
      <c r="I77" s="5" t="n">
        <v>1</v>
      </c>
      <c r="J77" s="5" t="n">
        <v>1</v>
      </c>
      <c r="O77">
        <f>MAX(O78)</f>
        <v/>
      </c>
      <c r="R77">
        <f>R78</f>
        <v/>
      </c>
      <c r="S77">
        <f>(E77/100000+F77/100+(O77/1000)*J77/5+R77/200)*200*I77*H77</f>
        <v/>
      </c>
      <c r="T77">
        <f>((E77*F77/25000)+((O77/1000)*J77*R77/2.5))*I77*H77</f>
        <v/>
      </c>
      <c r="U77">
        <f>(E77*F77*(O77/1000)*J77*R77*I77*H77)/12500000</f>
        <v/>
      </c>
      <c r="V77">
        <f>(S77+T77+U77)/3</f>
        <v/>
      </c>
      <c r="W77" s="5" t="n">
        <v>1000</v>
      </c>
      <c r="X77">
        <f>IFERROR(V77-W77,"")</f>
        <v/>
      </c>
      <c r="Y77">
        <f>IFERROR(ABS(X77)/MAX(W77,1),"")</f>
        <v/>
      </c>
      <c r="Z77">
        <f>IFERROR((W77-(((E77/100000+F77/100+R77/200)*200*I77*H77)+((E77*F77/25000)*I77*H77))/3)/(((J77/5)*200*I77*H77)+((J77*R77/2.5)*I77*H77)+((E77*F77*J77*R77*I77*H77)/12500000))/3*1000,"")</f>
        <v/>
      </c>
    </row>
    <row r="78">
      <c r="B78" s="6" t="inlineStr">
        <is>
          <t xml:space="preserve">  ↳ RA220mmrapid</t>
        </is>
      </c>
      <c r="C78" s="6" t="inlineStr">
        <is>
          <t>Armament</t>
        </is>
      </c>
      <c r="K78" s="5" t="n">
        <v>4000</v>
      </c>
      <c r="L78" s="5" t="n">
        <v>15</v>
      </c>
      <c r="M78" s="5" t="n">
        <v>1</v>
      </c>
      <c r="N78" s="5" t="n"/>
      <c r="O78" s="5" t="n">
        <v>5000</v>
      </c>
      <c r="P78" s="5" t="n">
        <v>1</v>
      </c>
      <c r="Q78">
        <f>L78+IF(M78&gt;1,N(N78)*(M78-1),0)</f>
        <v/>
      </c>
      <c r="R78">
        <f>IFERROR(K78*MAX(M78,1)/Q78*P78,0)</f>
        <v/>
      </c>
      <c r="AA78" s="6" t="inlineStr">
        <is>
          <t>^RA2SmallArms, ^RA2Chaingun</t>
        </is>
      </c>
    </row>
    <row r="79">
      <c r="A79" t="inlineStr">
        <is>
          <t>shared</t>
        </is>
      </c>
      <c r="B79" t="inlineStr">
        <is>
          <t>ra2_suvw_demo</t>
        </is>
      </c>
      <c r="C79" t="inlineStr">
        <is>
          <t>Bomb Car</t>
        </is>
      </c>
      <c r="D79" t="inlineStr"/>
      <c r="E79" s="5" t="n">
        <v>20000</v>
      </c>
      <c r="F79" s="5" t="n">
        <v>100</v>
      </c>
      <c r="G79" t="inlineStr">
        <is>
          <t>Light</t>
        </is>
      </c>
      <c r="H79" s="5" t="n">
        <v>1</v>
      </c>
      <c r="I79" s="5" t="n">
        <v>1</v>
      </c>
      <c r="J79" s="5" t="n">
        <v>1</v>
      </c>
      <c r="O79">
        <f>MAX(O80)</f>
        <v/>
      </c>
      <c r="R79">
        <f>R80</f>
        <v/>
      </c>
      <c r="S79">
        <f>(E79/100000+F79/100+(O79/1000)*J79/5+R79/200)*200*I79*H79</f>
        <v/>
      </c>
      <c r="T79">
        <f>((E79*F79/25000)+((O79/1000)*J79*R79/2.5))*I79*H79</f>
        <v/>
      </c>
      <c r="U79">
        <f>(E79*F79*(O79/1000)*J79*R79*I79*H79)/12500000</f>
        <v/>
      </c>
      <c r="V79">
        <f>(S79+T79+U79)/3</f>
        <v/>
      </c>
      <c r="W79" s="5" t="n">
        <v>500</v>
      </c>
      <c r="X79">
        <f>IFERROR(V79-W79,"")</f>
        <v/>
      </c>
      <c r="Y79">
        <f>IFERROR(ABS(X79)/MAX(W79,1),"")</f>
        <v/>
      </c>
      <c r="Z79">
        <f>IFERROR((W79-(((E79/100000+F79/100+R79/200)*200*I79*H79)+((E79*F79/25000)*I79*H79))/3)/(((J79/5)*200*I79*H79)+((J79*R79/2.5)*I79*H79)+((E79*F79*J79*R79*I79*H79)/12500000))/3*1000,"")</f>
        <v/>
      </c>
    </row>
    <row r="80">
      <c r="B80" s="6" t="inlineStr">
        <is>
          <t xml:space="preserve">  ↳ DemoTruckTargeting</t>
        </is>
      </c>
      <c r="C80" s="6" t="inlineStr">
        <is>
          <t>Armament@PRIMARY</t>
        </is>
      </c>
      <c r="K80" s="5" t="n"/>
      <c r="L80" s="5" t="n"/>
      <c r="M80" s="5" t="n">
        <v>1</v>
      </c>
      <c r="N80" s="5" t="n"/>
      <c r="O80" s="5" t="n">
        <v>2000</v>
      </c>
      <c r="P80" s="5" t="n">
        <v>1</v>
      </c>
      <c r="Q80">
        <f>L80+IF(M80&gt;1,N(N80)*(M80-1),0)</f>
        <v/>
      </c>
      <c r="R80">
        <f>IFERROR(K80*MAX(M80,1)/Q80*P80,0)</f>
        <v/>
      </c>
      <c r="AA80" s="6" t="inlineStr"/>
    </row>
    <row r="81">
      <c r="A81" t="inlineStr">
        <is>
          <t>shared</t>
        </is>
      </c>
      <c r="B81" t="inlineStr">
        <is>
          <t>ra2_suvw_driveby</t>
        </is>
      </c>
      <c r="C81" t="inlineStr">
        <is>
          <t>Drive By Car</t>
        </is>
      </c>
      <c r="D81" t="inlineStr"/>
      <c r="E81" s="5" t="n">
        <v>25000</v>
      </c>
      <c r="F81" s="5" t="n">
        <v>100</v>
      </c>
      <c r="G81" t="inlineStr">
        <is>
          <t>Scout</t>
        </is>
      </c>
      <c r="H81" s="5" t="n">
        <v>1</v>
      </c>
      <c r="I81" s="5" t="n">
        <v>1</v>
      </c>
      <c r="J81" s="5" t="n">
        <v>1</v>
      </c>
      <c r="O81">
        <f>MAX(O82)</f>
        <v/>
      </c>
      <c r="R81">
        <f>R82</f>
        <v/>
      </c>
      <c r="S81">
        <f>(E81/100000+F81/100+(O81/1000)*J81/5+R81/200)*200*I81*H81</f>
        <v/>
      </c>
      <c r="T81">
        <f>((E81*F81/25000)+((O81/1000)*J81*R81/2.5))*I81*H81</f>
        <v/>
      </c>
      <c r="U81">
        <f>(E81*F81*(O81/1000)*J81*R81*I81*H81)/12500000</f>
        <v/>
      </c>
      <c r="V81">
        <f>(S81+T81+U81)/3</f>
        <v/>
      </c>
      <c r="W81" s="5" t="n">
        <v>1000</v>
      </c>
      <c r="X81">
        <f>IFERROR(V81-W81,"")</f>
        <v/>
      </c>
      <c r="Y81">
        <f>IFERROR(ABS(X81)/MAX(W81,1),"")</f>
        <v/>
      </c>
      <c r="Z81">
        <f>IFERROR((W81-(((E81/100000+F81/100+R81/200)*200*I81*H81)+((E81*F81/25000)*I81*H81))/3)/(((J81/5)*200*I81*H81)+((J81*R81/2.5)*I81*H81)+((E81*F81*J81*R81*I81*H81)/12500000))/3*1000,"")</f>
        <v/>
      </c>
    </row>
    <row r="82">
      <c r="B82" s="6" t="inlineStr">
        <is>
          <t xml:space="preserve">  ↳ RA220mmrapid</t>
        </is>
      </c>
      <c r="C82" s="6" t="inlineStr">
        <is>
          <t>Armament</t>
        </is>
      </c>
      <c r="K82" s="5" t="n">
        <v>4000</v>
      </c>
      <c r="L82" s="5" t="n">
        <v>15</v>
      </c>
      <c r="M82" s="5" t="n">
        <v>1</v>
      </c>
      <c r="N82" s="5" t="n"/>
      <c r="O82" s="5" t="n">
        <v>5000</v>
      </c>
      <c r="P82" s="5" t="n">
        <v>1</v>
      </c>
      <c r="Q82">
        <f>L82+IF(M82&gt;1,N(N82)*(M82-1),0)</f>
        <v/>
      </c>
      <c r="R82">
        <f>IFERROR(K82*MAX(M82,1)/Q82*P82,0)</f>
        <v/>
      </c>
      <c r="AA82" s="6" t="inlineStr">
        <is>
          <t>^RA2SmallArms, ^RA2Chaingun</t>
        </is>
      </c>
    </row>
    <row r="83">
      <c r="A83" t="inlineStr">
        <is>
          <t>shared</t>
        </is>
      </c>
      <c r="B83" t="inlineStr">
        <is>
          <t>ra2_swall</t>
        </is>
      </c>
      <c r="C83" t="inlineStr">
        <is>
          <t>Concrete Barrier</t>
        </is>
      </c>
      <c r="D83" t="inlineStr"/>
      <c r="E83" s="5" t="n">
        <v>100000</v>
      </c>
      <c r="F83" s="5" t="n"/>
      <c r="G83" t="inlineStr">
        <is>
          <t>Concrete</t>
        </is>
      </c>
      <c r="H83" s="5" t="n">
        <v>1</v>
      </c>
      <c r="I83" s="5" t="n">
        <v>1</v>
      </c>
      <c r="J83" s="5" t="n">
        <v>1</v>
      </c>
      <c r="W83" s="5" t="n">
        <v>200</v>
      </c>
    </row>
    <row r="84">
      <c r="A84" t="inlineStr">
        <is>
          <t>shared</t>
        </is>
      </c>
      <c r="B84" t="inlineStr">
        <is>
          <t>ra2_taxi_demo</t>
        </is>
      </c>
      <c r="C84" t="inlineStr">
        <is>
          <t>Bomb Car</t>
        </is>
      </c>
      <c r="D84" t="inlineStr"/>
      <c r="E84" s="5" t="n">
        <v>20000</v>
      </c>
      <c r="F84" s="5" t="n">
        <v>100</v>
      </c>
      <c r="G84" t="inlineStr">
        <is>
          <t>Light</t>
        </is>
      </c>
      <c r="H84" s="5" t="n">
        <v>1</v>
      </c>
      <c r="I84" s="5" t="n">
        <v>1</v>
      </c>
      <c r="J84" s="5" t="n">
        <v>1</v>
      </c>
      <c r="O84">
        <f>MAX(O85)</f>
        <v/>
      </c>
      <c r="R84">
        <f>R85</f>
        <v/>
      </c>
      <c r="S84">
        <f>(E84/100000+F84/100+(O84/1000)*J84/5+R84/200)*200*I84*H84</f>
        <v/>
      </c>
      <c r="T84">
        <f>((E84*F84/25000)+((O84/1000)*J84*R84/2.5))*I84*H84</f>
        <v/>
      </c>
      <c r="U84">
        <f>(E84*F84*(O84/1000)*J84*R84*I84*H84)/12500000</f>
        <v/>
      </c>
      <c r="V84">
        <f>(S84+T84+U84)/3</f>
        <v/>
      </c>
      <c r="W84" s="5" t="n">
        <v>500</v>
      </c>
      <c r="X84">
        <f>IFERROR(V84-W84,"")</f>
        <v/>
      </c>
      <c r="Y84">
        <f>IFERROR(ABS(X84)/MAX(W84,1),"")</f>
        <v/>
      </c>
      <c r="Z84">
        <f>IFERROR((W84-(((E84/100000+F84/100+R84/200)*200*I84*H84)+((E84*F84/25000)*I84*H84))/3)/(((J84/5)*200*I84*H84)+((J84*R84/2.5)*I84*H84)+((E84*F84*J84*R84*I84*H84)/12500000))/3*1000,"")</f>
        <v/>
      </c>
    </row>
    <row r="85">
      <c r="B85" s="6" t="inlineStr">
        <is>
          <t xml:space="preserve">  ↳ DemoTruckTargeting</t>
        </is>
      </c>
      <c r="C85" s="6" t="inlineStr">
        <is>
          <t>Armament@PRIMARY</t>
        </is>
      </c>
      <c r="K85" s="5" t="n"/>
      <c r="L85" s="5" t="n"/>
      <c r="M85" s="5" t="n">
        <v>1</v>
      </c>
      <c r="N85" s="5" t="n"/>
      <c r="O85" s="5" t="n">
        <v>2000</v>
      </c>
      <c r="P85" s="5" t="n">
        <v>1</v>
      </c>
      <c r="Q85">
        <f>L85+IF(M85&gt;1,N(N85)*(M85-1),0)</f>
        <v/>
      </c>
      <c r="R85">
        <f>IFERROR(K85*MAX(M85,1)/Q85*P85,0)</f>
        <v/>
      </c>
      <c r="AA85" s="6" t="inlineStr"/>
    </row>
    <row r="86">
      <c r="A86" t="inlineStr">
        <is>
          <t>shared</t>
        </is>
      </c>
      <c r="B86" t="inlineStr">
        <is>
          <t>ra2_taxi_driveby</t>
        </is>
      </c>
      <c r="C86" t="inlineStr">
        <is>
          <t>Drive By Car</t>
        </is>
      </c>
      <c r="D86" t="inlineStr"/>
      <c r="E86" s="5" t="n">
        <v>25000</v>
      </c>
      <c r="F86" s="5" t="n">
        <v>100</v>
      </c>
      <c r="G86" t="inlineStr">
        <is>
          <t>Scout</t>
        </is>
      </c>
      <c r="H86" s="5" t="n">
        <v>1</v>
      </c>
      <c r="I86" s="5" t="n">
        <v>1</v>
      </c>
      <c r="J86" s="5" t="n">
        <v>1</v>
      </c>
      <c r="O86">
        <f>MAX(O87)</f>
        <v/>
      </c>
      <c r="R86">
        <f>R87</f>
        <v/>
      </c>
      <c r="S86">
        <f>(E86/100000+F86/100+(O86/1000)*J86/5+R86/200)*200*I86*H86</f>
        <v/>
      </c>
      <c r="T86">
        <f>((E86*F86/25000)+((O86/1000)*J86*R86/2.5))*I86*H86</f>
        <v/>
      </c>
      <c r="U86">
        <f>(E86*F86*(O86/1000)*J86*R86*I86*H86)/12500000</f>
        <v/>
      </c>
      <c r="V86">
        <f>(S86+T86+U86)/3</f>
        <v/>
      </c>
      <c r="W86" s="5" t="n">
        <v>1000</v>
      </c>
      <c r="X86">
        <f>IFERROR(V86-W86,"")</f>
        <v/>
      </c>
      <c r="Y86">
        <f>IFERROR(ABS(X86)/MAX(W86,1),"")</f>
        <v/>
      </c>
      <c r="Z86">
        <f>IFERROR((W86-(((E86/100000+F86/100+R86/200)*200*I86*H86)+((E86*F86/25000)*I86*H86))/3)/(((J86/5)*200*I86*H86)+((J86*R86/2.5)*I86*H86)+((E86*F86*J86*R86*I86*H86)/12500000))/3*1000,"")</f>
        <v/>
      </c>
    </row>
    <row r="87">
      <c r="B87" s="6" t="inlineStr">
        <is>
          <t xml:space="preserve">  ↳ RA220mmrapid</t>
        </is>
      </c>
      <c r="C87" s="6" t="inlineStr">
        <is>
          <t>Armament</t>
        </is>
      </c>
      <c r="K87" s="5" t="n">
        <v>4000</v>
      </c>
      <c r="L87" s="5" t="n">
        <v>15</v>
      </c>
      <c r="M87" s="5" t="n">
        <v>1</v>
      </c>
      <c r="N87" s="5" t="n"/>
      <c r="O87" s="5" t="n">
        <v>5000</v>
      </c>
      <c r="P87" s="5" t="n">
        <v>1</v>
      </c>
      <c r="Q87">
        <f>L87+IF(M87&gt;1,N(N87)*(M87-1),0)</f>
        <v/>
      </c>
      <c r="R87">
        <f>IFERROR(K87*MAX(M87,1)/Q87*P87,0)</f>
        <v/>
      </c>
      <c r="AA87" s="6" t="inlineStr">
        <is>
          <t>^RA2SmallArms, ^RA2Chaingun</t>
        </is>
      </c>
    </row>
    <row r="88">
      <c r="A88" t="inlineStr">
        <is>
          <t>shared</t>
        </is>
      </c>
      <c r="B88" t="inlineStr">
        <is>
          <t>ra2_tractor_demo</t>
        </is>
      </c>
      <c r="C88" t="inlineStr">
        <is>
          <t>Bomb Car</t>
        </is>
      </c>
      <c r="D88" t="inlineStr"/>
      <c r="E88" s="5" t="n">
        <v>20000</v>
      </c>
      <c r="F88" s="5" t="n">
        <v>100</v>
      </c>
      <c r="G88" t="inlineStr">
        <is>
          <t>Light</t>
        </is>
      </c>
      <c r="H88" s="5" t="n">
        <v>1</v>
      </c>
      <c r="I88" s="5" t="n">
        <v>1</v>
      </c>
      <c r="J88" s="5" t="n">
        <v>1</v>
      </c>
      <c r="O88">
        <f>MAX(O89)</f>
        <v/>
      </c>
      <c r="R88">
        <f>R89</f>
        <v/>
      </c>
      <c r="S88">
        <f>(E88/100000+F88/100+(O88/1000)*J88/5+R88/200)*200*I88*H88</f>
        <v/>
      </c>
      <c r="T88">
        <f>((E88*F88/25000)+((O88/1000)*J88*R88/2.5))*I88*H88</f>
        <v/>
      </c>
      <c r="U88">
        <f>(E88*F88*(O88/1000)*J88*R88*I88*H88)/12500000</f>
        <v/>
      </c>
      <c r="V88">
        <f>(S88+T88+U88)/3</f>
        <v/>
      </c>
      <c r="W88" s="5" t="n">
        <v>500</v>
      </c>
      <c r="X88">
        <f>IFERROR(V88-W88,"")</f>
        <v/>
      </c>
      <c r="Y88">
        <f>IFERROR(ABS(X88)/MAX(W88,1),"")</f>
        <v/>
      </c>
      <c r="Z88">
        <f>IFERROR((W88-(((E88/100000+F88/100+R88/200)*200*I88*H88)+((E88*F88/25000)*I88*H88))/3)/(((J88/5)*200*I88*H88)+((J88*R88/2.5)*I88*H88)+((E88*F88*J88*R88*I88*H88)/12500000))/3*1000,"")</f>
        <v/>
      </c>
    </row>
    <row r="89">
      <c r="B89" s="6" t="inlineStr">
        <is>
          <t xml:space="preserve">  ↳ DemoTruckTargeting</t>
        </is>
      </c>
      <c r="C89" s="6" t="inlineStr">
        <is>
          <t>Armament@PRIMARY</t>
        </is>
      </c>
      <c r="K89" s="5" t="n"/>
      <c r="L89" s="5" t="n"/>
      <c r="M89" s="5" t="n">
        <v>1</v>
      </c>
      <c r="N89" s="5" t="n"/>
      <c r="O89" s="5" t="n">
        <v>2000</v>
      </c>
      <c r="P89" s="5" t="n">
        <v>1</v>
      </c>
      <c r="Q89">
        <f>L89+IF(M89&gt;1,N(N89)*(M89-1),0)</f>
        <v/>
      </c>
      <c r="R89">
        <f>IFERROR(K89*MAX(M89,1)/Q89*P89,0)</f>
        <v/>
      </c>
      <c r="AA89" s="6" t="inlineStr"/>
    </row>
    <row r="90">
      <c r="A90" t="inlineStr">
        <is>
          <t>shared</t>
        </is>
      </c>
      <c r="B90" t="inlineStr">
        <is>
          <t>ra2_tractor_driveby</t>
        </is>
      </c>
      <c r="C90" t="inlineStr">
        <is>
          <t>Drive By Car</t>
        </is>
      </c>
      <c r="D90" t="inlineStr"/>
      <c r="E90" s="5" t="n">
        <v>25000</v>
      </c>
      <c r="F90" s="5" t="n">
        <v>100</v>
      </c>
      <c r="G90" t="inlineStr">
        <is>
          <t>Scout</t>
        </is>
      </c>
      <c r="H90" s="5" t="n">
        <v>1</v>
      </c>
      <c r="I90" s="5" t="n">
        <v>1</v>
      </c>
      <c r="J90" s="5" t="n">
        <v>1</v>
      </c>
      <c r="O90">
        <f>MAX(O91)</f>
        <v/>
      </c>
      <c r="R90">
        <f>R91</f>
        <v/>
      </c>
      <c r="S90">
        <f>(E90/100000+F90/100+(O90/1000)*J90/5+R90/200)*200*I90*H90</f>
        <v/>
      </c>
      <c r="T90">
        <f>((E90*F90/25000)+((O90/1000)*J90*R90/2.5))*I90*H90</f>
        <v/>
      </c>
      <c r="U90">
        <f>(E90*F90*(O90/1000)*J90*R90*I90*H90)/12500000</f>
        <v/>
      </c>
      <c r="V90">
        <f>(S90+T90+U90)/3</f>
        <v/>
      </c>
      <c r="W90" s="5" t="n">
        <v>1000</v>
      </c>
      <c r="X90">
        <f>IFERROR(V90-W90,"")</f>
        <v/>
      </c>
      <c r="Y90">
        <f>IFERROR(ABS(X90)/MAX(W90,1),"")</f>
        <v/>
      </c>
      <c r="Z90">
        <f>IFERROR((W90-(((E90/100000+F90/100+R90/200)*200*I90*H90)+((E90*F90/25000)*I90*H90))/3)/(((J90/5)*200*I90*H90)+((J90*R90/2.5)*I90*H90)+((E90*F90*J90*R90*I90*H90)/12500000))/3*1000,"")</f>
        <v/>
      </c>
    </row>
    <row r="91">
      <c r="B91" s="6" t="inlineStr">
        <is>
          <t xml:space="preserve">  ↳ RA220mmrapid</t>
        </is>
      </c>
      <c r="C91" s="6" t="inlineStr">
        <is>
          <t>Armament</t>
        </is>
      </c>
      <c r="K91" s="5" t="n">
        <v>4000</v>
      </c>
      <c r="L91" s="5" t="n">
        <v>15</v>
      </c>
      <c r="M91" s="5" t="n">
        <v>1</v>
      </c>
      <c r="N91" s="5" t="n"/>
      <c r="O91" s="5" t="n">
        <v>5000</v>
      </c>
      <c r="P91" s="5" t="n">
        <v>1</v>
      </c>
      <c r="Q91">
        <f>L91+IF(M91&gt;1,N(N91)*(M91-1),0)</f>
        <v/>
      </c>
      <c r="R91">
        <f>IFERROR(K91*MAX(M91,1)/Q91*P91,0)</f>
        <v/>
      </c>
      <c r="AA91" s="6" t="inlineStr">
        <is>
          <t>^RA2SmallArms, ^RA2Chaingun</t>
        </is>
      </c>
    </row>
    <row r="92">
      <c r="A92" t="inlineStr">
        <is>
          <t>shared</t>
        </is>
      </c>
      <c r="B92" t="inlineStr">
        <is>
          <t>ra2_trucka_demo</t>
        </is>
      </c>
      <c r="C92" t="inlineStr">
        <is>
          <t>Bomb Car</t>
        </is>
      </c>
      <c r="D92" t="inlineStr"/>
      <c r="E92" s="5" t="n">
        <v>20000</v>
      </c>
      <c r="F92" s="5" t="n">
        <v>100</v>
      </c>
      <c r="G92" t="inlineStr">
        <is>
          <t>Light</t>
        </is>
      </c>
      <c r="H92" s="5" t="n">
        <v>1</v>
      </c>
      <c r="I92" s="5" t="n">
        <v>1</v>
      </c>
      <c r="J92" s="5" t="n">
        <v>1</v>
      </c>
      <c r="O92">
        <f>MAX(O93)</f>
        <v/>
      </c>
      <c r="R92">
        <f>R93</f>
        <v/>
      </c>
      <c r="S92">
        <f>(E92/100000+F92/100+(O92/1000)*J92/5+R92/200)*200*I92*H92</f>
        <v/>
      </c>
      <c r="T92">
        <f>((E92*F92/25000)+((O92/1000)*J92*R92/2.5))*I92*H92</f>
        <v/>
      </c>
      <c r="U92">
        <f>(E92*F92*(O92/1000)*J92*R92*I92*H92)/12500000</f>
        <v/>
      </c>
      <c r="V92">
        <f>(S92+T92+U92)/3</f>
        <v/>
      </c>
      <c r="W92" s="5" t="n">
        <v>500</v>
      </c>
      <c r="X92">
        <f>IFERROR(V92-W92,"")</f>
        <v/>
      </c>
      <c r="Y92">
        <f>IFERROR(ABS(X92)/MAX(W92,1),"")</f>
        <v/>
      </c>
      <c r="Z92">
        <f>IFERROR((W92-(((E92/100000+F92/100+R92/200)*200*I92*H92)+((E92*F92/25000)*I92*H92))/3)/(((J92/5)*200*I92*H92)+((J92*R92/2.5)*I92*H92)+((E92*F92*J92*R92*I92*H92)/12500000))/3*1000,"")</f>
        <v/>
      </c>
    </row>
    <row r="93">
      <c r="B93" s="6" t="inlineStr">
        <is>
          <t xml:space="preserve">  ↳ DemoTruckTargeting</t>
        </is>
      </c>
      <c r="C93" s="6" t="inlineStr">
        <is>
          <t>Armament@PRIMARY</t>
        </is>
      </c>
      <c r="K93" s="5" t="n"/>
      <c r="L93" s="5" t="n"/>
      <c r="M93" s="5" t="n">
        <v>1</v>
      </c>
      <c r="N93" s="5" t="n"/>
      <c r="O93" s="5" t="n">
        <v>2000</v>
      </c>
      <c r="P93" s="5" t="n">
        <v>1</v>
      </c>
      <c r="Q93">
        <f>L93+IF(M93&gt;1,N(N93)*(M93-1),0)</f>
        <v/>
      </c>
      <c r="R93">
        <f>IFERROR(K93*MAX(M93,1)/Q93*P93,0)</f>
        <v/>
      </c>
      <c r="AA93" s="6" t="inlineStr"/>
    </row>
    <row r="94">
      <c r="A94" t="inlineStr">
        <is>
          <t>shared</t>
        </is>
      </c>
      <c r="B94" t="inlineStr">
        <is>
          <t>ra2_trucka_driveby</t>
        </is>
      </c>
      <c r="C94" t="inlineStr">
        <is>
          <t>Drive By Car</t>
        </is>
      </c>
      <c r="D94" t="inlineStr"/>
      <c r="E94" s="5" t="n">
        <v>25000</v>
      </c>
      <c r="F94" s="5" t="n">
        <v>100</v>
      </c>
      <c r="G94" t="inlineStr">
        <is>
          <t>Scout</t>
        </is>
      </c>
      <c r="H94" s="5" t="n">
        <v>1</v>
      </c>
      <c r="I94" s="5" t="n">
        <v>1</v>
      </c>
      <c r="J94" s="5" t="n">
        <v>1</v>
      </c>
      <c r="O94">
        <f>MAX(O95)</f>
        <v/>
      </c>
      <c r="R94">
        <f>R95</f>
        <v/>
      </c>
      <c r="S94">
        <f>(E94/100000+F94/100+(O94/1000)*J94/5+R94/200)*200*I94*H94</f>
        <v/>
      </c>
      <c r="T94">
        <f>((E94*F94/25000)+((O94/1000)*J94*R94/2.5))*I94*H94</f>
        <v/>
      </c>
      <c r="U94">
        <f>(E94*F94*(O94/1000)*J94*R94*I94*H94)/12500000</f>
        <v/>
      </c>
      <c r="V94">
        <f>(S94+T94+U94)/3</f>
        <v/>
      </c>
      <c r="W94" s="5" t="n">
        <v>1000</v>
      </c>
      <c r="X94">
        <f>IFERROR(V94-W94,"")</f>
        <v/>
      </c>
      <c r="Y94">
        <f>IFERROR(ABS(X94)/MAX(W94,1),"")</f>
        <v/>
      </c>
      <c r="Z94">
        <f>IFERROR((W94-(((E94/100000+F94/100+R94/200)*200*I94*H94)+((E94*F94/25000)*I94*H94))/3)/(((J94/5)*200*I94*H94)+((J94*R94/2.5)*I94*H94)+((E94*F94*J94*R94*I94*H94)/12500000))/3*1000,"")</f>
        <v/>
      </c>
    </row>
    <row r="95">
      <c r="B95" s="6" t="inlineStr">
        <is>
          <t xml:space="preserve">  ↳ RA220mmrapid</t>
        </is>
      </c>
      <c r="C95" s="6" t="inlineStr">
        <is>
          <t>Armament</t>
        </is>
      </c>
      <c r="K95" s="5" t="n">
        <v>4000</v>
      </c>
      <c r="L95" s="5" t="n">
        <v>15</v>
      </c>
      <c r="M95" s="5" t="n">
        <v>1</v>
      </c>
      <c r="N95" s="5" t="n"/>
      <c r="O95" s="5" t="n">
        <v>5000</v>
      </c>
      <c r="P95" s="5" t="n">
        <v>1</v>
      </c>
      <c r="Q95">
        <f>L95+IF(M95&gt;1,N(N95)*(M95-1),0)</f>
        <v/>
      </c>
      <c r="R95">
        <f>IFERROR(K95*MAX(M95,1)/Q95*P95,0)</f>
        <v/>
      </c>
      <c r="AA95" s="6" t="inlineStr">
        <is>
          <t>^RA2SmallArms, ^RA2Chaingun</t>
        </is>
      </c>
    </row>
    <row r="96">
      <c r="A96" t="inlineStr">
        <is>
          <t>shared</t>
        </is>
      </c>
      <c r="B96" t="inlineStr">
        <is>
          <t>ra2_truckb_demo</t>
        </is>
      </c>
      <c r="C96" t="inlineStr">
        <is>
          <t>Bomb Car</t>
        </is>
      </c>
      <c r="D96" t="inlineStr"/>
      <c r="E96" s="5" t="n">
        <v>20000</v>
      </c>
      <c r="F96" s="5" t="n">
        <v>100</v>
      </c>
      <c r="G96" t="inlineStr">
        <is>
          <t>Light</t>
        </is>
      </c>
      <c r="H96" s="5" t="n">
        <v>1</v>
      </c>
      <c r="I96" s="5" t="n">
        <v>1</v>
      </c>
      <c r="J96" s="5" t="n">
        <v>1</v>
      </c>
      <c r="O96">
        <f>MAX(O97)</f>
        <v/>
      </c>
      <c r="R96">
        <f>R97</f>
        <v/>
      </c>
      <c r="S96">
        <f>(E96/100000+F96/100+(O96/1000)*J96/5+R96/200)*200*I96*H96</f>
        <v/>
      </c>
      <c r="T96">
        <f>((E96*F96/25000)+((O96/1000)*J96*R96/2.5))*I96*H96</f>
        <v/>
      </c>
      <c r="U96">
        <f>(E96*F96*(O96/1000)*J96*R96*I96*H96)/12500000</f>
        <v/>
      </c>
      <c r="V96">
        <f>(S96+T96+U96)/3</f>
        <v/>
      </c>
      <c r="W96" s="5" t="n">
        <v>500</v>
      </c>
      <c r="X96">
        <f>IFERROR(V96-W96,"")</f>
        <v/>
      </c>
      <c r="Y96">
        <f>IFERROR(ABS(X96)/MAX(W96,1),"")</f>
        <v/>
      </c>
      <c r="Z96">
        <f>IFERROR((W96-(((E96/100000+F96/100+R96/200)*200*I96*H96)+((E96*F96/25000)*I96*H96))/3)/(((J96/5)*200*I96*H96)+((J96*R96/2.5)*I96*H96)+((E96*F96*J96*R96*I96*H96)/12500000))/3*1000,"")</f>
        <v/>
      </c>
    </row>
    <row r="97">
      <c r="B97" s="6" t="inlineStr">
        <is>
          <t xml:space="preserve">  ↳ DemoTruckTargeting</t>
        </is>
      </c>
      <c r="C97" s="6" t="inlineStr">
        <is>
          <t>Armament@PRIMARY</t>
        </is>
      </c>
      <c r="K97" s="5" t="n"/>
      <c r="L97" s="5" t="n"/>
      <c r="M97" s="5" t="n">
        <v>1</v>
      </c>
      <c r="N97" s="5" t="n"/>
      <c r="O97" s="5" t="n">
        <v>2000</v>
      </c>
      <c r="P97" s="5" t="n">
        <v>1</v>
      </c>
      <c r="Q97">
        <f>L97+IF(M97&gt;1,N(N97)*(M97-1),0)</f>
        <v/>
      </c>
      <c r="R97">
        <f>IFERROR(K97*MAX(M97,1)/Q97*P97,0)</f>
        <v/>
      </c>
      <c r="AA97" s="6" t="inlineStr"/>
    </row>
    <row r="98">
      <c r="A98" t="inlineStr">
        <is>
          <t>shared</t>
        </is>
      </c>
      <c r="B98" t="inlineStr">
        <is>
          <t>ra2_truckb_driveby</t>
        </is>
      </c>
      <c r="C98" t="inlineStr">
        <is>
          <t>Drive By Car</t>
        </is>
      </c>
      <c r="D98" t="inlineStr"/>
      <c r="E98" s="5" t="n">
        <v>25000</v>
      </c>
      <c r="F98" s="5" t="n">
        <v>100</v>
      </c>
      <c r="G98" t="inlineStr">
        <is>
          <t>Scout</t>
        </is>
      </c>
      <c r="H98" s="5" t="n">
        <v>1</v>
      </c>
      <c r="I98" s="5" t="n">
        <v>1</v>
      </c>
      <c r="J98" s="5" t="n">
        <v>1</v>
      </c>
      <c r="O98">
        <f>MAX(O99)</f>
        <v/>
      </c>
      <c r="R98">
        <f>R99</f>
        <v/>
      </c>
      <c r="S98">
        <f>(E98/100000+F98/100+(O98/1000)*J98/5+R98/200)*200*I98*H98</f>
        <v/>
      </c>
      <c r="T98">
        <f>((E98*F98/25000)+((O98/1000)*J98*R98/2.5))*I98*H98</f>
        <v/>
      </c>
      <c r="U98">
        <f>(E98*F98*(O98/1000)*J98*R98*I98*H98)/12500000</f>
        <v/>
      </c>
      <c r="V98">
        <f>(S98+T98+U98)/3</f>
        <v/>
      </c>
      <c r="W98" s="5" t="n">
        <v>1000</v>
      </c>
      <c r="X98">
        <f>IFERROR(V98-W98,"")</f>
        <v/>
      </c>
      <c r="Y98">
        <f>IFERROR(ABS(X98)/MAX(W98,1),"")</f>
        <v/>
      </c>
      <c r="Z98">
        <f>IFERROR((W98-(((E98/100000+F98/100+R98/200)*200*I98*H98)+((E98*F98/25000)*I98*H98))/3)/(((J98/5)*200*I98*H98)+((J98*R98/2.5)*I98*H98)+((E98*F98*J98*R98*I98*H98)/12500000))/3*1000,"")</f>
        <v/>
      </c>
    </row>
    <row r="99">
      <c r="B99" s="6" t="inlineStr">
        <is>
          <t xml:space="preserve">  ↳ RA220mmrapid</t>
        </is>
      </c>
      <c r="C99" s="6" t="inlineStr">
        <is>
          <t>Armament</t>
        </is>
      </c>
      <c r="K99" s="5" t="n">
        <v>4000</v>
      </c>
      <c r="L99" s="5" t="n">
        <v>15</v>
      </c>
      <c r="M99" s="5" t="n">
        <v>1</v>
      </c>
      <c r="N99" s="5" t="n"/>
      <c r="O99" s="5" t="n">
        <v>5000</v>
      </c>
      <c r="P99" s="5" t="n">
        <v>1</v>
      </c>
      <c r="Q99">
        <f>L99+IF(M99&gt;1,N(N99)*(M99-1),0)</f>
        <v/>
      </c>
      <c r="R99">
        <f>IFERROR(K99*MAX(M99,1)/Q99*P99,0)</f>
        <v/>
      </c>
      <c r="AA99" s="6" t="inlineStr">
        <is>
          <t>^RA2SmallArms, ^RA2Chaingun</t>
        </is>
      </c>
    </row>
    <row r="100">
      <c r="A100" t="inlineStr">
        <is>
          <t>shared</t>
        </is>
      </c>
      <c r="B100" t="inlineStr">
        <is>
          <t>ra2_ycab_demo</t>
        </is>
      </c>
      <c r="C100" t="inlineStr">
        <is>
          <t>Bomb Car</t>
        </is>
      </c>
      <c r="D100" t="inlineStr"/>
      <c r="E100" s="5" t="n">
        <v>20000</v>
      </c>
      <c r="F100" s="5" t="n">
        <v>100</v>
      </c>
      <c r="G100" t="inlineStr">
        <is>
          <t>Light</t>
        </is>
      </c>
      <c r="H100" s="5" t="n">
        <v>1</v>
      </c>
      <c r="I100" s="5" t="n">
        <v>1</v>
      </c>
      <c r="J100" s="5" t="n">
        <v>1</v>
      </c>
      <c r="O100">
        <f>MAX(O101)</f>
        <v/>
      </c>
      <c r="R100">
        <f>R101</f>
        <v/>
      </c>
      <c r="S100">
        <f>(E100/100000+F100/100+(O100/1000)*J100/5+R100/200)*200*I100*H100</f>
        <v/>
      </c>
      <c r="T100">
        <f>((E100*F100/25000)+((O100/1000)*J100*R100/2.5))*I100*H100</f>
        <v/>
      </c>
      <c r="U100">
        <f>(E100*F100*(O100/1000)*J100*R100*I100*H100)/12500000</f>
        <v/>
      </c>
      <c r="V100">
        <f>(S100+T100+U100)/3</f>
        <v/>
      </c>
      <c r="W100" s="5" t="n">
        <v>500</v>
      </c>
      <c r="X100">
        <f>IFERROR(V100-W100,"")</f>
        <v/>
      </c>
      <c r="Y100">
        <f>IFERROR(ABS(X100)/MAX(W100,1),"")</f>
        <v/>
      </c>
      <c r="Z100">
        <f>IFERROR((W100-(((E100/100000+F100/100+R100/200)*200*I100*H100)+((E100*F100/25000)*I100*H100))/3)/(((J100/5)*200*I100*H100)+((J100*R100/2.5)*I100*H100)+((E100*F100*J100*R100*I100*H100)/12500000))/3*1000,"")</f>
        <v/>
      </c>
    </row>
    <row r="101">
      <c r="B101" s="6" t="inlineStr">
        <is>
          <t xml:space="preserve">  ↳ DemoTruckTargeting</t>
        </is>
      </c>
      <c r="C101" s="6" t="inlineStr">
        <is>
          <t>Armament@PRIMARY</t>
        </is>
      </c>
      <c r="K101" s="5" t="n"/>
      <c r="L101" s="5" t="n"/>
      <c r="M101" s="5" t="n">
        <v>1</v>
      </c>
      <c r="N101" s="5" t="n"/>
      <c r="O101" s="5" t="n">
        <v>2000</v>
      </c>
      <c r="P101" s="5" t="n">
        <v>1</v>
      </c>
      <c r="Q101">
        <f>L101+IF(M101&gt;1,N(N101)*(M101-1),0)</f>
        <v/>
      </c>
      <c r="R101">
        <f>IFERROR(K101*MAX(M101,1)/Q101*P101,0)</f>
        <v/>
      </c>
      <c r="AA101" s="6" t="inlineStr"/>
    </row>
    <row r="102">
      <c r="A102" t="inlineStr">
        <is>
          <t>shared</t>
        </is>
      </c>
      <c r="B102" t="inlineStr">
        <is>
          <t>ra2_ycab_driveby</t>
        </is>
      </c>
      <c r="C102" t="inlineStr">
        <is>
          <t>Drive By Car</t>
        </is>
      </c>
      <c r="D102" t="inlineStr"/>
      <c r="E102" s="5" t="n">
        <v>25000</v>
      </c>
      <c r="F102" s="5" t="n">
        <v>100</v>
      </c>
      <c r="G102" t="inlineStr">
        <is>
          <t>Scout</t>
        </is>
      </c>
      <c r="H102" s="5" t="n">
        <v>1</v>
      </c>
      <c r="I102" s="5" t="n">
        <v>1</v>
      </c>
      <c r="J102" s="5" t="n">
        <v>1</v>
      </c>
      <c r="O102">
        <f>MAX(O103)</f>
        <v/>
      </c>
      <c r="R102">
        <f>R103</f>
        <v/>
      </c>
      <c r="S102">
        <f>(E102/100000+F102/100+(O102/1000)*J102/5+R102/200)*200*I102*H102</f>
        <v/>
      </c>
      <c r="T102">
        <f>((E102*F102/25000)+((O102/1000)*J102*R102/2.5))*I102*H102</f>
        <v/>
      </c>
      <c r="U102">
        <f>(E102*F102*(O102/1000)*J102*R102*I102*H102)/12500000</f>
        <v/>
      </c>
      <c r="V102">
        <f>(S102+T102+U102)/3</f>
        <v/>
      </c>
      <c r="W102" s="5" t="n">
        <v>1000</v>
      </c>
      <c r="X102">
        <f>IFERROR(V102-W102,"")</f>
        <v/>
      </c>
      <c r="Y102">
        <f>IFERROR(ABS(X102)/MAX(W102,1),"")</f>
        <v/>
      </c>
      <c r="Z102">
        <f>IFERROR((W102-(((E102/100000+F102/100+R102/200)*200*I102*H102)+((E102*F102/25000)*I102*H102))/3)/(((J102/5)*200*I102*H102)+((J102*R102/2.5)*I102*H102)+((E102*F102*J102*R102*I102*H102)/12500000))/3*1000,"")</f>
        <v/>
      </c>
    </row>
    <row r="103">
      <c r="B103" s="6" t="inlineStr">
        <is>
          <t xml:space="preserve">  ↳ RA220mmrapid</t>
        </is>
      </c>
      <c r="C103" s="6" t="inlineStr">
        <is>
          <t>Armament</t>
        </is>
      </c>
      <c r="K103" s="5" t="n">
        <v>4000</v>
      </c>
      <c r="L103" s="5" t="n">
        <v>15</v>
      </c>
      <c r="M103" s="5" t="n">
        <v>1</v>
      </c>
      <c r="N103" s="5" t="n"/>
      <c r="O103" s="5" t="n">
        <v>5000</v>
      </c>
      <c r="P103" s="5" t="n">
        <v>1</v>
      </c>
      <c r="Q103">
        <f>L103+IF(M103&gt;1,N(N103)*(M103-1),0)</f>
        <v/>
      </c>
      <c r="R103">
        <f>IFERROR(K103*MAX(M103,1)/Q103*P103,0)</f>
        <v/>
      </c>
      <c r="AA103" s="6" t="inlineStr">
        <is>
          <t>^RA2SmallArms, ^RA2Chaingun</t>
        </is>
      </c>
    </row>
    <row r="104">
      <c r="A104" t="inlineStr">
        <is>
          <t>shared</t>
        </is>
      </c>
      <c r="B104" t="inlineStr">
        <is>
          <t>ra2_ywall</t>
        </is>
      </c>
      <c r="C104" t="inlineStr">
        <is>
          <t>Concrete Barrier</t>
        </is>
      </c>
      <c r="D104" t="inlineStr"/>
      <c r="E104" s="5" t="n">
        <v>100000</v>
      </c>
      <c r="F104" s="5" t="n"/>
      <c r="G104" t="inlineStr">
        <is>
          <t>Concrete</t>
        </is>
      </c>
      <c r="H104" s="5" t="n">
        <v>1</v>
      </c>
      <c r="I104" s="5" t="n">
        <v>1</v>
      </c>
      <c r="J104" s="5" t="n">
        <v>1</v>
      </c>
      <c r="W104" s="5" t="n">
        <v>200</v>
      </c>
    </row>
    <row r="105">
      <c r="A105" t="inlineStr">
        <is>
          <t>shared</t>
        </is>
      </c>
      <c r="B105" t="inlineStr">
        <is>
          <t>ra2asw</t>
        </is>
      </c>
      <c r="C105" t="inlineStr">
        <is>
          <t>Osprey</t>
        </is>
      </c>
      <c r="D105" t="inlineStr"/>
      <c r="E105" s="5" t="n">
        <v>50000</v>
      </c>
      <c r="F105" s="5" t="n">
        <v>210</v>
      </c>
      <c r="G105" t="inlineStr">
        <is>
          <t>Bomber</t>
        </is>
      </c>
      <c r="H105" s="5" t="n">
        <v>1</v>
      </c>
      <c r="I105" s="5" t="n">
        <v>1</v>
      </c>
      <c r="J105" s="5" t="n">
        <v>1</v>
      </c>
      <c r="O105">
        <f>MAX(O106)</f>
        <v/>
      </c>
      <c r="R105">
        <f>R106</f>
        <v/>
      </c>
      <c r="S105">
        <f>(E105/100000+F105/100+(O105/1000)*J105/5+R105/200)*200*I105*H105</f>
        <v/>
      </c>
      <c r="T105">
        <f>((E105*F105/25000)+((O105/1000)*J105*R105/2.5))*I105*H105</f>
        <v/>
      </c>
      <c r="U105">
        <f>(E105*F105*(O105/1000)*J105*R105*I105*H105)/12500000</f>
        <v/>
      </c>
      <c r="V105">
        <f>(S105+T105+U105)/3</f>
        <v/>
      </c>
      <c r="W105" s="5" t="n">
        <v>1000</v>
      </c>
      <c r="X105">
        <f>IFERROR(V105-W105,"")</f>
        <v/>
      </c>
      <c r="Y105">
        <f>IFERROR(ABS(X105)/MAX(W105,1),"")</f>
        <v/>
      </c>
      <c r="Z105">
        <f>IFERROR((W105-(((E105/100000+F105/100+R105/200)*200*I105*H105)+((E105*F105/25000)*I105*H105))/3)/(((J105/5)*200*I105*H105)+((J105*R105/2.5)*I105*H105)+((E105*F105*J105*R105*I105*H105)/12500000))/3*1000,"")</f>
        <v/>
      </c>
    </row>
    <row r="106">
      <c r="B106" s="6" t="inlineStr">
        <is>
          <t xml:space="preserve">  ↳ RA2DepthCharge</t>
        </is>
      </c>
      <c r="C106" s="6" t="inlineStr">
        <is>
          <t>Armament@PRIMARY</t>
        </is>
      </c>
      <c r="K106" s="5" t="n">
        <v>60000</v>
      </c>
      <c r="L106" s="5" t="n">
        <v>25</v>
      </c>
      <c r="M106" s="5" t="n">
        <v>5</v>
      </c>
      <c r="N106" s="5" t="n">
        <v>3</v>
      </c>
      <c r="O106" s="5" t="n">
        <v>3000</v>
      </c>
      <c r="P106" s="5" t="n">
        <v>1</v>
      </c>
      <c r="Q106">
        <f>L106+IF(M106&gt;1,N(N106)*(M106-1),0)</f>
        <v/>
      </c>
      <c r="R106">
        <f>IFERROR(K106*MAX(M106,1)/Q106*P106,0)</f>
        <v/>
      </c>
      <c r="AA106" s="6" t="inlineStr">
        <is>
          <t>^Grenade</t>
        </is>
      </c>
    </row>
    <row r="107">
      <c r="A107" t="inlineStr">
        <is>
          <t>shared</t>
        </is>
      </c>
      <c r="B107" t="inlineStr">
        <is>
          <t>ra2brik</t>
        </is>
      </c>
      <c r="C107" t="inlineStr">
        <is>
          <t>Concrete Barrier</t>
        </is>
      </c>
      <c r="D107" t="inlineStr"/>
      <c r="E107" s="5" t="n">
        <v>100000</v>
      </c>
      <c r="F107" s="5" t="n"/>
      <c r="G107" t="inlineStr">
        <is>
          <t>Concrete</t>
        </is>
      </c>
      <c r="H107" s="5" t="n">
        <v>1</v>
      </c>
      <c r="I107" s="5" t="n">
        <v>1</v>
      </c>
      <c r="J107" s="5" t="n">
        <v>1</v>
      </c>
      <c r="W107" s="5" t="n">
        <v>200</v>
      </c>
    </row>
    <row r="108">
      <c r="A108" t="inlineStr">
        <is>
          <t>shared</t>
        </is>
      </c>
      <c r="B108" t="inlineStr">
        <is>
          <t>ra2carrier</t>
        </is>
      </c>
      <c r="C108" t="inlineStr">
        <is>
          <t>actor_ra2carrier.name</t>
        </is>
      </c>
      <c r="D108" t="inlineStr"/>
      <c r="E108" s="5" t="n">
        <v>250000</v>
      </c>
      <c r="F108" s="5" t="n">
        <v>40</v>
      </c>
      <c r="G108" t="inlineStr">
        <is>
          <t>Superheavy</t>
        </is>
      </c>
      <c r="H108" s="5" t="n">
        <v>1</v>
      </c>
      <c r="I108" s="5" t="n">
        <v>1</v>
      </c>
      <c r="J108" s="5" t="n">
        <v>1</v>
      </c>
      <c r="O108">
        <f>MAX(O109)</f>
        <v/>
      </c>
      <c r="R108">
        <f>R109</f>
        <v/>
      </c>
      <c r="S108">
        <f>(E108/100000+F108/100+(O108/1000)*J108/5+R108/200)*200*I108*H108</f>
        <v/>
      </c>
      <c r="T108">
        <f>((E108*F108/25000)+((O108/1000)*J108*R108/2.5))*I108*H108</f>
        <v/>
      </c>
      <c r="U108">
        <f>(E108*F108*(O108/1000)*J108*R108*I108*H108)/12500000</f>
        <v/>
      </c>
      <c r="V108">
        <f>(S108+T108+U108)/3</f>
        <v/>
      </c>
      <c r="W108" s="5" t="n">
        <v>2500</v>
      </c>
      <c r="X108">
        <f>IFERROR(V108-W108,"")</f>
        <v/>
      </c>
      <c r="Y108">
        <f>IFERROR(ABS(X108)/MAX(W108,1),"")</f>
        <v/>
      </c>
      <c r="Z108">
        <f>IFERROR((W108-(((E108/100000+F108/100+R108/200)*200*I108*H108)+((E108*F108/25000)*I108*H108))/3)/(((J108/5)*200*I108*H108)+((J108*R108/2.5)*I108*H108)+((E108*F108*J108*R108*I108*H108)/12500000))/3*1000,"")</f>
        <v/>
      </c>
    </row>
    <row r="109">
      <c r="B109" s="6" t="inlineStr">
        <is>
          <t xml:space="preserve">  ↳ RA2CarrierTarget</t>
        </is>
      </c>
      <c r="C109" s="6" t="inlineStr">
        <is>
          <t>Armament@PRIMARY</t>
        </is>
      </c>
      <c r="K109" s="5" t="n"/>
      <c r="L109" s="5" t="n">
        <v>50</v>
      </c>
      <c r="M109" s="5" t="n">
        <v>1</v>
      </c>
      <c r="N109" s="5" t="n"/>
      <c r="O109" s="5" t="n">
        <v>17500</v>
      </c>
      <c r="P109" s="5" t="n">
        <v>1</v>
      </c>
      <c r="Q109">
        <f>L109+IF(M109&gt;1,N(N109)*(M109-1),0)</f>
        <v/>
      </c>
      <c r="R109">
        <f>IFERROR(K109*MAX(M109,1)/Q109*P109,0)</f>
        <v/>
      </c>
      <c r="AA109" s="6" t="inlineStr"/>
    </row>
    <row r="110">
      <c r="A110" t="inlineStr">
        <is>
          <t>shared</t>
        </is>
      </c>
      <c r="B110" t="inlineStr">
        <is>
          <t>ra2cplane</t>
        </is>
      </c>
      <c r="C110" t="inlineStr">
        <is>
          <t>Cargo Plane</t>
        </is>
      </c>
      <c r="D110" t="inlineStr"/>
      <c r="E110" s="5" t="n">
        <v>175000</v>
      </c>
      <c r="F110" s="5" t="n">
        <v>150</v>
      </c>
      <c r="G110" t="inlineStr">
        <is>
          <t>Bomber</t>
        </is>
      </c>
      <c r="H110" s="5" t="n">
        <v>1</v>
      </c>
      <c r="I110" s="5" t="n">
        <v>1</v>
      </c>
      <c r="J110" s="5" t="n">
        <v>1</v>
      </c>
      <c r="W110" s="5" t="n">
        <v>4000</v>
      </c>
    </row>
    <row r="111">
      <c r="A111" t="inlineStr">
        <is>
          <t>shared</t>
        </is>
      </c>
      <c r="B111" t="inlineStr">
        <is>
          <t>ra2cplanesov</t>
        </is>
      </c>
      <c r="C111" t="inlineStr">
        <is>
          <t>Cargo Plane</t>
        </is>
      </c>
      <c r="D111" t="inlineStr"/>
      <c r="E111" s="5" t="n">
        <v>175000</v>
      </c>
      <c r="F111" s="5" t="n">
        <v>150</v>
      </c>
      <c r="G111" t="inlineStr">
        <is>
          <t>Bomber</t>
        </is>
      </c>
      <c r="H111" s="5" t="n">
        <v>1</v>
      </c>
      <c r="I111" s="5" t="n">
        <v>1</v>
      </c>
      <c r="J111" s="5" t="n">
        <v>1</v>
      </c>
      <c r="W111" s="5" t="n">
        <v>4000</v>
      </c>
    </row>
    <row r="112">
      <c r="A112" t="inlineStr">
        <is>
          <t>shared</t>
        </is>
      </c>
      <c r="B112" t="inlineStr">
        <is>
          <t>ra2dest</t>
        </is>
      </c>
      <c r="C112" t="inlineStr">
        <is>
          <t>actor_dest.name</t>
        </is>
      </c>
      <c r="D112" t="inlineStr"/>
      <c r="E112" s="5" t="n">
        <v>160000</v>
      </c>
      <c r="F112" s="5" t="n">
        <v>70</v>
      </c>
      <c r="G112" t="inlineStr">
        <is>
          <t>Heavy</t>
        </is>
      </c>
      <c r="H112" s="5" t="n">
        <v>1</v>
      </c>
      <c r="I112" s="5" t="n">
        <v>1</v>
      </c>
      <c r="J112" s="5" t="n">
        <v>1</v>
      </c>
      <c r="O112">
        <f>MAX(O113,O114,O115)</f>
        <v/>
      </c>
      <c r="R112">
        <f>R113+R114+R115</f>
        <v/>
      </c>
      <c r="S112">
        <f>(E112/100000+F112/100+(O112/1000)*J112/5+R112/200)*200*I112*H112</f>
        <v/>
      </c>
      <c r="T112">
        <f>((E112*F112/25000)+((O112/1000)*J112*R112/2.5))*I112*H112</f>
        <v/>
      </c>
      <c r="U112">
        <f>(E112*F112*(O112/1000)*J112*R112*I112*H112)/12500000</f>
        <v/>
      </c>
      <c r="V112">
        <f>(S112+T112+U112)/3</f>
        <v/>
      </c>
      <c r="W112" s="5" t="n">
        <v>1700</v>
      </c>
      <c r="X112">
        <f>IFERROR(V112-W112,"")</f>
        <v/>
      </c>
      <c r="Y112">
        <f>IFERROR(ABS(X112)/MAX(W112,1),"")</f>
        <v/>
      </c>
      <c r="Z112">
        <f>IFERROR((W112-(((E112/100000+F112/100+R112/200)*200*I112*H112)+((E112*F112/25000)*I112*H112))/3)/(((J112/5)*200*I112*H112)+((J112*R112/2.5)*I112*H112)+((E112*F112*J112*R112*I112*H112)/12500000))/3*1000,"")</f>
        <v/>
      </c>
    </row>
    <row r="113">
      <c r="B113" s="6" t="inlineStr">
        <is>
          <t xml:space="preserve">  ↳ RA2155mm</t>
        </is>
      </c>
      <c r="C113" s="6" t="inlineStr">
        <is>
          <t>Armament@PRIMARY</t>
        </is>
      </c>
      <c r="K113" s="5" t="n">
        <v>16000</v>
      </c>
      <c r="L113" s="5" t="n">
        <v>40</v>
      </c>
      <c r="M113" s="5" t="n">
        <v>1</v>
      </c>
      <c r="N113" s="5" t="n"/>
      <c r="O113" s="5" t="n">
        <v>8000</v>
      </c>
      <c r="P113" s="5" t="n">
        <v>1</v>
      </c>
      <c r="Q113">
        <f>L113+IF(M113&gt;1,N(N113)*(M113-1),0)</f>
        <v/>
      </c>
      <c r="R113">
        <f>IFERROR(K113*MAX(M113,1)/Q113*P113,0)</f>
        <v/>
      </c>
      <c r="AA113" s="6" t="inlineStr">
        <is>
          <t>^RA2HeavyCannon</t>
        </is>
      </c>
    </row>
    <row r="114">
      <c r="B114" s="6" t="inlineStr">
        <is>
          <t xml:space="preserve">  ↳ RA2155mm_elite</t>
        </is>
      </c>
      <c r="C114" s="6" t="inlineStr">
        <is>
          <t>Armament@ELITE</t>
        </is>
      </c>
      <c r="K114" s="5" t="n">
        <v>16000</v>
      </c>
      <c r="L114" s="5" t="n">
        <v>40</v>
      </c>
      <c r="M114" s="5" t="n">
        <v>2</v>
      </c>
      <c r="N114" s="5" t="n">
        <v>3</v>
      </c>
      <c r="O114" s="5" t="n">
        <v>9000</v>
      </c>
      <c r="P114" s="5" t="n">
        <v>1</v>
      </c>
      <c r="Q114">
        <f>L114+IF(M114&gt;1,N(N114)*(M114-1),0)</f>
        <v/>
      </c>
      <c r="R114">
        <f>IFERROR(K114*MAX(M114,1)/Q114*P114,0)</f>
        <v/>
      </c>
      <c r="AA114" s="6" t="inlineStr">
        <is>
          <t>^RA2HeavyCannon, ^RA2EliteEffects</t>
        </is>
      </c>
    </row>
    <row r="115">
      <c r="B115" s="6" t="inlineStr">
        <is>
          <t xml:space="preserve">  ↳ RA2OspreyTarget</t>
        </is>
      </c>
      <c r="C115" s="6" t="inlineStr">
        <is>
          <t>Armament@GenerateOsprey</t>
        </is>
      </c>
      <c r="K115" s="5" t="n"/>
      <c r="L115" s="5" t="n">
        <v>25</v>
      </c>
      <c r="M115" s="5" t="n">
        <v>1</v>
      </c>
      <c r="N115" s="5" t="n"/>
      <c r="O115" s="5" t="n">
        <v>12000</v>
      </c>
      <c r="P115" s="5" t="n">
        <v>1</v>
      </c>
      <c r="Q115">
        <f>L115+IF(M115&gt;1,N(N115)*(M115-1),0)</f>
        <v/>
      </c>
      <c r="R115">
        <f>IFERROR(K115*MAX(M115,1)/Q115*P115,0)</f>
        <v/>
      </c>
      <c r="AA115" s="6" t="inlineStr"/>
    </row>
    <row r="116">
      <c r="A116" t="inlineStr">
        <is>
          <t>shared</t>
        </is>
      </c>
      <c r="B116" t="inlineStr">
        <is>
          <t>ra2dlph</t>
        </is>
      </c>
      <c r="C116" t="inlineStr">
        <is>
          <t>actor_dlph.name</t>
        </is>
      </c>
      <c r="D116" t="inlineStr"/>
      <c r="E116" s="5" t="n">
        <v>20000</v>
      </c>
      <c r="F116" s="5" t="n">
        <v>120</v>
      </c>
      <c r="G116" t="inlineStr">
        <is>
          <t>Light</t>
        </is>
      </c>
      <c r="H116" s="5" t="n">
        <v>1</v>
      </c>
      <c r="I116" s="5" t="n">
        <v>1</v>
      </c>
      <c r="J116" s="5" t="n">
        <v>1</v>
      </c>
      <c r="O116">
        <f>MAX(O117,O118)</f>
        <v/>
      </c>
      <c r="R116">
        <f>R117+R118</f>
        <v/>
      </c>
      <c r="S116">
        <f>(E116/100000+F116/100+(O116/1000)*J116/5+R116/200)*200*I116*H116</f>
        <v/>
      </c>
      <c r="T116">
        <f>((E116*F116/25000)+((O116/1000)*J116*R116/2.5))*I116*H116</f>
        <v/>
      </c>
      <c r="U116">
        <f>(E116*F116*(O116/1000)*J116*R116*I116*H116)/12500000</f>
        <v/>
      </c>
      <c r="V116">
        <f>(S116+T116+U116)/3</f>
        <v/>
      </c>
      <c r="W116" s="5" t="n">
        <v>500</v>
      </c>
      <c r="X116">
        <f>IFERROR(V116-W116,"")</f>
        <v/>
      </c>
      <c r="Y116">
        <f>IFERROR(ABS(X116)/MAX(W116,1),"")</f>
        <v/>
      </c>
      <c r="Z116">
        <f>IFERROR((W116-(((E116/100000+F116/100+R116/200)*200*I116*H116)+((E116*F116/25000)*I116*H116))/3)/(((J116/5)*200*I116*H116)+((J116*R116/2.5)*I116*H116)+((E116*F116*J116*R116*I116*H116)/12500000))/3*1000,"")</f>
        <v/>
      </c>
    </row>
    <row r="117">
      <c r="B117" s="6" t="inlineStr">
        <is>
          <t xml:space="preserve">  ↳ SonicZap</t>
        </is>
      </c>
      <c r="C117" s="6" t="inlineStr">
        <is>
          <t>Armament@PRIMARY</t>
        </is>
      </c>
      <c r="K117" s="5" t="n">
        <v>2000</v>
      </c>
      <c r="L117" s="5" t="n">
        <v>60</v>
      </c>
      <c r="M117" s="5" t="n">
        <v>1</v>
      </c>
      <c r="N117" s="5" t="n"/>
      <c r="O117" s="5" t="n">
        <v>6000</v>
      </c>
      <c r="P117" s="5" t="n">
        <v>1</v>
      </c>
      <c r="Q117">
        <f>L117+IF(M117&gt;1,N(N117)*(M117-1),0)</f>
        <v/>
      </c>
      <c r="R117">
        <f>IFERROR(K117*MAX(M117,1)/Q117*P117,0)</f>
        <v/>
      </c>
      <c r="AA117" s="6" t="inlineStr">
        <is>
          <t>^MagicWeapon</t>
        </is>
      </c>
    </row>
    <row r="118">
      <c r="B118" s="6" t="inlineStr">
        <is>
          <t xml:space="preserve">  ↳ SonicZapFriendly</t>
        </is>
      </c>
      <c r="C118" s="6" t="inlineStr">
        <is>
          <t>Armament@SECONDARY</t>
        </is>
      </c>
      <c r="K118" s="5" t="n"/>
      <c r="L118" s="5" t="n">
        <v>60</v>
      </c>
      <c r="M118" s="5" t="n">
        <v>1</v>
      </c>
      <c r="N118" s="5" t="n"/>
      <c r="O118" s="5" t="n">
        <v>6000</v>
      </c>
      <c r="P118" s="5" t="n">
        <v>1</v>
      </c>
      <c r="Q118">
        <f>L118+IF(M118&gt;1,N(N118)*(M118-1),0)</f>
        <v/>
      </c>
      <c r="R118">
        <f>IFERROR(K118*MAX(M118,1)/Q118*P118,0)</f>
        <v/>
      </c>
      <c r="AA118" s="6" t="inlineStr"/>
    </row>
    <row r="119">
      <c r="A119" t="inlineStr">
        <is>
          <t>shared</t>
        </is>
      </c>
      <c r="B119" t="inlineStr">
        <is>
          <t>ra2dred</t>
        </is>
      </c>
      <c r="C119" t="inlineStr">
        <is>
          <t>actor_dred.name</t>
        </is>
      </c>
      <c r="D119" t="inlineStr"/>
      <c r="E119" s="5" t="n">
        <v>250000</v>
      </c>
      <c r="F119" s="5" t="n">
        <v>50</v>
      </c>
      <c r="G119" t="inlineStr">
        <is>
          <t>Superheavy</t>
        </is>
      </c>
      <c r="H119" s="5" t="n">
        <v>1</v>
      </c>
      <c r="I119" s="5" t="n">
        <v>1</v>
      </c>
      <c r="J119" s="5" t="n">
        <v>1</v>
      </c>
      <c r="O119">
        <f>MAX(O120)</f>
        <v/>
      </c>
      <c r="R119">
        <f>R120</f>
        <v/>
      </c>
      <c r="S119">
        <f>(E119/100000+F119/100+(O119/1000)*J119/5+R119/200)*200*I119*H119</f>
        <v/>
      </c>
      <c r="T119">
        <f>((E119*F119/25000)+((O119/1000)*J119*R119/2.5))*I119*H119</f>
        <v/>
      </c>
      <c r="U119">
        <f>(E119*F119*(O119/1000)*J119*R119*I119*H119)/12500000</f>
        <v/>
      </c>
      <c r="V119">
        <f>(S119+T119+U119)/3</f>
        <v/>
      </c>
      <c r="W119" s="5" t="n">
        <v>4000</v>
      </c>
      <c r="X119">
        <f>IFERROR(V119-W119,"")</f>
        <v/>
      </c>
      <c r="Y119">
        <f>IFERROR(ABS(X119)/MAX(W119,1),"")</f>
        <v/>
      </c>
      <c r="Z119">
        <f>IFERROR((W119-(((E119/100000+F119/100+R119/200)*200*I119*H119)+((E119*F119/25000)*I119*H119))/3)/(((J119/5)*200*I119*H119)+((J119*R119/2.5)*I119*H119)+((E119*F119*J119*R119*I119*H119)/12500000))/3*1000,"")</f>
        <v/>
      </c>
    </row>
    <row r="120">
      <c r="B120" s="6" t="inlineStr">
        <is>
          <t xml:space="preserve">  ↳ DreadnoughtLaunch</t>
        </is>
      </c>
      <c r="C120" s="6" t="inlineStr">
        <is>
          <t>Armament@AG</t>
        </is>
      </c>
      <c r="K120" s="5" t="n"/>
      <c r="L120" s="5" t="n">
        <v>75</v>
      </c>
      <c r="M120" s="5" t="n">
        <v>2</v>
      </c>
      <c r="N120" s="5" t="n">
        <v>10</v>
      </c>
      <c r="O120" s="5" t="n">
        <v>25000</v>
      </c>
      <c r="P120" s="5" t="n">
        <v>1</v>
      </c>
      <c r="Q120">
        <f>L120+IF(M120&gt;1,N(N120)*(M120-1),0)</f>
        <v/>
      </c>
      <c r="R120">
        <f>IFERROR(K120*MAX(M120,1)/Q120*P120,0)</f>
        <v/>
      </c>
      <c r="AA120" s="6" t="inlineStr">
        <is>
          <t>V3Launch</t>
        </is>
      </c>
    </row>
    <row r="121">
      <c r="A121" t="inlineStr">
        <is>
          <t>shared</t>
        </is>
      </c>
      <c r="B121" t="inlineStr">
        <is>
          <t>ra2e2.black</t>
        </is>
      </c>
      <c r="C121" t="inlineStr">
        <is>
          <t>Black Operation Soldier</t>
        </is>
      </c>
      <c r="D121" t="inlineStr"/>
      <c r="E121" s="5" t="n">
        <v>25000</v>
      </c>
      <c r="F121" s="5" t="n">
        <v>57</v>
      </c>
      <c r="G121" t="inlineStr">
        <is>
          <t>None</t>
        </is>
      </c>
      <c r="H121" s="5" t="n">
        <v>1</v>
      </c>
      <c r="I121" s="5" t="n">
        <v>1</v>
      </c>
      <c r="J121" s="5" t="n">
        <v>1</v>
      </c>
      <c r="O121">
        <f>MAX(O122,O123)</f>
        <v/>
      </c>
      <c r="R121">
        <f>R122+R123</f>
        <v/>
      </c>
      <c r="S121">
        <f>(E121/100000+F121/100+(O121/1000)*J121/5+R121/200)*200*I121*H121</f>
        <v/>
      </c>
      <c r="T121">
        <f>((E121*F121/25000)+((O121/1000)*J121*R121/2.5))*I121*H121</f>
        <v/>
      </c>
      <c r="U121">
        <f>(E121*F121*(O121/1000)*J121*R121*I121*H121)/12500000</f>
        <v/>
      </c>
      <c r="V121">
        <f>(S121+T121+U121)/3</f>
        <v/>
      </c>
      <c r="W121" s="5" t="n">
        <v>150</v>
      </c>
      <c r="X121">
        <f>IFERROR(V121-W121,"")</f>
        <v/>
      </c>
      <c r="Y121">
        <f>IFERROR(ABS(X121)/MAX(W121,1),"")</f>
        <v/>
      </c>
      <c r="Z121">
        <f>IFERROR((W121-(((E121/100000+F121/100+R121/200)*200*I121*H121)+((E121*F121/25000)*I121*H121))/3)/(((J121/5)*200*I121*H121)+((J121*R121/2.5)*I121*H121)+((E121*F121*J121*R121*I121*H121)/12500000))/3*1000,"")</f>
        <v/>
      </c>
    </row>
    <row r="122">
      <c r="B122" s="6" t="inlineStr">
        <is>
          <t xml:space="preserve">  ↳ ra2_soviets_conscript_carbine</t>
        </is>
      </c>
      <c r="C122" s="6" t="inlineStr">
        <is>
          <t>Armament@PRIMARY</t>
        </is>
      </c>
      <c r="K122" s="5" t="n">
        <v>2000</v>
      </c>
      <c r="L122" s="5" t="n">
        <v>18</v>
      </c>
      <c r="M122" s="5" t="n">
        <v>1</v>
      </c>
      <c r="N122" s="5" t="n"/>
      <c r="O122" s="5" t="n">
        <v>4500</v>
      </c>
      <c r="P122" s="5" t="n">
        <v>1</v>
      </c>
      <c r="Q122">
        <f>L122+IF(M122&gt;1,N(N122)*(M122-1),0)</f>
        <v/>
      </c>
      <c r="R122">
        <f>IFERROR(K122*MAX(M122,1)/Q122*P122,0)</f>
        <v/>
      </c>
      <c r="AA122" s="6" t="inlineStr">
        <is>
          <t>^RA2SmallArms</t>
        </is>
      </c>
    </row>
    <row r="123">
      <c r="B123" s="6" t="inlineStr">
        <is>
          <t xml:space="preserve">  ↳ ra2_soviets_conscript_carbine_elite</t>
        </is>
      </c>
      <c r="C123" s="6" t="inlineStr">
        <is>
          <t>Armament@ELITE</t>
        </is>
      </c>
      <c r="K123" s="5" t="n">
        <v>2000</v>
      </c>
      <c r="L123" s="5" t="n">
        <v>18</v>
      </c>
      <c r="M123" s="5" t="n">
        <v>2</v>
      </c>
      <c r="N123" s="5" t="n">
        <v>3</v>
      </c>
      <c r="O123" s="5" t="n">
        <v>5500</v>
      </c>
      <c r="P123" s="5" t="n">
        <v>1</v>
      </c>
      <c r="Q123">
        <f>L123+IF(M123&gt;1,N(N123)*(M123-1),0)</f>
        <v/>
      </c>
      <c r="R123">
        <f>IFERROR(K123*MAX(M123,1)/Q123*P123,0)</f>
        <v/>
      </c>
      <c r="AA123" s="6" t="inlineStr">
        <is>
          <t>^RA2SmallArms</t>
        </is>
      </c>
    </row>
    <row r="124">
      <c r="B124" s="6" t="inlineStr">
        <is>
          <t xml:space="preserve">  ↳ RA2vulcan3</t>
        </is>
      </c>
      <c r="C124" s="6" t="inlineStr">
        <is>
          <t>Armament@GARRISONED</t>
        </is>
      </c>
      <c r="K124" s="5" t="n">
        <v>2000</v>
      </c>
      <c r="L124" s="5" t="n">
        <v>50</v>
      </c>
      <c r="M124" s="5" t="n">
        <v>3</v>
      </c>
      <c r="N124" s="5" t="n">
        <v>2</v>
      </c>
      <c r="O124" s="5" t="n">
        <v>5724</v>
      </c>
      <c r="P124" s="5" t="n">
        <v>1</v>
      </c>
      <c r="Q124">
        <f>L124+IF(M124&gt;1,N(N124)*(M124-1),0)</f>
        <v/>
      </c>
      <c r="R124">
        <f>IFERROR(K124*MAX(M124,1)/Q124*P124,0)</f>
        <v/>
      </c>
      <c r="AA124" s="6" t="inlineStr">
        <is>
          <t>^RA2SmallArms, ^RA2Chaingun</t>
        </is>
      </c>
    </row>
    <row r="125">
      <c r="A125" t="inlineStr">
        <is>
          <t>shared</t>
        </is>
      </c>
      <c r="B125" t="inlineStr">
        <is>
          <t>ra2gacnst.infiltrated</t>
        </is>
      </c>
      <c r="C125" t="inlineStr">
        <is>
          <t>Stolen Allied Buildings Plans</t>
        </is>
      </c>
      <c r="D125" t="inlineStr"/>
      <c r="E125" s="5" t="n"/>
      <c r="F125" s="5" t="n"/>
      <c r="H125" s="5" t="n">
        <v>1</v>
      </c>
      <c r="I125" s="5" t="n">
        <v>1</v>
      </c>
      <c r="J125" s="5" t="n">
        <v>1</v>
      </c>
      <c r="W125" s="5" t="n"/>
    </row>
    <row r="126">
      <c r="A126" t="inlineStr">
        <is>
          <t>shared</t>
        </is>
      </c>
      <c r="B126" t="inlineStr">
        <is>
          <t>ra2gayard</t>
        </is>
      </c>
      <c r="C126" t="inlineStr">
        <is>
          <t>Allied Naval Yard</t>
        </is>
      </c>
      <c r="D126" t="inlineStr"/>
      <c r="E126" s="5" t="n">
        <v>600000</v>
      </c>
      <c r="F126" s="5" t="n"/>
      <c r="G126" t="inlineStr">
        <is>
          <t>Concrete</t>
        </is>
      </c>
      <c r="H126" s="5" t="n">
        <v>1</v>
      </c>
      <c r="I126" s="5" t="n">
        <v>1</v>
      </c>
      <c r="J126" s="5" t="n">
        <v>1</v>
      </c>
      <c r="W126" s="5" t="n">
        <v>3000</v>
      </c>
    </row>
    <row r="127">
      <c r="A127" t="inlineStr">
        <is>
          <t>shared</t>
        </is>
      </c>
      <c r="B127" t="inlineStr">
        <is>
          <t>ra2hornet</t>
        </is>
      </c>
      <c r="C127" t="inlineStr">
        <is>
          <t>Hornet</t>
        </is>
      </c>
      <c r="D127" t="inlineStr"/>
      <c r="E127" s="5" t="n">
        <v>5000</v>
      </c>
      <c r="F127" s="5" t="n">
        <v>225</v>
      </c>
      <c r="G127" t="inlineStr">
        <is>
          <t>Bomber</t>
        </is>
      </c>
      <c r="H127" s="5" t="n">
        <v>1</v>
      </c>
      <c r="I127" s="5" t="n">
        <v>1</v>
      </c>
      <c r="J127" s="5" t="n">
        <v>1</v>
      </c>
      <c r="O127">
        <f>MAX(O128)</f>
        <v/>
      </c>
      <c r="R127">
        <f>R128</f>
        <v/>
      </c>
      <c r="S127">
        <f>(E127/100000+F127/100+(O127/1000)*J127/5+R127/200)*200*I127*H127</f>
        <v/>
      </c>
      <c r="T127">
        <f>((E127*F127/25000)+((O127/1000)*J127*R127/2.5))*I127*H127</f>
        <v/>
      </c>
      <c r="U127">
        <f>(E127*F127*(O127/1000)*J127*R127*I127*H127)/12500000</f>
        <v/>
      </c>
      <c r="V127">
        <f>(S127+T127+U127)/3</f>
        <v/>
      </c>
      <c r="W127" s="5" t="n">
        <v>1250</v>
      </c>
      <c r="X127">
        <f>IFERROR(V127-W127,"")</f>
        <v/>
      </c>
      <c r="Y127">
        <f>IFERROR(ABS(X127)/MAX(W127,1),"")</f>
        <v/>
      </c>
      <c r="Z127">
        <f>IFERROR((W127-(((E127/100000+F127/100+R127/200)*200*I127*H127)+((E127*F127/25000)*I127*H127))/3)/(((J127/5)*200*I127*H127)+((J127*R127/2.5)*I127*H127)+((E127*F127*J127*R127*I127*H127)/12500000))/3*1000,"")</f>
        <v/>
      </c>
    </row>
    <row r="128">
      <c r="B128" s="6" t="inlineStr">
        <is>
          <t xml:space="preserve">  ↳ RA2HornetMissile</t>
        </is>
      </c>
      <c r="C128" s="6" t="inlineStr">
        <is>
          <t>Armament@PRIMARY</t>
        </is>
      </c>
      <c r="K128" s="5" t="n">
        <v>2000</v>
      </c>
      <c r="L128" s="5" t="n">
        <v>3</v>
      </c>
      <c r="M128" s="5" t="n">
        <v>1</v>
      </c>
      <c r="N128" s="5" t="n"/>
      <c r="O128" s="5" t="n">
        <v>5000</v>
      </c>
      <c r="P128" s="5" t="n">
        <v>1</v>
      </c>
      <c r="Q128">
        <f>L128+IF(M128&gt;1,N(N128)*(M128-1),0)</f>
        <v/>
      </c>
      <c r="R128">
        <f>IFERROR(K128*MAX(M128,1)/Q128*P128,0)</f>
        <v/>
      </c>
      <c r="AA128" s="6" t="inlineStr">
        <is>
          <t>^Grenade, ^HeavyBomb, ^RA2MediumMissile</t>
        </is>
      </c>
    </row>
    <row r="129">
      <c r="A129" t="inlineStr">
        <is>
          <t>shared</t>
        </is>
      </c>
      <c r="B129" t="inlineStr">
        <is>
          <t>ra2lcrf</t>
        </is>
      </c>
      <c r="C129" t="inlineStr">
        <is>
          <t>Amphibious Transport</t>
        </is>
      </c>
      <c r="D129" t="inlineStr"/>
      <c r="E129" s="5" t="n">
        <v>150000</v>
      </c>
      <c r="F129" s="5" t="n">
        <v>75</v>
      </c>
      <c r="G129" t="inlineStr">
        <is>
          <t>Heavy</t>
        </is>
      </c>
      <c r="H129" s="5" t="n">
        <v>1</v>
      </c>
      <c r="I129" s="5" t="n">
        <v>1</v>
      </c>
      <c r="J129" s="5" t="n">
        <v>1</v>
      </c>
      <c r="W129" s="5" t="n">
        <v>750</v>
      </c>
    </row>
    <row r="130">
      <c r="A130" t="inlineStr">
        <is>
          <t>shared</t>
        </is>
      </c>
      <c r="B130" t="inlineStr">
        <is>
          <t>ra2leopard</t>
        </is>
      </c>
      <c r="C130" t="inlineStr">
        <is>
          <t>Leopard</t>
        </is>
      </c>
      <c r="D130" t="inlineStr"/>
      <c r="E130" s="5" t="n">
        <v>230000</v>
      </c>
      <c r="F130" s="5" t="n">
        <v>70</v>
      </c>
      <c r="G130" t="inlineStr">
        <is>
          <t>Heavy</t>
        </is>
      </c>
      <c r="H130" s="5" t="n">
        <v>1</v>
      </c>
      <c r="I130" s="5" t="n">
        <v>1</v>
      </c>
      <c r="J130" s="5" t="n">
        <v>1</v>
      </c>
      <c r="O130">
        <f>MAX(O131,O132,O133)</f>
        <v/>
      </c>
      <c r="R130">
        <f>R131+R132+R133</f>
        <v/>
      </c>
      <c r="S130">
        <f>(E130/100000+F130/100+(O130/1000)*J130/5+R130/200)*200*I130*H130</f>
        <v/>
      </c>
      <c r="T130">
        <f>((E130*F130/25000)+((O130/1000)*J130*R130/2.5))*I130*H130</f>
        <v/>
      </c>
      <c r="U130">
        <f>(E130*F130*(O130/1000)*J130*R130*I130*H130)/12500000</f>
        <v/>
      </c>
      <c r="V130">
        <f>(S130+T130+U130)/3</f>
        <v/>
      </c>
      <c r="W130" s="5" t="n">
        <v>950</v>
      </c>
      <c r="X130">
        <f>IFERROR(V130-W130,"")</f>
        <v/>
      </c>
      <c r="Y130">
        <f>IFERROR(ABS(X130)/MAX(W130,1),"")</f>
        <v/>
      </c>
      <c r="Z130">
        <f>IFERROR((W130-(((E130/100000+F130/100+R130/200)*200*I130*H130)+((E130*F130/25000)*I130*H130))/3)/(((J130/5)*200*I130*H130)+((J130*R130/2.5)*I130*H130)+((E130*F130*J130*R130*I130*H130)/12500000))/3*1000,"")</f>
        <v/>
      </c>
    </row>
    <row r="131">
      <c r="B131" s="6" t="inlineStr">
        <is>
          <t xml:space="preserve">  ↳ RA2120mm</t>
        </is>
      </c>
      <c r="C131" s="6" t="inlineStr">
        <is>
          <t>Armament</t>
        </is>
      </c>
      <c r="K131" s="5" t="n">
        <v>10000</v>
      </c>
      <c r="L131" s="5" t="n">
        <v>54</v>
      </c>
      <c r="M131" s="5" t="n">
        <v>1</v>
      </c>
      <c r="N131" s="5" t="n"/>
      <c r="O131" s="5" t="n">
        <v>5374</v>
      </c>
      <c r="P131" s="5" t="n">
        <v>1</v>
      </c>
      <c r="Q131">
        <f>L131+IF(M131&gt;1,N(N131)*(M131-1),0)</f>
        <v/>
      </c>
      <c r="R131">
        <f>IFERROR(K131*MAX(M131,1)/Q131*P131,0)</f>
        <v/>
      </c>
      <c r="AA131" s="6" t="inlineStr">
        <is>
          <t>^RA2MediumCannon</t>
        </is>
      </c>
    </row>
    <row r="132">
      <c r="B132" s="6" t="inlineStr">
        <is>
          <t xml:space="preserve">  ↳ RA2120mm_elite</t>
        </is>
      </c>
      <c r="C132" s="6" t="inlineStr">
        <is>
          <t>Armament@elite</t>
        </is>
      </c>
      <c r="K132" s="5" t="n">
        <v>10000</v>
      </c>
      <c r="L132" s="5" t="n">
        <v>54</v>
      </c>
      <c r="M132" s="5" t="n">
        <v>2</v>
      </c>
      <c r="N132" s="5" t="n">
        <v>3</v>
      </c>
      <c r="O132" s="5" t="n">
        <v>6374</v>
      </c>
      <c r="P132" s="5" t="n">
        <v>1</v>
      </c>
      <c r="Q132">
        <f>L132+IF(M132&gt;1,N(N132)*(M132-1),0)</f>
        <v/>
      </c>
      <c r="R132">
        <f>IFERROR(K132*MAX(M132,1)/Q132*P132,0)</f>
        <v/>
      </c>
      <c r="AA132" s="6" t="inlineStr">
        <is>
          <t>^RA2MediumCannon, ^RA2EliteEffects</t>
        </is>
      </c>
    </row>
    <row r="133">
      <c r="B133" s="6" t="inlineStr">
        <is>
          <t xml:space="preserve">  ↳ RA2GattlingMG1</t>
        </is>
      </c>
      <c r="C133" s="6" t="inlineStr">
        <is>
          <t>Armament@machinegun</t>
        </is>
      </c>
      <c r="K133" s="5" t="n">
        <v>2000</v>
      </c>
      <c r="L133" s="5" t="n">
        <v>6</v>
      </c>
      <c r="M133" s="5" t="n">
        <v>1</v>
      </c>
      <c r="N133" s="5" t="n"/>
      <c r="O133" s="5" t="n">
        <v>5000</v>
      </c>
      <c r="P133" s="5" t="n">
        <v>1</v>
      </c>
      <c r="Q133">
        <f>L133+IF(M133&gt;1,N(N133)*(M133-1),0)</f>
        <v/>
      </c>
      <c r="R133">
        <f>IFERROR(K133*MAX(M133,1)/Q133*P133,0)</f>
        <v/>
      </c>
      <c r="AA133" s="6" t="inlineStr">
        <is>
          <t>^SmallArms, ^RA2Chaingun</t>
        </is>
      </c>
    </row>
    <row r="134">
      <c r="A134" t="inlineStr">
        <is>
          <t>shared</t>
        </is>
      </c>
      <c r="B134" t="inlineStr">
        <is>
          <t>ra2nacnst.infiltrated</t>
        </is>
      </c>
      <c r="C134" t="inlineStr">
        <is>
          <t>Stolen Soviet Buildings Plans</t>
        </is>
      </c>
      <c r="D134" t="inlineStr"/>
      <c r="E134" s="5" t="n"/>
      <c r="F134" s="5" t="n"/>
      <c r="H134" s="5" t="n">
        <v>1</v>
      </c>
      <c r="I134" s="5" t="n">
        <v>1</v>
      </c>
      <c r="J134" s="5" t="n">
        <v>1</v>
      </c>
      <c r="W134" s="5" t="n"/>
    </row>
    <row r="135">
      <c r="A135" t="inlineStr">
        <is>
          <t>shared</t>
        </is>
      </c>
      <c r="B135" t="inlineStr">
        <is>
          <t>ra2nayard</t>
        </is>
      </c>
      <c r="C135" t="inlineStr">
        <is>
          <t>Soviet Shipyard</t>
        </is>
      </c>
      <c r="D135" t="inlineStr"/>
      <c r="E135" s="5" t="n">
        <v>600000</v>
      </c>
      <c r="F135" s="5" t="n"/>
      <c r="G135" t="inlineStr">
        <is>
          <t>Concrete</t>
        </is>
      </c>
      <c r="H135" s="5" t="n">
        <v>1</v>
      </c>
      <c r="I135" s="5" t="n">
        <v>1</v>
      </c>
      <c r="J135" s="5" t="n">
        <v>1</v>
      </c>
      <c r="W135" s="5" t="n">
        <v>3000</v>
      </c>
    </row>
    <row r="136">
      <c r="A136" t="inlineStr">
        <is>
          <t>shared</t>
        </is>
      </c>
      <c r="B136" t="inlineStr">
        <is>
          <t>ra2sapc</t>
        </is>
      </c>
      <c r="C136" t="inlineStr">
        <is>
          <t>Amphibious Transport</t>
        </is>
      </c>
      <c r="D136" t="inlineStr"/>
      <c r="E136" s="5" t="n">
        <v>150000</v>
      </c>
      <c r="F136" s="5" t="n">
        <v>75</v>
      </c>
      <c r="G136" t="inlineStr">
        <is>
          <t>Heavy</t>
        </is>
      </c>
      <c r="H136" s="5" t="n">
        <v>1</v>
      </c>
      <c r="I136" s="5" t="n">
        <v>1</v>
      </c>
      <c r="J136" s="5" t="n">
        <v>1</v>
      </c>
      <c r="W136" s="5" t="n">
        <v>750</v>
      </c>
    </row>
    <row r="137">
      <c r="A137" t="inlineStr">
        <is>
          <t>shared</t>
        </is>
      </c>
      <c r="B137" t="inlineStr">
        <is>
          <t>ra2shk.bot</t>
        </is>
      </c>
      <c r="C137" t="inlineStr">
        <is>
          <t>Tesla Coil Charger</t>
        </is>
      </c>
      <c r="D137" t="inlineStr"/>
      <c r="E137" s="5" t="n">
        <v>48000</v>
      </c>
      <c r="F137" s="5" t="n">
        <v>38</v>
      </c>
      <c r="G137" t="inlineStr">
        <is>
          <t>Plate</t>
        </is>
      </c>
      <c r="H137" s="5" t="n">
        <v>1</v>
      </c>
      <c r="I137" s="5" t="n">
        <v>1</v>
      </c>
      <c r="J137" s="5" t="n">
        <v>1</v>
      </c>
      <c r="O137">
        <f>MAX(O138)</f>
        <v/>
      </c>
      <c r="R137">
        <f>R138</f>
        <v/>
      </c>
      <c r="S137">
        <f>(E137/100000+F137/100+(O137/1000)*J137/5+R137/200)*200*I137*H137</f>
        <v/>
      </c>
      <c r="T137">
        <f>((E137*F137/25000)+((O137/1000)*J137*R137/2.5))*I137*H137</f>
        <v/>
      </c>
      <c r="U137">
        <f>(E137*F137*(O137/1000)*J137*R137*I137*H137)/12500000</f>
        <v/>
      </c>
      <c r="V137">
        <f>(S137+T137+U137)/3</f>
        <v/>
      </c>
      <c r="W137" s="5" t="n">
        <v>500</v>
      </c>
      <c r="X137">
        <f>IFERROR(V137-W137,"")</f>
        <v/>
      </c>
      <c r="Y137">
        <f>IFERROR(ABS(X137)/MAX(W137,1),"")</f>
        <v/>
      </c>
      <c r="Z137">
        <f>IFERROR((W137-(((E137/100000+F137/100+R137/200)*200*I137*H137)+((E137*F137/25000)*I137*H137))/3)/(((J137/5)*200*I137*H137)+((J137*R137/2.5)*I137*H137)+((E137*F137*J137*R137*I137*H137)/12500000))/3*1000,"")</f>
        <v/>
      </c>
    </row>
    <row r="138">
      <c r="B138" s="6" t="inlineStr">
        <is>
          <t xml:space="preserve">  ↳ RA2TeslaCoilCharge_cosmetic</t>
        </is>
      </c>
      <c r="C138" s="6" t="inlineStr">
        <is>
          <t>Armament@TeslaCoilCharge</t>
        </is>
      </c>
      <c r="K138" s="5" t="n"/>
      <c r="L138" s="5" t="n">
        <v>100</v>
      </c>
      <c r="M138" s="5" t="n">
        <v>1</v>
      </c>
      <c r="N138" s="5" t="n"/>
      <c r="O138" s="5" t="n">
        <v>3333</v>
      </c>
      <c r="P138" s="5" t="n">
        <v>1</v>
      </c>
      <c r="Q138">
        <f>L138+IF(M138&gt;1,N(N138)*(M138-1),0)</f>
        <v/>
      </c>
      <c r="R138">
        <f>IFERROR(K138*MAX(M138,1)/Q138*P138,0)</f>
        <v/>
      </c>
      <c r="AA138" s="6" t="inlineStr"/>
    </row>
    <row r="139">
      <c r="B139" s="6" t="inlineStr">
        <is>
          <t xml:space="preserve">  ↳ RA2PortaTesla</t>
        </is>
      </c>
      <c r="C139" s="6" t="inlineStr">
        <is>
          <t>Armament@GARRISONED</t>
        </is>
      </c>
      <c r="K139" s="5" t="n">
        <v>24000</v>
      </c>
      <c r="L139" s="5" t="n">
        <v>100</v>
      </c>
      <c r="M139" s="5" t="n">
        <v>1</v>
      </c>
      <c r="N139" s="5" t="n"/>
      <c r="O139" s="5" t="n">
        <v>5222</v>
      </c>
      <c r="P139" s="5" t="n">
        <v>1</v>
      </c>
      <c r="Q139">
        <f>L139+IF(M139&gt;1,N(N139)*(M139-1),0)</f>
        <v/>
      </c>
      <c r="R139">
        <f>IFERROR(K139*MAX(M139,1)/Q139*P139,0)</f>
        <v/>
      </c>
      <c r="AA139" s="6" t="inlineStr">
        <is>
          <t>^TeslaWeapon</t>
        </is>
      </c>
    </row>
    <row r="140">
      <c r="B140" s="6" t="inlineStr">
        <is>
          <t xml:space="preserve">  ↳ RA2PortaTesla2</t>
        </is>
      </c>
      <c r="C140" s="6" t="inlineStr">
        <is>
          <t>Armament@GARRISONED2</t>
        </is>
      </c>
      <c r="K140" s="5" t="n">
        <v>24000</v>
      </c>
      <c r="L140" s="5" t="n">
        <v>100</v>
      </c>
      <c r="M140" s="5" t="n">
        <v>1</v>
      </c>
      <c r="N140" s="5" t="n"/>
      <c r="O140" s="5" t="n">
        <v>5777</v>
      </c>
      <c r="P140" s="5" t="n">
        <v>1</v>
      </c>
      <c r="Q140">
        <f>L140+IF(M140&gt;1,N(N140)*(M140-1),0)</f>
        <v/>
      </c>
      <c r="R140">
        <f>IFERROR(K140*MAX(M140,1)/Q140*P140,0)</f>
        <v/>
      </c>
      <c r="AA140" s="6" t="inlineStr">
        <is>
          <t>^TeslaWeapon</t>
        </is>
      </c>
    </row>
    <row r="141">
      <c r="B141" s="6" t="inlineStr">
        <is>
          <t xml:space="preserve">  ↳ RA2PortaTesla3</t>
        </is>
      </c>
      <c r="C141" s="6" t="inlineStr">
        <is>
          <t>Armament@GARRISONED3</t>
        </is>
      </c>
      <c r="K141" s="5" t="n">
        <v>24000</v>
      </c>
      <c r="L141" s="5" t="n">
        <v>100</v>
      </c>
      <c r="M141" s="5" t="n">
        <v>1</v>
      </c>
      <c r="N141" s="5" t="n"/>
      <c r="O141" s="5" t="n">
        <v>6222</v>
      </c>
      <c r="P141" s="5" t="n">
        <v>1</v>
      </c>
      <c r="Q141">
        <f>L141+IF(M141&gt;1,N(N141)*(M141-1),0)</f>
        <v/>
      </c>
      <c r="R141">
        <f>IFERROR(K141*MAX(M141,1)/Q141*P141,0)</f>
        <v/>
      </c>
      <c r="AA141" s="6" t="inlineStr">
        <is>
          <t>^TeslaWeapon</t>
        </is>
      </c>
    </row>
    <row r="142">
      <c r="A142" t="inlineStr">
        <is>
          <t>shared</t>
        </is>
      </c>
      <c r="B142" t="inlineStr">
        <is>
          <t>ra2shkhero</t>
        </is>
      </c>
      <c r="C142" t="inlineStr">
        <is>
          <t>Tesla Commando</t>
        </is>
      </c>
      <c r="D142" t="inlineStr"/>
      <c r="E142" s="5" t="n">
        <v>45000</v>
      </c>
      <c r="F142" s="5" t="n">
        <v>38</v>
      </c>
      <c r="G142" t="inlineStr">
        <is>
          <t>Plate</t>
        </is>
      </c>
      <c r="H142" s="5" t="n">
        <v>1</v>
      </c>
      <c r="I142" s="5" t="n">
        <v>1</v>
      </c>
      <c r="J142" s="5" t="n">
        <v>1</v>
      </c>
      <c r="O142">
        <f>MAX(O143,O144,O145,O146,O150)</f>
        <v/>
      </c>
      <c r="R142">
        <f>R143+R144+R145+R146+R150</f>
        <v/>
      </c>
      <c r="S142">
        <f>(E142/100000+F142/100+(O142/1000)*J142/5+R142/200)*200*I142*H142</f>
        <v/>
      </c>
      <c r="T142">
        <f>((E142*F142/25000)+((O142/1000)*J142*R142/2.5))*I142*H142</f>
        <v/>
      </c>
      <c r="U142">
        <f>(E142*F142*(O142/1000)*J142*R142*I142*H142)/12500000</f>
        <v/>
      </c>
      <c r="V142">
        <f>(S142+T142+U142)/3</f>
        <v/>
      </c>
      <c r="W142" s="5" t="n">
        <v>1000</v>
      </c>
      <c r="X142">
        <f>IFERROR(V142-W142,"")</f>
        <v/>
      </c>
      <c r="Y142">
        <f>IFERROR(ABS(X142)/MAX(W142,1),"")</f>
        <v/>
      </c>
      <c r="Z142">
        <f>IFERROR((W142-(((E142/100000+F142/100+R142/200)*200*I142*H142)+((E142*F142/25000)*I142*H142))/3)/(((J142/5)*200*I142*H142)+((J142*R142/2.5)*I142*H142)+((E142*F142*J142*R142*I142*H142)/12500000))/3*1000,"")</f>
        <v/>
      </c>
    </row>
    <row r="143">
      <c r="B143" s="6" t="inlineStr">
        <is>
          <t xml:space="preserve">  ↳ RA2PortaTesla</t>
        </is>
      </c>
      <c r="C143" s="6" t="inlineStr">
        <is>
          <t>Armament@PRIMARY</t>
        </is>
      </c>
      <c r="K143" s="5" t="n">
        <v>24000</v>
      </c>
      <c r="L143" s="5" t="n">
        <v>100</v>
      </c>
      <c r="M143" s="5" t="n">
        <v>1</v>
      </c>
      <c r="N143" s="5" t="n"/>
      <c r="O143" s="5" t="n">
        <v>5222</v>
      </c>
      <c r="P143" s="5" t="n">
        <v>1</v>
      </c>
      <c r="Q143">
        <f>L143+IF(M143&gt;1,N(N143)*(M143-1),0)</f>
        <v/>
      </c>
      <c r="R143">
        <f>IFERROR(K143*MAX(M143,1)/Q143*P143,0)</f>
        <v/>
      </c>
      <c r="AA143" s="6" t="inlineStr">
        <is>
          <t>^TeslaWeapon</t>
        </is>
      </c>
    </row>
    <row r="144">
      <c r="B144" s="6" t="inlineStr">
        <is>
          <t xml:space="preserve">  ↳ RA2PortaTesla2</t>
        </is>
      </c>
      <c r="C144" s="6" t="inlineStr">
        <is>
          <t>Armament@PRIMARY2</t>
        </is>
      </c>
      <c r="K144" s="5" t="n">
        <v>24000</v>
      </c>
      <c r="L144" s="5" t="n">
        <v>100</v>
      </c>
      <c r="M144" s="5" t="n">
        <v>1</v>
      </c>
      <c r="N144" s="5" t="n"/>
      <c r="O144" s="5" t="n">
        <v>5777</v>
      </c>
      <c r="P144" s="5" t="n">
        <v>1</v>
      </c>
      <c r="Q144">
        <f>L144+IF(M144&gt;1,N(N144)*(M144-1),0)</f>
        <v/>
      </c>
      <c r="R144">
        <f>IFERROR(K144*MAX(M144,1)/Q144*P144,0)</f>
        <v/>
      </c>
      <c r="AA144" s="6" t="inlineStr">
        <is>
          <t>^TeslaWeapon</t>
        </is>
      </c>
    </row>
    <row r="145">
      <c r="B145" s="6" t="inlineStr">
        <is>
          <t xml:space="preserve">  ↳ RA2PortaTesla3</t>
        </is>
      </c>
      <c r="C145" s="6" t="inlineStr">
        <is>
          <t>Armament@PRIMARY3</t>
        </is>
      </c>
      <c r="K145" s="5" t="n">
        <v>24000</v>
      </c>
      <c r="L145" s="5" t="n">
        <v>100</v>
      </c>
      <c r="M145" s="5" t="n">
        <v>1</v>
      </c>
      <c r="N145" s="5" t="n"/>
      <c r="O145" s="5" t="n">
        <v>6222</v>
      </c>
      <c r="P145" s="5" t="n">
        <v>1</v>
      </c>
      <c r="Q145">
        <f>L145+IF(M145&gt;1,N(N145)*(M145-1),0)</f>
        <v/>
      </c>
      <c r="R145">
        <f>IFERROR(K145*MAX(M145,1)/Q145*P145,0)</f>
        <v/>
      </c>
      <c r="AA145" s="6" t="inlineStr">
        <is>
          <t>^TeslaWeapon</t>
        </is>
      </c>
    </row>
    <row r="146">
      <c r="B146" s="6" t="inlineStr">
        <is>
          <t xml:space="preserve">  ↳ RA2TeslaCoilCharge</t>
        </is>
      </c>
      <c r="C146" s="6" t="inlineStr">
        <is>
          <t>Armament@TeslaCoilCharge</t>
        </is>
      </c>
      <c r="K146" s="5" t="n">
        <v>-1</v>
      </c>
      <c r="L146" s="5" t="n">
        <v>25</v>
      </c>
      <c r="M146" s="5" t="n">
        <v>1</v>
      </c>
      <c r="N146" s="5" t="n"/>
      <c r="O146" s="5" t="n">
        <v>3333</v>
      </c>
      <c r="P146" s="5" t="n">
        <v>1</v>
      </c>
      <c r="Q146">
        <f>L146+IF(M146&gt;1,N(N146)*(M146-1),0)</f>
        <v/>
      </c>
      <c r="R146">
        <f>IFERROR(K146*MAX(M146,1)/Q146*P146,0)</f>
        <v/>
      </c>
      <c r="AA146" s="6" t="inlineStr"/>
    </row>
    <row r="147">
      <c r="B147" s="6" t="inlineStr">
        <is>
          <t xml:space="preserve">  ↳ RA2PortaTesla</t>
        </is>
      </c>
      <c r="C147" s="6" t="inlineStr">
        <is>
          <t>Armament@GARRISONED</t>
        </is>
      </c>
      <c r="K147" s="5" t="n">
        <v>24000</v>
      </c>
      <c r="L147" s="5" t="n">
        <v>100</v>
      </c>
      <c r="M147" s="5" t="n">
        <v>1</v>
      </c>
      <c r="N147" s="5" t="n"/>
      <c r="O147" s="5" t="n">
        <v>5222</v>
      </c>
      <c r="P147" s="5" t="n">
        <v>1</v>
      </c>
      <c r="Q147">
        <f>L147+IF(M147&gt;1,N(N147)*(M147-1),0)</f>
        <v/>
      </c>
      <c r="R147">
        <f>IFERROR(K147*MAX(M147,1)/Q147*P147,0)</f>
        <v/>
      </c>
      <c r="AA147" s="6" t="inlineStr">
        <is>
          <t>^TeslaWeapon</t>
        </is>
      </c>
    </row>
    <row r="148">
      <c r="B148" s="6" t="inlineStr">
        <is>
          <t xml:space="preserve">  ↳ RA2PortaTesla2</t>
        </is>
      </c>
      <c r="C148" s="6" t="inlineStr">
        <is>
          <t>Armament@GARRISONED2</t>
        </is>
      </c>
      <c r="K148" s="5" t="n">
        <v>24000</v>
      </c>
      <c r="L148" s="5" t="n">
        <v>100</v>
      </c>
      <c r="M148" s="5" t="n">
        <v>1</v>
      </c>
      <c r="N148" s="5" t="n"/>
      <c r="O148" s="5" t="n">
        <v>5777</v>
      </c>
      <c r="P148" s="5" t="n">
        <v>1</v>
      </c>
      <c r="Q148">
        <f>L148+IF(M148&gt;1,N(N148)*(M148-1),0)</f>
        <v/>
      </c>
      <c r="R148">
        <f>IFERROR(K148*MAX(M148,1)/Q148*P148,0)</f>
        <v/>
      </c>
      <c r="AA148" s="6" t="inlineStr">
        <is>
          <t>^TeslaWeapon</t>
        </is>
      </c>
    </row>
    <row r="149">
      <c r="B149" s="6" t="inlineStr">
        <is>
          <t xml:space="preserve">  ↳ RA2PortaTesla3</t>
        </is>
      </c>
      <c r="C149" s="6" t="inlineStr">
        <is>
          <t>Armament@GARRISONED3</t>
        </is>
      </c>
      <c r="K149" s="5" t="n">
        <v>24000</v>
      </c>
      <c r="L149" s="5" t="n">
        <v>100</v>
      </c>
      <c r="M149" s="5" t="n">
        <v>1</v>
      </c>
      <c r="N149" s="5" t="n"/>
      <c r="O149" s="5" t="n">
        <v>6222</v>
      </c>
      <c r="P149" s="5" t="n">
        <v>1</v>
      </c>
      <c r="Q149">
        <f>L149+IF(M149&gt;1,N(N149)*(M149-1),0)</f>
        <v/>
      </c>
      <c r="R149">
        <f>IFERROR(K149*MAX(M149,1)/Q149*P149,0)</f>
        <v/>
      </c>
      <c r="AA149" s="6" t="inlineStr">
        <is>
          <t>^TeslaWeapon</t>
        </is>
      </c>
    </row>
    <row r="150">
      <c r="B150" s="6" t="inlineStr">
        <is>
          <t xml:space="preserve">  ↳ GenericC4</t>
        </is>
      </c>
      <c r="C150" s="6" t="inlineStr">
        <is>
          <t>Armament@c4building</t>
        </is>
      </c>
      <c r="K150" s="5" t="n"/>
      <c r="L150" s="5" t="n">
        <v>20</v>
      </c>
      <c r="M150" s="5" t="n">
        <v>1</v>
      </c>
      <c r="N150" s="5" t="n"/>
      <c r="O150" s="5" t="n">
        <v>2000</v>
      </c>
      <c r="P150" s="5" t="n">
        <v>1</v>
      </c>
      <c r="Q150">
        <f>L150+IF(M150&gt;1,N(N150)*(M150-1),0)</f>
        <v/>
      </c>
      <c r="R150">
        <f>IFERROR(K150*MAX(M150,1)/Q150*P150,0)</f>
        <v/>
      </c>
      <c r="AA150" s="6" t="inlineStr"/>
    </row>
    <row r="151">
      <c r="A151" t="inlineStr">
        <is>
          <t>shared</t>
        </is>
      </c>
      <c r="B151" t="inlineStr">
        <is>
          <t>ra2sidewind</t>
        </is>
      </c>
      <c r="C151" t="inlineStr">
        <is>
          <t>Sidewinder</t>
        </is>
      </c>
      <c r="D151" t="inlineStr"/>
      <c r="E151" s="5" t="n">
        <v>15000</v>
      </c>
      <c r="F151" s="5" t="n">
        <v>45</v>
      </c>
      <c r="G151" t="inlineStr">
        <is>
          <t>Flak</t>
        </is>
      </c>
      <c r="H151" s="5" t="n">
        <v>1</v>
      </c>
      <c r="I151" s="5" t="n">
        <v>1</v>
      </c>
      <c r="J151" s="5" t="n">
        <v>1</v>
      </c>
      <c r="O151">
        <f>MAX(O152,O154)</f>
        <v/>
      </c>
      <c r="R151">
        <f>R152+R154</f>
        <v/>
      </c>
      <c r="S151">
        <f>(E151/100000+F151/100+(O151/1000)*J151/5+R151/200)*200*I151*H151</f>
        <v/>
      </c>
      <c r="T151">
        <f>((E151*F151/25000)+((O151/1000)*J151*R151/2.5))*I151*H151</f>
        <v/>
      </c>
      <c r="U151">
        <f>(E151*F151*(O151/1000)*J151*R151*I151*H151)/12500000</f>
        <v/>
      </c>
      <c r="V151">
        <f>(S151+T151+U151)/3</f>
        <v/>
      </c>
      <c r="W151" s="5" t="n">
        <v>300</v>
      </c>
      <c r="X151">
        <f>IFERROR(V151-W151,"")</f>
        <v/>
      </c>
      <c r="Y151">
        <f>IFERROR(ABS(X151)/MAX(W151,1),"")</f>
        <v/>
      </c>
      <c r="Z151">
        <f>IFERROR((W151-(((E151/100000+F151/100+R151/200)*200*I151*H151)+((E151*F151/25000)*I151*H151))/3)/(((J151/5)*200*I151*H151)+((J151*R151/2.5)*I151*H151)+((E151*F151*J151*R151*I151*H151)/12500000))/3*1000,"")</f>
        <v/>
      </c>
    </row>
    <row r="152">
      <c r="B152" s="6" t="inlineStr">
        <is>
          <t xml:space="preserve">  ↳ RA2GIRocketsG</t>
        </is>
      </c>
      <c r="C152" s="6" t="inlineStr">
        <is>
          <t>Armament@PRIMARY</t>
        </is>
      </c>
      <c r="K152" s="5" t="n">
        <v>24000</v>
      </c>
      <c r="L152" s="5" t="n">
        <v>45</v>
      </c>
      <c r="M152" s="5" t="n">
        <v>1</v>
      </c>
      <c r="N152" s="5" t="n"/>
      <c r="O152" s="5" t="n">
        <v>6567</v>
      </c>
      <c r="P152" s="5" t="n">
        <v>1</v>
      </c>
      <c r="Q152">
        <f>L152+IF(M152&gt;1,N(N152)*(M152-1),0)</f>
        <v/>
      </c>
      <c r="R152">
        <f>IFERROR(K152*MAX(M152,1)/Q152*P152,0)</f>
        <v/>
      </c>
      <c r="AA152" s="6" t="inlineStr">
        <is>
          <t>^RA2LightMissile</t>
        </is>
      </c>
    </row>
    <row r="153">
      <c r="B153" s="6" t="inlineStr">
        <is>
          <t xml:space="preserve">  ↳ RA2GIRocketsG</t>
        </is>
      </c>
      <c r="C153" s="6" t="inlineStr">
        <is>
          <t>Armament@GARRISONED</t>
        </is>
      </c>
      <c r="K153" s="5" t="n">
        <v>24000</v>
      </c>
      <c r="L153" s="5" t="n">
        <v>45</v>
      </c>
      <c r="M153" s="5" t="n">
        <v>1</v>
      </c>
      <c r="N153" s="5" t="n"/>
      <c r="O153" s="5" t="n">
        <v>6567</v>
      </c>
      <c r="P153" s="5" t="n">
        <v>1</v>
      </c>
      <c r="Q153">
        <f>L153+IF(M153&gt;1,N(N153)*(M153-1),0)</f>
        <v/>
      </c>
      <c r="R153">
        <f>IFERROR(K153*MAX(M153,1)/Q153*P153,0)</f>
        <v/>
      </c>
      <c r="AA153" s="6" t="inlineStr">
        <is>
          <t>^RA2LightMissile</t>
        </is>
      </c>
    </row>
    <row r="154">
      <c r="B154" s="6" t="inlineStr">
        <is>
          <t xml:space="preserve">  ↳ RA2GIRocketsG_elite</t>
        </is>
      </c>
      <c r="C154" s="6" t="inlineStr">
        <is>
          <t>Armament@PRIMARYE</t>
        </is>
      </c>
      <c r="K154" s="5" t="n">
        <v>48000</v>
      </c>
      <c r="L154" s="5" t="n">
        <v>45</v>
      </c>
      <c r="M154" s="5" t="n">
        <v>1</v>
      </c>
      <c r="N154" s="5" t="n"/>
      <c r="O154" s="5" t="n">
        <v>7567</v>
      </c>
      <c r="P154" s="5" t="n">
        <v>1</v>
      </c>
      <c r="Q154">
        <f>L154+IF(M154&gt;1,N(N154)*(M154-1),0)</f>
        <v/>
      </c>
      <c r="R154">
        <f>IFERROR(K154*MAX(M154,1)/Q154*P154,0)</f>
        <v/>
      </c>
      <c r="AA154" s="6" t="inlineStr">
        <is>
          <t>^RA2LightMissile</t>
        </is>
      </c>
    </row>
    <row r="155">
      <c r="B155" s="6" t="inlineStr">
        <is>
          <t xml:space="preserve">  ↳ RA2GIRocketsG_elite</t>
        </is>
      </c>
      <c r="C155" s="6" t="inlineStr">
        <is>
          <t>Armament@GARRISONEDE</t>
        </is>
      </c>
      <c r="K155" s="5" t="n">
        <v>48000</v>
      </c>
      <c r="L155" s="5" t="n">
        <v>45</v>
      </c>
      <c r="M155" s="5" t="n">
        <v>1</v>
      </c>
      <c r="N155" s="5" t="n"/>
      <c r="O155" s="5" t="n">
        <v>7567</v>
      </c>
      <c r="P155" s="5" t="n">
        <v>1</v>
      </c>
      <c r="Q155">
        <f>L155+IF(M155&gt;1,N(N155)*(M155-1),0)</f>
        <v/>
      </c>
      <c r="R155">
        <f>IFERROR(K155*MAX(M155,1)/Q155*P155,0)</f>
        <v/>
      </c>
      <c r="AA155" s="6" t="inlineStr">
        <is>
          <t>^RA2LightMissile</t>
        </is>
      </c>
    </row>
    <row r="156">
      <c r="A156" t="inlineStr">
        <is>
          <t>shared</t>
        </is>
      </c>
      <c r="B156" t="inlineStr">
        <is>
          <t>ra2sqd</t>
        </is>
      </c>
      <c r="C156" t="inlineStr">
        <is>
          <t>actor_sqd.name</t>
        </is>
      </c>
      <c r="D156" t="inlineStr"/>
      <c r="E156" s="5" t="n">
        <v>30000</v>
      </c>
      <c r="F156" s="5" t="n">
        <v>120</v>
      </c>
      <c r="G156" t="inlineStr">
        <is>
          <t>Medium</t>
        </is>
      </c>
      <c r="H156" s="5" t="n">
        <v>1</v>
      </c>
      <c r="I156" s="5" t="n">
        <v>1</v>
      </c>
      <c r="J156" s="5" t="n">
        <v>1</v>
      </c>
      <c r="O156">
        <f>MAX(O157,O158)</f>
        <v/>
      </c>
      <c r="R156">
        <f>R157+R158</f>
        <v/>
      </c>
      <c r="S156">
        <f>(E156/100000+F156/100+(O156/1000)*J156/5+R156/200)*200*I156*H156</f>
        <v/>
      </c>
      <c r="T156">
        <f>((E156*F156/25000)+((O156/1000)*J156*R156/2.5))*I156*H156</f>
        <v/>
      </c>
      <c r="U156">
        <f>(E156*F156*(O156/1000)*J156*R156*I156*H156)/12500000</f>
        <v/>
      </c>
      <c r="V156">
        <f>(S156+T156+U156)/3</f>
        <v/>
      </c>
      <c r="W156" s="5" t="n">
        <v>1000</v>
      </c>
      <c r="X156">
        <f>IFERROR(V156-W156,"")</f>
        <v/>
      </c>
      <c r="Y156">
        <f>IFERROR(ABS(X156)/MAX(W156,1),"")</f>
        <v/>
      </c>
      <c r="Z156">
        <f>IFERROR((W156-(((E156/100000+F156/100+R156/200)*200*I156*H156)+((E156*F156/25000)*I156*H156))/3)/(((J156/5)*200*I156*H156)+((J156*R156/2.5)*I156*H156)+((E156*F156*J156*R156*I156*H156)/12500000))/3*1000,"")</f>
        <v/>
      </c>
    </row>
    <row r="157">
      <c r="B157" s="6" t="inlineStr">
        <is>
          <t xml:space="preserve">  ↳ SquidPunch</t>
        </is>
      </c>
      <c r="C157" s="6" t="inlineStr">
        <is>
          <t>Armament@PRIMARY</t>
        </is>
      </c>
      <c r="K157" s="5" t="n">
        <v>10000</v>
      </c>
      <c r="L157" s="5" t="n">
        <v>32</v>
      </c>
      <c r="M157" s="5" t="n">
        <v>1</v>
      </c>
      <c r="N157" s="5" t="n"/>
      <c r="O157" s="5" t="n">
        <v>1880</v>
      </c>
      <c r="P157" s="5" t="n">
        <v>1</v>
      </c>
      <c r="Q157">
        <f>L157+IF(M157&gt;1,N(N157)*(M157-1),0)</f>
        <v/>
      </c>
      <c r="R157">
        <f>IFERROR(K157*MAX(M157,1)/Q157*P157,0)</f>
        <v/>
      </c>
      <c r="AA157" s="6" t="inlineStr"/>
    </row>
    <row r="158">
      <c r="B158" s="6" t="inlineStr">
        <is>
          <t xml:space="preserve">  ↳ SquidGrab</t>
        </is>
      </c>
      <c r="C158" s="6" t="inlineStr">
        <is>
          <t>Armament@SECONDARY</t>
        </is>
      </c>
      <c r="K158" s="5" t="n"/>
      <c r="L158" s="5" t="n">
        <v>32</v>
      </c>
      <c r="M158" s="5" t="n">
        <v>1</v>
      </c>
      <c r="N158" s="5" t="n"/>
      <c r="O158" s="5" t="n">
        <v>1880</v>
      </c>
      <c r="P158" s="5" t="n">
        <v>1</v>
      </c>
      <c r="Q158">
        <f>L158+IF(M158&gt;1,N(N158)*(M158-1),0)</f>
        <v/>
      </c>
      <c r="R158">
        <f>IFERROR(K158*MAX(M158,1)/Q158*P158,0)</f>
        <v/>
      </c>
      <c r="AA158" s="6" t="inlineStr"/>
    </row>
    <row r="159">
      <c r="A159" t="inlineStr">
        <is>
          <t>shared</t>
        </is>
      </c>
      <c r="B159" t="inlineStr">
        <is>
          <t>ra2sub</t>
        </is>
      </c>
      <c r="C159" t="inlineStr">
        <is>
          <t>actor_ra2sub.name</t>
        </is>
      </c>
      <c r="D159" t="inlineStr"/>
      <c r="E159" s="5" t="n">
        <v>120000</v>
      </c>
      <c r="F159" s="5" t="n">
        <v>90</v>
      </c>
      <c r="G159" t="inlineStr">
        <is>
          <t>Heavy</t>
        </is>
      </c>
      <c r="H159" s="5" t="n">
        <v>1</v>
      </c>
      <c r="I159" s="5" t="n">
        <v>1</v>
      </c>
      <c r="J159" s="5" t="n">
        <v>1</v>
      </c>
      <c r="O159">
        <f>MAX(O160,O161)</f>
        <v/>
      </c>
      <c r="R159">
        <f>R160+R161</f>
        <v/>
      </c>
      <c r="S159">
        <f>(E159/100000+F159/100+(O159/1000)*J159/5+R159/200)*200*I159*H159</f>
        <v/>
      </c>
      <c r="T159">
        <f>((E159*F159/25000)+((O159/1000)*J159*R159/2.5))*I159*H159</f>
        <v/>
      </c>
      <c r="U159">
        <f>(E159*F159*(O159/1000)*J159*R159*I159*H159)/12500000</f>
        <v/>
      </c>
      <c r="V159">
        <f>(S159+T159+U159)/3</f>
        <v/>
      </c>
      <c r="W159" s="5" t="n">
        <v>1500</v>
      </c>
      <c r="X159">
        <f>IFERROR(V159-W159,"")</f>
        <v/>
      </c>
      <c r="Y159">
        <f>IFERROR(ABS(X159)/MAX(W159,1),"")</f>
        <v/>
      </c>
      <c r="Z159">
        <f>IFERROR((W159-(((E159/100000+F159/100+R159/200)*200*I159*H159)+((E159*F159/25000)*I159*H159))/3)/(((J159/5)*200*I159*H159)+((J159*R159/2.5)*I159*H159)+((E159*F159*J159*R159*I159*H159)/12500000))/3*1000,"")</f>
        <v/>
      </c>
    </row>
    <row r="160">
      <c r="B160" s="6" t="inlineStr">
        <is>
          <t xml:space="preserve">  ↳ RA2TorpTube</t>
        </is>
      </c>
      <c r="C160" s="6" t="inlineStr">
        <is>
          <t>Armament@PRIMARY</t>
        </is>
      </c>
      <c r="K160" s="5" t="n">
        <v>18000</v>
      </c>
      <c r="L160" s="5" t="n">
        <v>90</v>
      </c>
      <c r="M160" s="5" t="n">
        <v>1</v>
      </c>
      <c r="N160" s="5" t="n"/>
      <c r="O160" s="5" t="n">
        <v>9000</v>
      </c>
      <c r="P160" s="5" t="n">
        <v>1</v>
      </c>
      <c r="Q160">
        <f>L160+IF(M160&gt;1,N(N160)*(M160-1),0)</f>
        <v/>
      </c>
      <c r="R160">
        <f>IFERROR(K160*MAX(M160,1)/Q160*P160,0)</f>
        <v/>
      </c>
      <c r="AA160" s="6" t="inlineStr">
        <is>
          <t>^RA2Grenade, ^RA2HeavyMissile</t>
        </is>
      </c>
    </row>
    <row r="161">
      <c r="B161" s="6" t="inlineStr">
        <is>
          <t xml:space="preserve">  ↳ RA2TorpTube_elite</t>
        </is>
      </c>
      <c r="C161" s="6" t="inlineStr">
        <is>
          <t>Armament@ELITE</t>
        </is>
      </c>
      <c r="K161" s="5" t="n">
        <v>18000</v>
      </c>
      <c r="L161" s="5" t="n">
        <v>90</v>
      </c>
      <c r="M161" s="5" t="n">
        <v>2</v>
      </c>
      <c r="N161" s="5" t="n">
        <v>3</v>
      </c>
      <c r="O161" s="5" t="n">
        <v>10000</v>
      </c>
      <c r="P161" s="5" t="n">
        <v>1</v>
      </c>
      <c r="Q161">
        <f>L161+IF(M161&gt;1,N(N161)*(M161-1),0)</f>
        <v/>
      </c>
      <c r="R161">
        <f>IFERROR(K161*MAX(M161,1)/Q161*P161,0)</f>
        <v/>
      </c>
      <c r="AA161" s="6" t="inlineStr">
        <is>
          <t>^RA2Grenade, ^RA2HeavyMissile</t>
        </is>
      </c>
    </row>
    <row r="162">
      <c r="A162" t="inlineStr">
        <is>
          <t>shared</t>
        </is>
      </c>
      <c r="B162" t="inlineStr">
        <is>
          <t>upra2aegismissiles</t>
        </is>
      </c>
      <c r="C162" t="inlineStr">
        <is>
          <t>Aegis Cruiser Ground Missiles</t>
        </is>
      </c>
      <c r="D162" t="inlineStr"/>
      <c r="E162" s="5" t="n"/>
      <c r="F162" s="5" t="n"/>
      <c r="H162" s="5" t="n">
        <v>1</v>
      </c>
      <c r="I162" s="5" t="n">
        <v>1</v>
      </c>
      <c r="J162" s="5" t="n">
        <v>1</v>
      </c>
      <c r="W162" s="5" t="n">
        <v>4000</v>
      </c>
    </row>
    <row r="163">
      <c r="A163" t="inlineStr">
        <is>
          <t>shared</t>
        </is>
      </c>
      <c r="B163" t="inlineStr">
        <is>
          <t>yrbpln</t>
        </is>
      </c>
      <c r="C163" t="inlineStr">
        <is>
          <t>MiG Bomber</t>
        </is>
      </c>
      <c r="D163" t="inlineStr"/>
      <c r="E163" s="5" t="n">
        <v>100000</v>
      </c>
      <c r="F163" s="5" t="n">
        <v>250</v>
      </c>
      <c r="G163" t="inlineStr">
        <is>
          <t>Bomber</t>
        </is>
      </c>
      <c r="H163" s="5" t="n">
        <v>1</v>
      </c>
      <c r="I163" s="5" t="n">
        <v>1</v>
      </c>
      <c r="J163" s="5" t="n">
        <v>1</v>
      </c>
      <c r="O163">
        <f>MAX(O164,O165,O166,O167)</f>
        <v/>
      </c>
      <c r="R163">
        <f>R164+R165+R166+R167</f>
        <v/>
      </c>
      <c r="S163">
        <f>(E163/100000+F163/100+(O163/1000)*J163/5+R163/200)*200*I163*H163</f>
        <v/>
      </c>
      <c r="T163">
        <f>((E163*F163/25000)+((O163/1000)*J163*R163/2.5))*I163*H163</f>
        <v/>
      </c>
      <c r="U163">
        <f>(E163*F163*(O163/1000)*J163*R163*I163*H163)/12500000</f>
        <v/>
      </c>
      <c r="V163">
        <f>(S163+T163+U163)/3</f>
        <v/>
      </c>
      <c r="W163" s="5" t="n">
        <v>5000</v>
      </c>
      <c r="X163">
        <f>IFERROR(V163-W163,"")</f>
        <v/>
      </c>
      <c r="Y163">
        <f>IFERROR(ABS(X163)/MAX(W163,1),"")</f>
        <v/>
      </c>
      <c r="Z163">
        <f>IFERROR((W163-(((E163/100000+F163/100+R163/200)*200*I163*H163)+((E163*F163/25000)*I163*H163))/3)/(((J163/5)*200*I163*H163)+((J163*R163/2.5)*I163*H163)+((E163*F163*J163*R163*I163*H163)/12500000))/3*1000,"")</f>
        <v/>
      </c>
    </row>
    <row r="164">
      <c r="B164" s="6" t="inlineStr">
        <is>
          <t xml:space="preserve">  ↳ MigMissiles</t>
        </is>
      </c>
      <c r="C164" s="6" t="inlineStr">
        <is>
          <t>Armament</t>
        </is>
      </c>
      <c r="K164" s="5" t="n">
        <v>8000</v>
      </c>
      <c r="L164" s="5" t="n">
        <v>50</v>
      </c>
      <c r="M164" s="5" t="n">
        <v>4</v>
      </c>
      <c r="N164" s="5" t="n">
        <v>2</v>
      </c>
      <c r="O164" s="5" t="n">
        <v>7600</v>
      </c>
      <c r="P164" s="5" t="n">
        <v>1</v>
      </c>
      <c r="Q164">
        <f>L164+IF(M164&gt;1,N(N164)*(M164-1),0)</f>
        <v/>
      </c>
      <c r="R164">
        <f>IFERROR(K164*MAX(M164,1)/Q164*P164,0)</f>
        <v/>
      </c>
      <c r="AA164" s="6" t="inlineStr">
        <is>
          <t>^HeavyBomb, ^HeavyAAWeapon, ^FlakWeapon, ^RA2MediumMissile</t>
        </is>
      </c>
    </row>
    <row r="165">
      <c r="B165" s="6" t="inlineStr">
        <is>
          <t xml:space="preserve">  ↳ MigMissiles_rad</t>
        </is>
      </c>
      <c r="C165" s="6" t="inlineStr">
        <is>
          <t>Armament@rad</t>
        </is>
      </c>
      <c r="K165" s="5" t="n">
        <v>8000</v>
      </c>
      <c r="L165" s="5" t="n">
        <v>50</v>
      </c>
      <c r="M165" s="5" t="n">
        <v>4</v>
      </c>
      <c r="N165" s="5" t="n">
        <v>2</v>
      </c>
      <c r="O165" s="5" t="n">
        <v>7600</v>
      </c>
      <c r="P165" s="5" t="n">
        <v>1</v>
      </c>
      <c r="Q165">
        <f>L165+IF(M165&gt;1,N(N165)*(M165-1),0)</f>
        <v/>
      </c>
      <c r="R165">
        <f>IFERROR(K165*MAX(M165,1)/Q165*P165,0)</f>
        <v/>
      </c>
      <c r="AA165" s="6" t="inlineStr">
        <is>
          <t>^MediumChemicalWeapon, ^HeavyChemicalWeapon, ^HeavyBomb, ^HeavyAAWeapon, ^FlakWeapon, ^RA2MediumMissile, ^RA2RadShell</t>
        </is>
      </c>
    </row>
    <row r="166">
      <c r="B166" s="6" t="inlineStr">
        <is>
          <t xml:space="preserve">  ↳ MigMissiles_fire</t>
        </is>
      </c>
      <c r="C166" s="6" t="inlineStr">
        <is>
          <t>Armament@fire</t>
        </is>
      </c>
      <c r="K166" s="5" t="n">
        <v>8000</v>
      </c>
      <c r="L166" s="5" t="n">
        <v>50</v>
      </c>
      <c r="M166" s="5" t="n">
        <v>4</v>
      </c>
      <c r="N166" s="5" t="n">
        <v>2</v>
      </c>
      <c r="O166" s="5" t="n">
        <v>7600</v>
      </c>
      <c r="P166" s="5" t="n">
        <v>1</v>
      </c>
      <c r="Q166">
        <f>L166+IF(M166&gt;1,N(N166)*(M166-1),0)</f>
        <v/>
      </c>
      <c r="R166">
        <f>IFERROR(K166*MAX(M166,1)/Q166*P166,0)</f>
        <v/>
      </c>
      <c r="AA166" s="6" t="inlineStr">
        <is>
          <t>^HeavyBomb, ^HeavyAAWeapon, ^FlakWeapon, ^RA2MediumMissile</t>
        </is>
      </c>
    </row>
    <row r="167">
      <c r="B167" s="6" t="inlineStr">
        <is>
          <t xml:space="preserve">  ↳ MigMissiles_tesla</t>
        </is>
      </c>
      <c r="C167" s="6" t="inlineStr">
        <is>
          <t>Armament@tesla</t>
        </is>
      </c>
      <c r="K167" s="5" t="n">
        <v>8000</v>
      </c>
      <c r="L167" s="5" t="n">
        <v>50</v>
      </c>
      <c r="M167" s="5" t="n">
        <v>4</v>
      </c>
      <c r="N167" s="5" t="n">
        <v>2</v>
      </c>
      <c r="O167" s="5" t="n">
        <v>7600</v>
      </c>
      <c r="P167" s="5" t="n">
        <v>1</v>
      </c>
      <c r="Q167">
        <f>L167+IF(M167&gt;1,N(N167)*(M167-1),0)</f>
        <v/>
      </c>
      <c r="R167">
        <f>IFERROR(K167*MAX(M167,1)/Q167*P167,0)</f>
        <v/>
      </c>
      <c r="AA167" s="6" t="inlineStr">
        <is>
          <t>^HeavyBomb, ^HeavyAAWeapon, ^FlakWeapon, ^RA2MediumMissile</t>
        </is>
      </c>
    </row>
    <row r="168">
      <c r="A168" t="inlineStr">
        <is>
          <t>shared</t>
        </is>
      </c>
      <c r="B168" t="inlineStr">
        <is>
          <t>yrhovr</t>
        </is>
      </c>
      <c r="C168" t="inlineStr">
        <is>
          <t>Hover Transport</t>
        </is>
      </c>
      <c r="D168" t="inlineStr"/>
      <c r="E168" s="5" t="n">
        <v>150000</v>
      </c>
      <c r="F168" s="5" t="n">
        <v>75</v>
      </c>
      <c r="G168" t="inlineStr">
        <is>
          <t>Heavy</t>
        </is>
      </c>
      <c r="H168" s="5" t="n">
        <v>1</v>
      </c>
      <c r="I168" s="5" t="n">
        <v>1</v>
      </c>
      <c r="J168" s="5" t="n">
        <v>1</v>
      </c>
      <c r="W168" s="5" t="n">
        <v>750</v>
      </c>
    </row>
    <row r="169">
      <c r="A169" t="inlineStr">
        <is>
          <t>shared</t>
        </is>
      </c>
      <c r="B169" t="inlineStr">
        <is>
          <t>yrnacnst.infiltrated</t>
        </is>
      </c>
      <c r="C169" t="inlineStr">
        <is>
          <t>Stolen Yuri Buildings Plans</t>
        </is>
      </c>
      <c r="D169" t="inlineStr"/>
      <c r="E169" s="5" t="n"/>
      <c r="F169" s="5" t="n"/>
      <c r="H169" s="5" t="n">
        <v>1</v>
      </c>
      <c r="I169" s="5" t="n">
        <v>1</v>
      </c>
      <c r="J169" s="5" t="n">
        <v>1</v>
      </c>
      <c r="W169" s="5" t="n"/>
    </row>
    <row r="170">
      <c r="A170" t="inlineStr">
        <is>
          <t>shared</t>
        </is>
      </c>
      <c r="B170" t="inlineStr">
        <is>
          <t>yrrobo</t>
        </is>
      </c>
      <c r="C170" t="inlineStr">
        <is>
          <t>Robot Tank</t>
        </is>
      </c>
      <c r="D170" t="inlineStr"/>
      <c r="E170" s="5" t="n">
        <v>50000</v>
      </c>
      <c r="F170" s="5" t="n">
        <v>130</v>
      </c>
      <c r="G170" t="inlineStr">
        <is>
          <t>Medium</t>
        </is>
      </c>
      <c r="H170" s="5" t="n">
        <v>1</v>
      </c>
      <c r="I170" s="5" t="n">
        <v>1</v>
      </c>
      <c r="J170" s="5" t="n">
        <v>1</v>
      </c>
      <c r="O170">
        <f>MAX(O171,O172)</f>
        <v/>
      </c>
      <c r="R170">
        <f>R171+R172</f>
        <v/>
      </c>
      <c r="S170">
        <f>(E170/100000+F170/100+(O170/1000)*J170/5+R170/200)*200*I170*H170</f>
        <v/>
      </c>
      <c r="T170">
        <f>((E170*F170/25000)+((O170/1000)*J170*R170/2.5))*I170*H170</f>
        <v/>
      </c>
      <c r="U170">
        <f>(E170*F170*(O170/1000)*J170*R170*I170*H170)/12500000</f>
        <v/>
      </c>
      <c r="V170">
        <f>(S170+T170+U170)/3</f>
        <v/>
      </c>
      <c r="W170" s="5" t="n">
        <v>1200</v>
      </c>
      <c r="X170">
        <f>IFERROR(V170-W170,"")</f>
        <v/>
      </c>
      <c r="Y170">
        <f>IFERROR(ABS(X170)/MAX(W170,1),"")</f>
        <v/>
      </c>
      <c r="Z170">
        <f>IFERROR((W170-(((E170/100000+F170/100+R170/200)*200*I170*H170)+((E170*F170/25000)*I170*H170))/3)/(((J170/5)*200*I170*H170)+((J170*R170/2.5)*I170*H170)+((E170*F170*J170*R170*I170*H170)/12500000))/3*1000,"")</f>
        <v/>
      </c>
    </row>
    <row r="171">
      <c r="B171" s="6" t="inlineStr">
        <is>
          <t xml:space="preserve">  ↳ RA2Robotmm</t>
        </is>
      </c>
      <c r="C171" s="6" t="inlineStr">
        <is>
          <t>Armament</t>
        </is>
      </c>
      <c r="K171" s="5" t="n">
        <v>8000</v>
      </c>
      <c r="L171" s="5" t="n">
        <v>48</v>
      </c>
      <c r="M171" s="5" t="n">
        <v>1</v>
      </c>
      <c r="N171" s="5" t="n"/>
      <c r="O171" s="5" t="n">
        <v>5780</v>
      </c>
      <c r="P171" s="5" t="n">
        <v>1</v>
      </c>
      <c r="Q171">
        <f>L171+IF(M171&gt;1,N(N171)*(M171-1),0)</f>
        <v/>
      </c>
      <c r="R171">
        <f>IFERROR(K171*MAX(M171,1)/Q171*P171,0)</f>
        <v/>
      </c>
      <c r="AA171" s="6" t="inlineStr">
        <is>
          <t>^TeslaWeapon, ^LaserWeapon, ^RA2RailgunWeapon</t>
        </is>
      </c>
    </row>
    <row r="172">
      <c r="B172" s="6" t="inlineStr">
        <is>
          <t xml:space="preserve">  ↳ RA2Robotmm_elite</t>
        </is>
      </c>
      <c r="C172" s="6" t="inlineStr">
        <is>
          <t>Armament@elite</t>
        </is>
      </c>
      <c r="K172" s="5" t="n">
        <v>8000</v>
      </c>
      <c r="L172" s="5" t="n">
        <v>48</v>
      </c>
      <c r="M172" s="5" t="n">
        <v>1</v>
      </c>
      <c r="N172" s="5" t="n"/>
      <c r="O172" s="5" t="n">
        <v>6780</v>
      </c>
      <c r="P172" s="5" t="n">
        <v>1</v>
      </c>
      <c r="Q172">
        <f>L172+IF(M172&gt;1,N(N172)*(M172-1),0)</f>
        <v/>
      </c>
      <c r="R172">
        <f>IFERROR(K172*MAX(M172,1)/Q172*P172,0)</f>
        <v/>
      </c>
      <c r="AA172" s="6" t="inlineStr">
        <is>
          <t>^TeslaWeapon, ^LaserWeapon, ^RA2RailgunWeapon</t>
        </is>
      </c>
    </row>
    <row r="173">
      <c r="A173" t="inlineStr">
        <is>
          <t>shared</t>
        </is>
      </c>
      <c r="B173" t="inlineStr">
        <is>
          <t>yrsmin.empy</t>
        </is>
      </c>
      <c r="C173" t="inlineStr">
        <is>
          <t>Slave Miner</t>
        </is>
      </c>
      <c r="D173" t="inlineStr"/>
      <c r="E173" s="5" t="n">
        <v>200000</v>
      </c>
      <c r="F173" s="5" t="n">
        <v>50</v>
      </c>
      <c r="G173" t="inlineStr">
        <is>
          <t>Heavy</t>
        </is>
      </c>
      <c r="H173" s="5" t="n">
        <v>1</v>
      </c>
      <c r="I173" s="5" t="n">
        <v>1</v>
      </c>
      <c r="J173" s="5" t="n">
        <v>1</v>
      </c>
      <c r="O173">
        <f>MAX(O174)</f>
        <v/>
      </c>
      <c r="R173">
        <f>R174</f>
        <v/>
      </c>
      <c r="S173">
        <f>(E173/100000+F173/100+(O173/1000)*J173/5+R173/200)*200*I173*H173</f>
        <v/>
      </c>
      <c r="T173">
        <f>((E173*F173/25000)+((O173/1000)*J173*R173/2.5))*I173*H173</f>
        <v/>
      </c>
      <c r="U173">
        <f>(E173*F173*(O173/1000)*J173*R173*I173*H173)/12500000</f>
        <v/>
      </c>
      <c r="V173">
        <f>(S173+T173+U173)/3</f>
        <v/>
      </c>
      <c r="W173" s="5" t="n">
        <v>2000</v>
      </c>
      <c r="X173">
        <f>IFERROR(V173-W173,"")</f>
        <v/>
      </c>
      <c r="Y173">
        <f>IFERROR(ABS(X173)/MAX(W173,1),"")</f>
        <v/>
      </c>
      <c r="Z173">
        <f>IFERROR((W173-(((E173/100000+F173/100+R173/200)*200*I173*H173)+((E173*F173/25000)*I173*H173))/3)/(((J173/5)*200*I173*H173)+((J173*R173/2.5)*I173*H173)+((E173*F173*J173*R173*I173*H173)/12500000))/3*1000,"")</f>
        <v/>
      </c>
    </row>
    <row r="174">
      <c r="B174" s="6" t="inlineStr">
        <is>
          <t xml:space="preserve">  ↳ RA220mmrapid</t>
        </is>
      </c>
      <c r="C174" s="6" t="inlineStr">
        <is>
          <t>Armament@primary</t>
        </is>
      </c>
      <c r="K174" s="5" t="n">
        <v>4000</v>
      </c>
      <c r="L174" s="5" t="n">
        <v>15</v>
      </c>
      <c r="M174" s="5" t="n">
        <v>1</v>
      </c>
      <c r="N174" s="5" t="n"/>
      <c r="O174" s="5" t="n">
        <v>5000</v>
      </c>
      <c r="P174" s="5" t="n">
        <v>1</v>
      </c>
      <c r="Q174">
        <f>L174+IF(M174&gt;1,N(N174)*(M174-1),0)</f>
        <v/>
      </c>
      <c r="R174">
        <f>IFERROR(K174*MAX(M174,1)/Q174*P174,0)</f>
        <v/>
      </c>
      <c r="AA174" s="6" t="inlineStr">
        <is>
          <t>^RA2SmallArms, ^RA2Chaingun</t>
        </is>
      </c>
    </row>
    <row r="175">
      <c r="A175" t="inlineStr">
        <is>
          <t>shared</t>
        </is>
      </c>
      <c r="B175" t="inlineStr">
        <is>
          <t>yrspyp</t>
        </is>
      </c>
      <c r="C175" t="inlineStr">
        <is>
          <t>Spy Plane</t>
        </is>
      </c>
      <c r="D175" t="inlineStr"/>
      <c r="E175" s="5" t="n">
        <v>150000</v>
      </c>
      <c r="F175" s="5" t="n">
        <v>250</v>
      </c>
      <c r="G175" t="inlineStr">
        <is>
          <t>Bomber</t>
        </is>
      </c>
      <c r="H175" s="5" t="n">
        <v>1</v>
      </c>
      <c r="I175" s="5" t="n">
        <v>1</v>
      </c>
      <c r="J175" s="5" t="n">
        <v>1</v>
      </c>
      <c r="O175">
        <f>MAX(O176)</f>
        <v/>
      </c>
      <c r="R175">
        <f>R176</f>
        <v/>
      </c>
      <c r="S175">
        <f>(E175/100000+F175/100+(O175/1000)*J175/5+R175/200)*200*I175*H175</f>
        <v/>
      </c>
      <c r="T175">
        <f>((E175*F175/25000)+((O175/1000)*J175*R175/2.5))*I175*H175</f>
        <v/>
      </c>
      <c r="U175">
        <f>(E175*F175*(O175/1000)*J175*R175*I175*H175)/12500000</f>
        <v/>
      </c>
      <c r="V175">
        <f>(S175+T175+U175)/3</f>
        <v/>
      </c>
      <c r="W175" s="5" t="n">
        <v>5000</v>
      </c>
      <c r="X175">
        <f>IFERROR(V175-W175,"")</f>
        <v/>
      </c>
      <c r="Y175">
        <f>IFERROR(ABS(X175)/MAX(W175,1),"")</f>
        <v/>
      </c>
      <c r="Z175">
        <f>IFERROR((W175-(((E175/100000+F175/100+R175/200)*200*I175*H175)+((E175*F175/25000)*I175*H175))/3)/(((J175/5)*200*I175*H175)+((J175*R175/2.5)*I175*H175)+((E175*F175*J175*R175*I175*H175)/12500000))/3*1000,"")</f>
        <v/>
      </c>
    </row>
    <row r="176">
      <c r="B176" s="6" t="inlineStr">
        <is>
          <t xml:space="preserve">  ↳ RA2SpyCamera</t>
        </is>
      </c>
      <c r="C176" s="6" t="inlineStr">
        <is>
          <t>Armament</t>
        </is>
      </c>
      <c r="K176" s="5" t="n"/>
      <c r="L176" s="5" t="n">
        <v>25</v>
      </c>
      <c r="M176" s="5" t="n">
        <v>1</v>
      </c>
      <c r="N176" s="5" t="n"/>
      <c r="O176" s="5" t="n">
        <v>12288</v>
      </c>
      <c r="P176" s="5" t="n">
        <v>1</v>
      </c>
      <c r="Q176">
        <f>L176+IF(M176&gt;1,N(N176)*(M176-1),0)</f>
        <v/>
      </c>
      <c r="R176">
        <f>IFERROR(K176*MAX(M176,1)/Q176*P176,0)</f>
        <v/>
      </c>
      <c r="AA176" s="6" t="inlineStr"/>
    </row>
    <row r="177">
      <c r="A177" t="inlineStr">
        <is>
          <t>shared</t>
        </is>
      </c>
      <c r="B177" t="inlineStr">
        <is>
          <t>yrygyard</t>
        </is>
      </c>
      <c r="C177" t="inlineStr">
        <is>
          <t>Yuri Sub Pen</t>
        </is>
      </c>
      <c r="D177" t="inlineStr"/>
      <c r="E177" s="5" t="n">
        <v>600000</v>
      </c>
      <c r="F177" s="5" t="n"/>
      <c r="G177" t="inlineStr">
        <is>
          <t>Concrete</t>
        </is>
      </c>
      <c r="H177" s="5" t="n">
        <v>1</v>
      </c>
      <c r="I177" s="5" t="n">
        <v>1</v>
      </c>
      <c r="J177" s="5" t="n">
        <v>1</v>
      </c>
      <c r="W177" s="5" t="n">
        <v>3000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178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shared</t>
        </is>
      </c>
      <c r="B3" t="inlineStr">
        <is>
          <t>E6</t>
        </is>
      </c>
      <c r="C3" t="inlineStr">
        <is>
          <t>Engineer</t>
        </is>
      </c>
      <c r="D3" t="inlineStr"/>
      <c r="E3" s="5" t="n">
        <v>5000</v>
      </c>
      <c r="F3" s="5" t="n">
        <v>50</v>
      </c>
      <c r="G3" t="inlineStr">
        <is>
          <t>None</t>
        </is>
      </c>
      <c r="H3" s="5" t="n">
        <v>1</v>
      </c>
      <c r="I3" s="5" t="n">
        <v>1</v>
      </c>
      <c r="J3" s="5" t="n">
        <v>1</v>
      </c>
      <c r="O3">
        <f>MAX(O4,O5)</f>
        <v/>
      </c>
      <c r="R3">
        <f>R4+R5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500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DefuseKit</t>
        </is>
      </c>
      <c r="C4" s="6" t="inlineStr">
        <is>
          <t>Armament@defuse</t>
        </is>
      </c>
      <c r="K4" s="5" t="n"/>
      <c r="L4" s="5" t="n">
        <v>20</v>
      </c>
      <c r="M4" s="5" t="n">
        <v>1</v>
      </c>
      <c r="N4" s="5" t="n"/>
      <c r="O4" s="5" t="n">
        <v>1536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^RemovesIvanBombs, ^RemovesTerrorDrone</t>
        </is>
      </c>
    </row>
    <row r="5">
      <c r="B5" s="6" t="inlineStr">
        <is>
          <t xml:space="preserve">  ↳ LeechDisinfect</t>
        </is>
      </c>
      <c r="C5" s="6" t="inlineStr">
        <is>
          <t>Armament@leechdisinfect</t>
        </is>
      </c>
      <c r="K5" s="5" t="n"/>
      <c r="L5" s="5" t="n">
        <v>100</v>
      </c>
      <c r="M5" s="5" t="n">
        <v>1</v>
      </c>
      <c r="N5" s="5" t="n"/>
      <c r="O5" s="5" t="n">
        <v>1536</v>
      </c>
      <c r="P5" s="5" t="n">
        <v>1</v>
      </c>
      <c r="Q5">
        <f>L5+IF(M5&gt;1,N(N5)*(M5-1),0)</f>
        <v/>
      </c>
      <c r="R5">
        <f>IFERROR(K5*MAX(M5,1)/Q5*P5,0)</f>
        <v/>
      </c>
      <c r="AA5" s="6" t="inlineStr"/>
    </row>
    <row r="6">
      <c r="A6" s="3" t="inlineStr">
        <is>
          <t>AIRCRAFT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>
      <c r="A7" t="inlineStr">
        <is>
          <t>shared</t>
        </is>
      </c>
      <c r="B7" t="inlineStr">
        <is>
          <t>TRAN</t>
        </is>
      </c>
      <c r="C7" t="inlineStr">
        <is>
          <t>Chinook Transport</t>
        </is>
      </c>
      <c r="D7" t="inlineStr"/>
      <c r="E7" s="5" t="n">
        <v>100000</v>
      </c>
      <c r="F7" s="5" t="n">
        <v>150</v>
      </c>
      <c r="G7" t="inlineStr">
        <is>
          <t>Helicopter</t>
        </is>
      </c>
      <c r="H7" s="5" t="n">
        <v>1</v>
      </c>
      <c r="I7" s="5" t="n">
        <v>1</v>
      </c>
      <c r="J7" s="5" t="n">
        <v>1</v>
      </c>
      <c r="W7" s="5" t="n">
        <v>1500</v>
      </c>
    </row>
    <row r="8">
      <c r="A8" s="3" t="inlineStr">
        <is>
          <t>BUILDINGS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>
      <c r="A9" t="inlineStr">
        <is>
          <t>shared</t>
        </is>
      </c>
      <c r="B9" t="inlineStr">
        <is>
          <t>BRIK</t>
        </is>
      </c>
      <c r="C9" t="inlineStr">
        <is>
          <t>Concrete Barrier</t>
        </is>
      </c>
      <c r="D9" t="inlineStr"/>
      <c r="E9" s="5" t="n">
        <v>100000</v>
      </c>
      <c r="F9" s="5" t="n"/>
      <c r="G9" t="inlineStr">
        <is>
          <t>Concrete</t>
        </is>
      </c>
      <c r="H9" s="5" t="n">
        <v>1</v>
      </c>
      <c r="I9" s="5" t="n">
        <v>1</v>
      </c>
      <c r="J9" s="5" t="n">
        <v>1</v>
      </c>
      <c r="W9" s="5" t="n">
        <v>200</v>
      </c>
    </row>
    <row r="10">
      <c r="A10" t="inlineStr">
        <is>
          <t>shared</t>
        </is>
      </c>
      <c r="B10" t="inlineStr">
        <is>
          <t>FENC</t>
        </is>
      </c>
      <c r="C10" t="inlineStr">
        <is>
          <t>Wire Fence</t>
        </is>
      </c>
      <c r="D10" t="inlineStr"/>
      <c r="E10" s="5" t="n">
        <v>25000</v>
      </c>
      <c r="F10" s="5" t="n"/>
      <c r="G10" t="inlineStr">
        <is>
          <t>Light</t>
        </is>
      </c>
      <c r="H10" s="5" t="n">
        <v>1</v>
      </c>
      <c r="I10" s="5" t="n">
        <v>1</v>
      </c>
      <c r="J10" s="5" t="n">
        <v>1</v>
      </c>
      <c r="W10" s="5" t="n">
        <v>25</v>
      </c>
    </row>
    <row r="11">
      <c r="A11" t="inlineStr">
        <is>
          <t>shared</t>
        </is>
      </c>
      <c r="B11" t="inlineStr">
        <is>
          <t>NUK2</t>
        </is>
      </c>
      <c r="C11" t="inlineStr">
        <is>
          <t>Advanced Power Plant</t>
        </is>
      </c>
      <c r="D11" t="inlineStr"/>
      <c r="E11" s="5" t="n">
        <v>300000</v>
      </c>
      <c r="F11" s="5" t="n"/>
      <c r="G11" t="inlineStr">
        <is>
          <t>Wood</t>
        </is>
      </c>
      <c r="H11" s="5" t="n">
        <v>1</v>
      </c>
      <c r="I11" s="5" t="n">
        <v>1</v>
      </c>
      <c r="J11" s="5" t="n">
        <v>1</v>
      </c>
      <c r="W11" s="5" t="n">
        <v>1000</v>
      </c>
    </row>
    <row r="12">
      <c r="A12" t="inlineStr">
        <is>
          <t>shared</t>
        </is>
      </c>
      <c r="B12" t="inlineStr">
        <is>
          <t>NUKE</t>
        </is>
      </c>
      <c r="C12" t="inlineStr">
        <is>
          <t>Power Plant</t>
        </is>
      </c>
      <c r="D12" t="inlineStr"/>
      <c r="E12" s="5" t="n">
        <v>150000</v>
      </c>
      <c r="F12" s="5" t="n"/>
      <c r="G12" t="inlineStr">
        <is>
          <t>Wood</t>
        </is>
      </c>
      <c r="H12" s="5" t="n">
        <v>1</v>
      </c>
      <c r="I12" s="5" t="n">
        <v>1</v>
      </c>
      <c r="J12" s="5" t="n">
        <v>1</v>
      </c>
      <c r="W12" s="5" t="n">
        <v>500</v>
      </c>
    </row>
    <row r="13">
      <c r="A13" t="inlineStr">
        <is>
          <t>shared</t>
        </is>
      </c>
      <c r="B13" t="inlineStr">
        <is>
          <t>SBAG</t>
        </is>
      </c>
      <c r="C13" t="inlineStr">
        <is>
          <t>Sandbag Barrier</t>
        </is>
      </c>
      <c r="D13" t="inlineStr"/>
      <c r="E13" s="5" t="n">
        <v>50000</v>
      </c>
      <c r="F13" s="5" t="n"/>
      <c r="G13" t="inlineStr">
        <is>
          <t>Medium</t>
        </is>
      </c>
      <c r="H13" s="5" t="n">
        <v>1</v>
      </c>
      <c r="I13" s="5" t="n">
        <v>1</v>
      </c>
      <c r="J13" s="5" t="n">
        <v>1</v>
      </c>
      <c r="W13" s="5" t="n">
        <v>50</v>
      </c>
    </row>
    <row r="14">
      <c r="A14" t="inlineStr">
        <is>
          <t>shared</t>
        </is>
      </c>
      <c r="B14" t="inlineStr">
        <is>
          <t>SILO</t>
        </is>
      </c>
      <c r="C14" t="inlineStr">
        <is>
          <t>Tiberium Silo</t>
        </is>
      </c>
      <c r="D14" t="inlineStr"/>
      <c r="E14" s="5" t="n">
        <v>100000</v>
      </c>
      <c r="F14" s="5" t="n"/>
      <c r="G14" t="inlineStr">
        <is>
          <t>Wood</t>
        </is>
      </c>
      <c r="H14" s="5" t="n">
        <v>1</v>
      </c>
      <c r="I14" s="5" t="n">
        <v>1</v>
      </c>
      <c r="J14" s="5" t="n">
        <v>1</v>
      </c>
      <c r="W14" s="5" t="n">
        <v>100</v>
      </c>
    </row>
    <row r="15">
      <c r="A15" t="inlineStr">
        <is>
          <t>shared</t>
        </is>
      </c>
      <c r="B15" t="inlineStr">
        <is>
          <t>cycl</t>
        </is>
      </c>
      <c r="C15" t="inlineStr">
        <is>
          <t>Chain Link Fence</t>
        </is>
      </c>
      <c r="D15" t="inlineStr"/>
      <c r="E15" s="5" t="n">
        <v>75000</v>
      </c>
      <c r="F15" s="5" t="n"/>
      <c r="G15" t="inlineStr">
        <is>
          <t>Heavy</t>
        </is>
      </c>
      <c r="H15" s="5" t="n">
        <v>1</v>
      </c>
      <c r="I15" s="5" t="n">
        <v>1</v>
      </c>
      <c r="J15" s="5" t="n">
        <v>1</v>
      </c>
      <c r="W15" s="5" t="n">
        <v>75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16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2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starcraft</t>
        </is>
      </c>
      <c r="B3" t="inlineStr">
        <is>
          <t>protoss_adept</t>
        </is>
      </c>
      <c r="C3" t="inlineStr">
        <is>
          <t>Adept</t>
        </is>
      </c>
      <c r="D3" t="inlineStr"/>
      <c r="E3" s="5" t="n">
        <v>30000</v>
      </c>
      <c r="F3" s="5" t="n">
        <v>70</v>
      </c>
      <c r="G3" t="inlineStr">
        <is>
          <t>Plate</t>
        </is>
      </c>
      <c r="H3" s="5" t="n">
        <v>1</v>
      </c>
      <c r="I3" s="5" t="n">
        <v>1</v>
      </c>
      <c r="J3" s="5" t="n">
        <v>1</v>
      </c>
      <c r="O3">
        <f>MAX(O4)</f>
        <v/>
      </c>
      <c r="R3">
        <f>R4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650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GlaveCanon</t>
        </is>
      </c>
      <c r="C4" s="6" t="inlineStr">
        <is>
          <t>Armament</t>
        </is>
      </c>
      <c r="K4" s="5" t="n">
        <v>8000</v>
      </c>
      <c r="L4" s="5" t="n">
        <v>40</v>
      </c>
      <c r="M4" s="5" t="n">
        <v>1</v>
      </c>
      <c r="N4" s="5" t="n"/>
      <c r="O4" s="5" t="n">
        <v>5250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^Grenade, ^RailgunWeapon</t>
        </is>
      </c>
    </row>
    <row r="5">
      <c r="B5" s="6" t="inlineStr">
        <is>
          <t xml:space="preserve">  ↳ GlaveCanon</t>
        </is>
      </c>
      <c r="C5" s="6" t="inlineStr">
        <is>
          <t>Armament@GARRISONED</t>
        </is>
      </c>
      <c r="K5" s="5" t="n">
        <v>8000</v>
      </c>
      <c r="L5" s="5" t="n">
        <v>40</v>
      </c>
      <c r="M5" s="5" t="n">
        <v>1</v>
      </c>
      <c r="N5" s="5" t="n"/>
      <c r="O5" s="5" t="n">
        <v>5250</v>
      </c>
      <c r="P5" s="5" t="n">
        <v>1</v>
      </c>
      <c r="Q5">
        <f>L5+IF(M5&gt;1,N(N5)*(M5-1),0)</f>
        <v/>
      </c>
      <c r="R5">
        <f>IFERROR(K5*MAX(M5,1)/Q5*P5,0)</f>
        <v/>
      </c>
      <c r="AA5" s="6" t="inlineStr">
        <is>
          <t>^Grenade, ^RailgunWeapon</t>
        </is>
      </c>
    </row>
    <row r="6">
      <c r="A6" t="inlineStr">
        <is>
          <t>starcraft</t>
        </is>
      </c>
      <c r="B6" t="inlineStr">
        <is>
          <t>protoss_amaranth</t>
        </is>
      </c>
      <c r="C6" t="inlineStr">
        <is>
          <t>Amaranth</t>
        </is>
      </c>
      <c r="D6" t="inlineStr"/>
      <c r="E6" s="5" t="n">
        <v>70000</v>
      </c>
      <c r="F6" s="5" t="n">
        <v>70</v>
      </c>
      <c r="G6" t="inlineStr">
        <is>
          <t>Plate</t>
        </is>
      </c>
      <c r="H6" s="5" t="n">
        <v>1</v>
      </c>
      <c r="I6" s="5" t="n">
        <v>0.75</v>
      </c>
      <c r="J6" s="5" t="n">
        <v>1.25</v>
      </c>
      <c r="O6">
        <f>MAX(O7)</f>
        <v/>
      </c>
      <c r="R6">
        <f>R7</f>
        <v/>
      </c>
      <c r="S6">
        <f>(E6/100000+F6/100+(O6/1000)*J6/5+R6/200)*200*I6*H6</f>
        <v/>
      </c>
      <c r="T6">
        <f>((E6*F6/25000)+((O6/1000)*J6*R6/2.5))*I6*H6</f>
        <v/>
      </c>
      <c r="U6">
        <f>(E6*F6*(O6/1000)*J6*R6*I6*H6)/12500000</f>
        <v/>
      </c>
      <c r="V6">
        <f>(S6+T6+U6)/3</f>
        <v/>
      </c>
      <c r="W6" s="5" t="n">
        <v>1200</v>
      </c>
      <c r="X6">
        <f>IFERROR(V6-W6,"")</f>
        <v/>
      </c>
      <c r="Y6">
        <f>IFERROR(ABS(X6)/MAX(W6,1),"")</f>
        <v/>
      </c>
      <c r="Z6">
        <f>IFERROR((W6-(((E6/100000+F6/100+R6/200)*200*I6*H6)+((E6*F6/25000)*I6*H6))/3)/(((J6/5)*200*I6*H6)+((J6*R6/2.5)*I6*H6)+((E6*F6*J6*R6*I6*H6)/12500000))/3*1000,"")</f>
        <v/>
      </c>
    </row>
    <row r="7">
      <c r="B7" s="6" t="inlineStr">
        <is>
          <t xml:space="preserve">  ↳ WarpBladeAmaranth</t>
        </is>
      </c>
      <c r="C7" s="6" t="inlineStr">
        <is>
          <t>Armament</t>
        </is>
      </c>
      <c r="K7" s="5" t="n">
        <v>30000</v>
      </c>
      <c r="L7" s="5" t="n">
        <v>20</v>
      </c>
      <c r="M7" s="5" t="n">
        <v>1</v>
      </c>
      <c r="N7" s="5" t="n"/>
      <c r="O7" s="5" t="n">
        <v>1840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^SwordWeapon</t>
        </is>
      </c>
    </row>
    <row r="8">
      <c r="A8" t="inlineStr">
        <is>
          <t>starcraft</t>
        </is>
      </c>
      <c r="B8" t="inlineStr">
        <is>
          <t>protoss_darktemplar</t>
        </is>
      </c>
      <c r="C8" t="inlineStr">
        <is>
          <t>Dark Templar</t>
        </is>
      </c>
      <c r="D8" t="inlineStr"/>
      <c r="E8" s="5" t="n">
        <v>50000</v>
      </c>
      <c r="F8" s="5" t="n">
        <v>75</v>
      </c>
      <c r="G8" t="inlineStr">
        <is>
          <t>Plate</t>
        </is>
      </c>
      <c r="H8" s="5" t="n">
        <v>1</v>
      </c>
      <c r="I8" s="5" t="n">
        <v>0.75</v>
      </c>
      <c r="J8" s="5" t="n">
        <v>1.25</v>
      </c>
      <c r="O8">
        <f>MAX(O9)</f>
        <v/>
      </c>
      <c r="R8">
        <f>R9</f>
        <v/>
      </c>
      <c r="S8">
        <f>(E8/100000+F8/100+(O8/1000)*J8/5+R8/200)*200*I8*H8</f>
        <v/>
      </c>
      <c r="T8">
        <f>((E8*F8/25000)+((O8/1000)*J8*R8/2.5))*I8*H8</f>
        <v/>
      </c>
      <c r="U8">
        <f>(E8*F8*(O8/1000)*J8*R8*I8*H8)/12500000</f>
        <v/>
      </c>
      <c r="V8">
        <f>(S8+T8+U8)/3</f>
        <v/>
      </c>
      <c r="W8" s="5" t="n">
        <v>600</v>
      </c>
      <c r="X8">
        <f>IFERROR(V8-W8,"")</f>
        <v/>
      </c>
      <c r="Y8">
        <f>IFERROR(ABS(X8)/MAX(W8,1),"")</f>
        <v/>
      </c>
      <c r="Z8">
        <f>IFERROR((W8-(((E8/100000+F8/100+R8/200)*200*I8*H8)+((E8*F8/25000)*I8*H8))/3)/(((J8/5)*200*I8*H8)+((J8*R8/2.5)*I8*H8)+((E8*F8*J8*R8*I8*H8)/12500000))/3*1000,"")</f>
        <v/>
      </c>
    </row>
    <row r="9">
      <c r="B9" s="6" t="inlineStr">
        <is>
          <t xml:space="preserve">  ↳ WarpBlade</t>
        </is>
      </c>
      <c r="C9" s="6" t="inlineStr">
        <is>
          <t>Armament</t>
        </is>
      </c>
      <c r="K9" s="5" t="n">
        <v>20000</v>
      </c>
      <c r="L9" s="5" t="n">
        <v>25</v>
      </c>
      <c r="M9" s="5" t="n">
        <v>1</v>
      </c>
      <c r="N9" s="5" t="n"/>
      <c r="O9" s="5" t="n">
        <v>1600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>
        <is>
          <t>^SwordWeapon</t>
        </is>
      </c>
    </row>
    <row r="10">
      <c r="A10" t="inlineStr">
        <is>
          <t>starcraft</t>
        </is>
      </c>
      <c r="B10" t="inlineStr">
        <is>
          <t>protoss_hightemplar</t>
        </is>
      </c>
      <c r="C10" t="inlineStr">
        <is>
          <t>High Templar</t>
        </is>
      </c>
      <c r="D10" t="inlineStr"/>
      <c r="E10" s="5" t="n">
        <v>35000</v>
      </c>
      <c r="F10" s="5" t="n">
        <v>70</v>
      </c>
      <c r="G10" t="inlineStr">
        <is>
          <t>Flak</t>
        </is>
      </c>
      <c r="H10" s="5" t="n">
        <v>0.75</v>
      </c>
      <c r="I10" s="5" t="n">
        <v>0.5</v>
      </c>
      <c r="J10" s="5" t="n">
        <v>1.25</v>
      </c>
      <c r="O10">
        <f>MAX(O11,O12,O13,O14,O15,O16,O17,O18,O19)</f>
        <v/>
      </c>
      <c r="R10">
        <f>R11+R12+R13+R14+R15+R16+R17+R18+R19</f>
        <v/>
      </c>
      <c r="S10">
        <f>(E10/100000+F10/100+(O10/1000)*J10/5+R10/200)*200*I10*H10</f>
        <v/>
      </c>
      <c r="T10">
        <f>((E10*F10/25000)+((O10/1000)*J10*R10/2.5))*I10*H10</f>
        <v/>
      </c>
      <c r="U10">
        <f>(E10*F10*(O10/1000)*J10*R10*I10*H10)/12500000</f>
        <v/>
      </c>
      <c r="V10">
        <f>(S10+T10+U10)/3</f>
        <v/>
      </c>
      <c r="W10" s="5" t="n">
        <v>800</v>
      </c>
      <c r="X10">
        <f>IFERROR(V10-W10,"")</f>
        <v/>
      </c>
      <c r="Y10">
        <f>IFERROR(ABS(X10)/MAX(W10,1),"")</f>
        <v/>
      </c>
      <c r="Z10">
        <f>IFERROR((W10-(((E10/100000+F10/100+R10/200)*200*I10*H10)+((E10*F10/25000)*I10*H10))/3)/(((J10/5)*200*I10*H10)+((J10*R10/2.5)*I10*H10)+((E10*F10*J10*R10*I10*H10)/12500000))/3*1000,"")</f>
        <v/>
      </c>
    </row>
    <row r="11">
      <c r="B11" s="6" t="inlineStr">
        <is>
          <t xml:space="preserve">  ↳ PsiStormCosmetic</t>
        </is>
      </c>
      <c r="C11" s="6" t="inlineStr">
        <is>
          <t>Armament@Effect</t>
        </is>
      </c>
      <c r="K11" s="5" t="n"/>
      <c r="L11" s="5" t="n">
        <v>64</v>
      </c>
      <c r="M11" s="5" t="n">
        <v>1</v>
      </c>
      <c r="N11" s="5" t="n"/>
      <c r="O11" s="5" t="n">
        <v>6400</v>
      </c>
      <c r="P11" s="5" t="n">
        <v>1</v>
      </c>
      <c r="Q11">
        <f>L11+IF(M11&gt;1,N(N11)*(M11-1),0)</f>
        <v/>
      </c>
      <c r="R11">
        <f>IFERROR(K11*MAX(M11,1)/Q11*P11,0)</f>
        <v/>
      </c>
      <c r="AA11" s="6" t="inlineStr"/>
    </row>
    <row r="12">
      <c r="B12" s="6" t="inlineStr">
        <is>
          <t xml:space="preserve">  ↳ PsiStorm</t>
        </is>
      </c>
      <c r="C12" s="6" t="inlineStr">
        <is>
          <t>Armament@1</t>
        </is>
      </c>
      <c r="K12" s="5" t="n">
        <v>8000</v>
      </c>
      <c r="L12" s="5" t="n">
        <v>64</v>
      </c>
      <c r="M12" s="5" t="n">
        <v>1</v>
      </c>
      <c r="N12" s="5" t="n"/>
      <c r="O12" s="5" t="n">
        <v>6400</v>
      </c>
      <c r="P12" s="5" t="n">
        <v>1</v>
      </c>
      <c r="Q12">
        <f>L12+IF(M12&gt;1,N(N12)*(M12-1),0)</f>
        <v/>
      </c>
      <c r="R12">
        <f>IFERROR(K12*MAX(M12,1)/Q12*P12,0)</f>
        <v/>
      </c>
      <c r="AA12" s="6" t="inlineStr">
        <is>
          <t>^TeslaWeapon</t>
        </is>
      </c>
    </row>
    <row r="13">
      <c r="B13" s="6" t="inlineStr">
        <is>
          <t xml:space="preserve">  ↳ PsiStorm</t>
        </is>
      </c>
      <c r="C13" s="6" t="inlineStr">
        <is>
          <t>Armament@2</t>
        </is>
      </c>
      <c r="K13" s="5" t="n">
        <v>8000</v>
      </c>
      <c r="L13" s="5" t="n">
        <v>64</v>
      </c>
      <c r="M13" s="5" t="n">
        <v>1</v>
      </c>
      <c r="N13" s="5" t="n"/>
      <c r="O13" s="5" t="n">
        <v>6400</v>
      </c>
      <c r="P13" s="5" t="n">
        <v>1</v>
      </c>
      <c r="Q13">
        <f>L13+IF(M13&gt;1,N(N13)*(M13-1),0)</f>
        <v/>
      </c>
      <c r="R13">
        <f>IFERROR(K13*MAX(M13,1)/Q13*P13,0)</f>
        <v/>
      </c>
      <c r="AA13" s="6" t="inlineStr">
        <is>
          <t>^TeslaWeapon</t>
        </is>
      </c>
    </row>
    <row r="14">
      <c r="B14" s="6" t="inlineStr">
        <is>
          <t xml:space="preserve">  ↳ PsiStorm</t>
        </is>
      </c>
      <c r="C14" s="6" t="inlineStr">
        <is>
          <t>Armament@3</t>
        </is>
      </c>
      <c r="K14" s="5" t="n">
        <v>8000</v>
      </c>
      <c r="L14" s="5" t="n">
        <v>64</v>
      </c>
      <c r="M14" s="5" t="n">
        <v>1</v>
      </c>
      <c r="N14" s="5" t="n"/>
      <c r="O14" s="5" t="n">
        <v>6400</v>
      </c>
      <c r="P14" s="5" t="n">
        <v>1</v>
      </c>
      <c r="Q14">
        <f>L14+IF(M14&gt;1,N(N14)*(M14-1),0)</f>
        <v/>
      </c>
      <c r="R14">
        <f>IFERROR(K14*MAX(M14,1)/Q14*P14,0)</f>
        <v/>
      </c>
      <c r="AA14" s="6" t="inlineStr">
        <is>
          <t>^TeslaWeapon</t>
        </is>
      </c>
    </row>
    <row r="15">
      <c r="B15" s="6" t="inlineStr">
        <is>
          <t xml:space="preserve">  ↳ PsiStorm</t>
        </is>
      </c>
      <c r="C15" s="6" t="inlineStr">
        <is>
          <t>Armament@4</t>
        </is>
      </c>
      <c r="K15" s="5" t="n">
        <v>8000</v>
      </c>
      <c r="L15" s="5" t="n">
        <v>64</v>
      </c>
      <c r="M15" s="5" t="n">
        <v>1</v>
      </c>
      <c r="N15" s="5" t="n"/>
      <c r="O15" s="5" t="n">
        <v>6400</v>
      </c>
      <c r="P15" s="5" t="n">
        <v>1</v>
      </c>
      <c r="Q15">
        <f>L15+IF(M15&gt;1,N(N15)*(M15-1),0)</f>
        <v/>
      </c>
      <c r="R15">
        <f>IFERROR(K15*MAX(M15,1)/Q15*P15,0)</f>
        <v/>
      </c>
      <c r="AA15" s="6" t="inlineStr">
        <is>
          <t>^TeslaWeapon</t>
        </is>
      </c>
    </row>
    <row r="16">
      <c r="B16" s="6" t="inlineStr">
        <is>
          <t xml:space="preserve">  ↳ PsiStorm</t>
        </is>
      </c>
      <c r="C16" s="6" t="inlineStr">
        <is>
          <t>Armament@5</t>
        </is>
      </c>
      <c r="K16" s="5" t="n">
        <v>8000</v>
      </c>
      <c r="L16" s="5" t="n">
        <v>64</v>
      </c>
      <c r="M16" s="5" t="n">
        <v>1</v>
      </c>
      <c r="N16" s="5" t="n"/>
      <c r="O16" s="5" t="n">
        <v>6400</v>
      </c>
      <c r="P16" s="5" t="n">
        <v>1</v>
      </c>
      <c r="Q16">
        <f>L16+IF(M16&gt;1,N(N16)*(M16-1),0)</f>
        <v/>
      </c>
      <c r="R16">
        <f>IFERROR(K16*MAX(M16,1)/Q16*P16,0)</f>
        <v/>
      </c>
      <c r="AA16" s="6" t="inlineStr">
        <is>
          <t>^TeslaWeapon</t>
        </is>
      </c>
    </row>
    <row r="17">
      <c r="B17" s="6" t="inlineStr">
        <is>
          <t xml:space="preserve">  ↳ PsiStorm</t>
        </is>
      </c>
      <c r="C17" s="6" t="inlineStr">
        <is>
          <t>Armament@6</t>
        </is>
      </c>
      <c r="K17" s="5" t="n">
        <v>8000</v>
      </c>
      <c r="L17" s="5" t="n">
        <v>64</v>
      </c>
      <c r="M17" s="5" t="n">
        <v>1</v>
      </c>
      <c r="N17" s="5" t="n"/>
      <c r="O17" s="5" t="n">
        <v>6400</v>
      </c>
      <c r="P17" s="5" t="n">
        <v>1</v>
      </c>
      <c r="Q17">
        <f>L17+IF(M17&gt;1,N(N17)*(M17-1),0)</f>
        <v/>
      </c>
      <c r="R17">
        <f>IFERROR(K17*MAX(M17,1)/Q17*P17,0)</f>
        <v/>
      </c>
      <c r="AA17" s="6" t="inlineStr">
        <is>
          <t>^TeslaWeapon</t>
        </is>
      </c>
    </row>
    <row r="18">
      <c r="B18" s="6" t="inlineStr">
        <is>
          <t xml:space="preserve">  ↳ PsiStorm</t>
        </is>
      </c>
      <c r="C18" s="6" t="inlineStr">
        <is>
          <t>Armament@7</t>
        </is>
      </c>
      <c r="K18" s="5" t="n">
        <v>8000</v>
      </c>
      <c r="L18" s="5" t="n">
        <v>64</v>
      </c>
      <c r="M18" s="5" t="n">
        <v>1</v>
      </c>
      <c r="N18" s="5" t="n"/>
      <c r="O18" s="5" t="n">
        <v>6400</v>
      </c>
      <c r="P18" s="5" t="n">
        <v>1</v>
      </c>
      <c r="Q18">
        <f>L18+IF(M18&gt;1,N(N18)*(M18-1),0)</f>
        <v/>
      </c>
      <c r="R18">
        <f>IFERROR(K18*MAX(M18,1)/Q18*P18,0)</f>
        <v/>
      </c>
      <c r="AA18" s="6" t="inlineStr">
        <is>
          <t>^TeslaWeapon</t>
        </is>
      </c>
    </row>
    <row r="19">
      <c r="B19" s="6" t="inlineStr">
        <is>
          <t xml:space="preserve">  ↳ PsiStorm</t>
        </is>
      </c>
      <c r="C19" s="6" t="inlineStr">
        <is>
          <t>Armament@8</t>
        </is>
      </c>
      <c r="K19" s="5" t="n">
        <v>8000</v>
      </c>
      <c r="L19" s="5" t="n">
        <v>64</v>
      </c>
      <c r="M19" s="5" t="n">
        <v>1</v>
      </c>
      <c r="N19" s="5" t="n"/>
      <c r="O19" s="5" t="n">
        <v>6400</v>
      </c>
      <c r="P19" s="5" t="n">
        <v>1</v>
      </c>
      <c r="Q19">
        <f>L19+IF(M19&gt;1,N(N19)*(M19-1),0)</f>
        <v/>
      </c>
      <c r="R19">
        <f>IFERROR(K19*MAX(M19,1)/Q19*P19,0)</f>
        <v/>
      </c>
      <c r="AA19" s="6" t="inlineStr">
        <is>
          <t>^TeslaWeapon</t>
        </is>
      </c>
    </row>
    <row r="20">
      <c r="A20" t="inlineStr">
        <is>
          <t>starcraft</t>
        </is>
      </c>
      <c r="B20" t="inlineStr">
        <is>
          <t>protoss_legionnaire</t>
        </is>
      </c>
      <c r="C20" t="inlineStr">
        <is>
          <t>Legionnaire</t>
        </is>
      </c>
      <c r="D20" t="inlineStr"/>
      <c r="E20" s="5" t="n">
        <v>60000</v>
      </c>
      <c r="F20" s="5" t="n">
        <v>60</v>
      </c>
      <c r="G20" t="inlineStr">
        <is>
          <t>Plate</t>
        </is>
      </c>
      <c r="H20" s="5" t="n">
        <v>1</v>
      </c>
      <c r="I20" s="5" t="n">
        <v>0.75</v>
      </c>
      <c r="J20" s="5" t="n">
        <v>1</v>
      </c>
      <c r="O20">
        <f>MAX(O21)</f>
        <v/>
      </c>
      <c r="R20">
        <f>R21</f>
        <v/>
      </c>
      <c r="S20">
        <f>(E20/100000+F20/100+(O20/1000)*J20/5+R20/200)*200*I20*H20</f>
        <v/>
      </c>
      <c r="T20">
        <f>((E20*F20/25000)+((O20/1000)*J20*R20/2.5))*I20*H20</f>
        <v/>
      </c>
      <c r="U20">
        <f>(E20*F20*(O20/1000)*J20*R20*I20*H20)/12500000</f>
        <v/>
      </c>
      <c r="V20">
        <f>(S20+T20+U20)/3</f>
        <v/>
      </c>
      <c r="W20" s="5" t="n">
        <v>700</v>
      </c>
      <c r="X20">
        <f>IFERROR(V20-W20,"")</f>
        <v/>
      </c>
      <c r="Y20">
        <f>IFERROR(ABS(X20)/MAX(W20,1),"")</f>
        <v/>
      </c>
      <c r="Z20">
        <f>IFERROR((W20-(((E20/100000+F20/100+R20/200)*200*I20*H20)+((E20*F20/25000)*I20*H20))/3)/(((J20/5)*200*I20*H20)+((J20*R20/2.5)*I20*H20)+((E20*F20*J20*R20*I20*H20)/12500000))/3*1000,"")</f>
        <v/>
      </c>
    </row>
    <row r="21">
      <c r="B21" s="6" t="inlineStr">
        <is>
          <t xml:space="preserve">  ↳ psi_spear</t>
        </is>
      </c>
      <c r="C21" s="6" t="inlineStr">
        <is>
          <t>Armament</t>
        </is>
      </c>
      <c r="K21" s="5" t="n">
        <v>32000</v>
      </c>
      <c r="L21" s="5" t="n">
        <v>26</v>
      </c>
      <c r="M21" s="5" t="n">
        <v>1</v>
      </c>
      <c r="N21" s="5" t="n"/>
      <c r="O21" s="5" t="n">
        <v>1337</v>
      </c>
      <c r="P21" s="5" t="n">
        <v>1</v>
      </c>
      <c r="Q21">
        <f>L21+IF(M21&gt;1,N(N21)*(M21-1),0)</f>
        <v/>
      </c>
      <c r="R21">
        <f>IFERROR(K21*MAX(M21,1)/Q21*P21,0)</f>
        <v/>
      </c>
      <c r="AA21" s="6" t="inlineStr">
        <is>
          <t>^SwordWeapon</t>
        </is>
      </c>
    </row>
    <row r="22">
      <c r="A22" t="inlineStr">
        <is>
          <t>starcraft</t>
        </is>
      </c>
      <c r="B22" t="inlineStr">
        <is>
          <t>protoss_patriarch</t>
        </is>
      </c>
      <c r="C22" t="inlineStr">
        <is>
          <t>Patriarch</t>
        </is>
      </c>
      <c r="D22" t="inlineStr"/>
      <c r="E22" s="5" t="n">
        <v>75000</v>
      </c>
      <c r="F22" s="5" t="n">
        <v>75</v>
      </c>
      <c r="G22" t="inlineStr">
        <is>
          <t>Heroic</t>
        </is>
      </c>
      <c r="H22" s="5" t="n">
        <v>1</v>
      </c>
      <c r="I22" s="5" t="n">
        <v>1</v>
      </c>
      <c r="J22" s="5" t="n">
        <v>1</v>
      </c>
      <c r="O22">
        <f>MAX(O23)</f>
        <v/>
      </c>
      <c r="R22">
        <f>R23</f>
        <v/>
      </c>
      <c r="S22">
        <f>(E22/100000+F22/100+(O22/1000)*J22/5+R22/200)*200*I22*H22</f>
        <v/>
      </c>
      <c r="T22">
        <f>((E22*F22/25000)+((O22/1000)*J22*R22/2.5))*I22*H22</f>
        <v/>
      </c>
      <c r="U22">
        <f>(E22*F22*(O22/1000)*J22*R22*I22*H22)/12500000</f>
        <v/>
      </c>
      <c r="V22">
        <f>(S22+T22+U22)/3</f>
        <v/>
      </c>
      <c r="W22" s="5" t="n">
        <v>4000</v>
      </c>
      <c r="X22">
        <f>IFERROR(V22-W22,"")</f>
        <v/>
      </c>
      <c r="Y22">
        <f>IFERROR(ABS(X22)/MAX(W22,1),"")</f>
        <v/>
      </c>
      <c r="Z22">
        <f>IFERROR((W22-(((E22/100000+F22/100+R22/200)*200*I22*H22)+((E22*F22/25000)*I22*H22))/3)/(((J22/5)*200*I22*H22)+((J22*R22/2.5)*I22*H22)+((E22*F22*J22*R22*I22*H22)/12500000))/3*1000,"")</f>
        <v/>
      </c>
    </row>
    <row r="23">
      <c r="B23" s="6" t="inlineStr">
        <is>
          <t xml:space="preserve">  ↳ PatriarchShoot</t>
        </is>
      </c>
      <c r="C23" s="6" t="inlineStr">
        <is>
          <t>Armament</t>
        </is>
      </c>
      <c r="K23" s="5" t="n">
        <v>2000</v>
      </c>
      <c r="L23" s="5" t="n">
        <v>75</v>
      </c>
      <c r="M23" s="5" t="n">
        <v>2</v>
      </c>
      <c r="N23" s="5" t="n">
        <v>0</v>
      </c>
      <c r="O23" s="5" t="n">
        <v>5000</v>
      </c>
      <c r="P23" s="5" t="n">
        <v>1</v>
      </c>
      <c r="Q23">
        <f>L23+IF(M23&gt;1,N(N23)*(M23-1),0)</f>
        <v/>
      </c>
      <c r="R23">
        <f>IFERROR(K23*MAX(M23,1)/Q23*P23,0)</f>
        <v/>
      </c>
      <c r="AA23" s="6" t="inlineStr">
        <is>
          <t>^Grenade, ^ShrapnelWeapon, ^HeavyBomb, ^MediumMissile, ^Chaingun, ^FlakWeapon</t>
        </is>
      </c>
    </row>
    <row r="24">
      <c r="B24" s="6" t="inlineStr">
        <is>
          <t xml:space="preserve">  ↳ PatriarchShoot</t>
        </is>
      </c>
      <c r="C24" s="6" t="inlineStr">
        <is>
          <t>Armament@garrisoned</t>
        </is>
      </c>
      <c r="K24" s="5" t="n">
        <v>2000</v>
      </c>
      <c r="L24" s="5" t="n">
        <v>75</v>
      </c>
      <c r="M24" s="5" t="n">
        <v>2</v>
      </c>
      <c r="N24" s="5" t="n">
        <v>0</v>
      </c>
      <c r="O24" s="5" t="n">
        <v>5000</v>
      </c>
      <c r="P24" s="5" t="n">
        <v>1</v>
      </c>
      <c r="Q24">
        <f>L24+IF(M24&gt;1,N(N24)*(M24-1),0)</f>
        <v/>
      </c>
      <c r="R24">
        <f>IFERROR(K24*MAX(M24,1)/Q24*P24,0)</f>
        <v/>
      </c>
      <c r="AA24" s="6" t="inlineStr">
        <is>
          <t>^Grenade, ^ShrapnelWeapon, ^HeavyBomb, ^MediumMissile, ^Chaingun, ^FlakWeapon</t>
        </is>
      </c>
    </row>
    <row r="25">
      <c r="A25" t="inlineStr">
        <is>
          <t>starcraft</t>
        </is>
      </c>
      <c r="B25" t="inlineStr">
        <is>
          <t>protoss_zealot</t>
        </is>
      </c>
      <c r="C25" t="inlineStr">
        <is>
          <t>Zealot</t>
        </is>
      </c>
      <c r="D25" t="inlineStr"/>
      <c r="E25" s="5" t="n">
        <v>40000</v>
      </c>
      <c r="F25" s="5" t="n">
        <v>70</v>
      </c>
      <c r="G25" t="inlineStr">
        <is>
          <t>Plate</t>
        </is>
      </c>
      <c r="H25" s="5" t="n">
        <v>1</v>
      </c>
      <c r="I25" s="5" t="n">
        <v>0.75</v>
      </c>
      <c r="J25" s="5" t="n">
        <v>1</v>
      </c>
      <c r="O25">
        <f>MAX(O26)</f>
        <v/>
      </c>
      <c r="R25">
        <f>R26</f>
        <v/>
      </c>
      <c r="S25">
        <f>(E25/100000+F25/100+(O25/1000)*J25/5+R25/200)*200*I25*H25</f>
        <v/>
      </c>
      <c r="T25">
        <f>((E25*F25/25000)+((O25/1000)*J25*R25/2.5))*I25*H25</f>
        <v/>
      </c>
      <c r="U25">
        <f>(E25*F25*(O25/1000)*J25*R25*I25*H25)/12500000</f>
        <v/>
      </c>
      <c r="V25">
        <f>(S25+T25+U25)/3</f>
        <v/>
      </c>
      <c r="W25" s="5" t="n">
        <v>300</v>
      </c>
      <c r="X25">
        <f>IFERROR(V25-W25,"")</f>
        <v/>
      </c>
      <c r="Y25">
        <f>IFERROR(ABS(X25)/MAX(W25,1),"")</f>
        <v/>
      </c>
      <c r="Z25">
        <f>IFERROR((W25-(((E25/100000+F25/100+R25/200)*200*I25*H25)+((E25*F25/25000)*I25*H25))/3)/(((J25/5)*200*I25*H25)+((J25*R25/2.5)*I25*H25)+((E25*F25*J25*R25*I25*H25)/12500000))/3*1000,"")</f>
        <v/>
      </c>
    </row>
    <row r="26">
      <c r="B26" s="6" t="inlineStr">
        <is>
          <t xml:space="preserve">  ↳ psi_blades</t>
        </is>
      </c>
      <c r="C26" s="6" t="inlineStr">
        <is>
          <t>Armament</t>
        </is>
      </c>
      <c r="K26" s="5" t="n">
        <v>8000</v>
      </c>
      <c r="L26" s="5" t="n">
        <v>30</v>
      </c>
      <c r="M26" s="5" t="n">
        <v>2</v>
      </c>
      <c r="N26" s="5" t="n">
        <v>6</v>
      </c>
      <c r="O26" s="5" t="n">
        <v>1335</v>
      </c>
      <c r="P26" s="5" t="n">
        <v>1</v>
      </c>
      <c r="Q26">
        <f>L26+IF(M26&gt;1,N(N26)*(M26-1),0)</f>
        <v/>
      </c>
      <c r="R26">
        <f>IFERROR(K26*MAX(M26,1)/Q26*P26,0)</f>
        <v/>
      </c>
      <c r="AA26" s="6" t="inlineStr">
        <is>
          <t>^SwordWeapon</t>
        </is>
      </c>
    </row>
    <row r="27">
      <c r="A27" t="inlineStr">
        <is>
          <t>starcraft</t>
        </is>
      </c>
      <c r="B27" t="inlineStr">
        <is>
          <t>protoss_zeratul</t>
        </is>
      </c>
      <c r="C27" t="inlineStr">
        <is>
          <t>Zeratul</t>
        </is>
      </c>
      <c r="D27" t="inlineStr"/>
      <c r="E27" s="5" t="n">
        <v>250000</v>
      </c>
      <c r="F27" s="5" t="n">
        <v>100</v>
      </c>
      <c r="G27" t="inlineStr">
        <is>
          <t>Heroic</t>
        </is>
      </c>
      <c r="H27" s="5" t="n">
        <v>0.75</v>
      </c>
      <c r="I27" s="5" t="n">
        <v>1</v>
      </c>
      <c r="J27" s="5" t="n">
        <v>1.25</v>
      </c>
      <c r="O27">
        <f>MAX(O28)</f>
        <v/>
      </c>
      <c r="R27">
        <f>R28</f>
        <v/>
      </c>
      <c r="S27">
        <f>(E27/100000+F27/100+(O27/1000)*J27/5+R27/200)*200*I27*H27</f>
        <v/>
      </c>
      <c r="T27">
        <f>((E27*F27/25000)+((O27/1000)*J27*R27/2.5))*I27*H27</f>
        <v/>
      </c>
      <c r="U27">
        <f>(E27*F27*(O27/1000)*J27*R27*I27*H27)/12500000</f>
        <v/>
      </c>
      <c r="V27">
        <f>(S27+T27+U27)/3</f>
        <v/>
      </c>
      <c r="W27" s="5" t="n">
        <v>4000</v>
      </c>
      <c r="X27">
        <f>IFERROR(V27-W27,"")</f>
        <v/>
      </c>
      <c r="Y27">
        <f>IFERROR(ABS(X27)/MAX(W27,1),"")</f>
        <v/>
      </c>
      <c r="Z27">
        <f>IFERROR((W27-(((E27/100000+F27/100+R27/200)*200*I27*H27)+((E27*F27/25000)*I27*H27))/3)/(((J27/5)*200*I27*H27)+((J27*R27/2.5)*I27*H27)+((E27*F27*J27*R27*I27*H27)/12500000))/3*1000,"")</f>
        <v/>
      </c>
    </row>
    <row r="28">
      <c r="B28" s="6" t="inlineStr">
        <is>
          <t xml:space="preserve">  ↳ ZeratulSlice</t>
        </is>
      </c>
      <c r="C28" s="6" t="inlineStr">
        <is>
          <t>Armament</t>
        </is>
      </c>
      <c r="K28" s="5" t="n">
        <v>64000</v>
      </c>
      <c r="L28" s="5" t="n">
        <v>24</v>
      </c>
      <c r="M28" s="5" t="n">
        <v>1</v>
      </c>
      <c r="N28" s="5" t="n"/>
      <c r="O28" s="5" t="n">
        <v>1445</v>
      </c>
      <c r="P28" s="5" t="n">
        <v>1</v>
      </c>
      <c r="Q28">
        <f>L28+IF(M28&gt;1,N(N28)*(M28-1),0)</f>
        <v/>
      </c>
      <c r="R28">
        <f>IFERROR(K28*MAX(M28,1)/Q28*P28,0)</f>
        <v/>
      </c>
      <c r="AA28" s="6" t="inlineStr">
        <is>
          <t>^SwordWeapon</t>
        </is>
      </c>
    </row>
    <row r="29">
      <c r="A29" s="3" t="inlineStr">
        <is>
          <t>VEHICLES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>
      <c r="A30" t="inlineStr">
        <is>
          <t>starcraft</t>
        </is>
      </c>
      <c r="B30" t="inlineStr">
        <is>
          <t>protoss_analogue</t>
        </is>
      </c>
      <c r="C30" t="inlineStr">
        <is>
          <t>Analogue</t>
        </is>
      </c>
      <c r="D30" t="inlineStr"/>
      <c r="E30" s="5" t="n">
        <v>60000</v>
      </c>
      <c r="F30" s="5" t="n">
        <v>60</v>
      </c>
      <c r="G30" t="inlineStr">
        <is>
          <t>Light</t>
        </is>
      </c>
      <c r="H30" s="5" t="n">
        <v>1</v>
      </c>
      <c r="I30" s="5" t="n">
        <v>1</v>
      </c>
      <c r="J30" s="5" t="n">
        <v>1</v>
      </c>
      <c r="O30">
        <f>MAX(O31,O32)</f>
        <v/>
      </c>
      <c r="R30">
        <f>R31+R32</f>
        <v/>
      </c>
      <c r="S30">
        <f>(E30/100000+F30/100+(O30/1000)*J30/5+R30/200)*200*I30*H30</f>
        <v/>
      </c>
      <c r="T30">
        <f>((E30*F30/25000)+((O30/1000)*J30*R30/2.5))*I30*H30</f>
        <v/>
      </c>
      <c r="U30">
        <f>(E30*F30*(O30/1000)*J30*R30*I30*H30)/12500000</f>
        <v/>
      </c>
      <c r="V30">
        <f>(S30+T30+U30)/3</f>
        <v/>
      </c>
      <c r="W30" s="5" t="n">
        <v>1200</v>
      </c>
      <c r="X30">
        <f>IFERROR(V30-W30,"")</f>
        <v/>
      </c>
      <c r="Y30">
        <f>IFERROR(ABS(X30)/MAX(W30,1),"")</f>
        <v/>
      </c>
      <c r="Z30">
        <f>IFERROR((W30-(((E30/100000+F30/100+R30/200)*200*I30*H30)+((E30*F30/25000)*I30*H30))/3)/(((J30/5)*200*I30*H30)+((J30*R30/2.5)*I30*H30)+((E30*F30*J30*R30*I30*H30)/12500000))/3*1000,"")</f>
        <v/>
      </c>
    </row>
    <row r="31">
      <c r="B31" s="6" t="inlineStr">
        <is>
          <t xml:space="preserve">  ↳ SCVAttack</t>
        </is>
      </c>
      <c r="C31" s="6" t="inlineStr">
        <is>
          <t>Armament</t>
        </is>
      </c>
      <c r="K31" s="5" t="n">
        <v>10000</v>
      </c>
      <c r="L31" s="5" t="n">
        <v>25</v>
      </c>
      <c r="M31" s="5" t="n">
        <v>1</v>
      </c>
      <c r="N31" s="5" t="n"/>
      <c r="O31" s="5" t="n">
        <v>1500</v>
      </c>
      <c r="P31" s="5" t="n">
        <v>1</v>
      </c>
      <c r="Q31">
        <f>L31+IF(M31&gt;1,N(N31)*(M31-1),0)</f>
        <v/>
      </c>
      <c r="R31">
        <f>IFERROR(K31*MAX(M31,1)/Q31*P31,0)</f>
        <v/>
      </c>
      <c r="AA31" s="6" t="inlineStr">
        <is>
          <t>^WorkerAttack</t>
        </is>
      </c>
    </row>
    <row r="32">
      <c r="B32" s="6" t="inlineStr">
        <is>
          <t xml:space="preserve">  ↳ SCVRepair</t>
        </is>
      </c>
      <c r="C32" s="6" t="inlineStr">
        <is>
          <t>Armament@repair</t>
        </is>
      </c>
      <c r="K32" s="5" t="n">
        <v>-1</v>
      </c>
      <c r="L32" s="5" t="n">
        <v>5</v>
      </c>
      <c r="M32" s="5" t="n">
        <v>10</v>
      </c>
      <c r="N32" s="5" t="n">
        <v>1</v>
      </c>
      <c r="O32" s="5" t="n">
        <v>2000</v>
      </c>
      <c r="P32" s="5" t="n">
        <v>1</v>
      </c>
      <c r="Q32">
        <f>L32+IF(M32&gt;1,N(N32)*(M32-1),0)</f>
        <v/>
      </c>
      <c r="R32">
        <f>IFERROR(K32*MAX(M32,1)/Q32*P32,0)</f>
        <v/>
      </c>
      <c r="AA32" s="6" t="inlineStr">
        <is>
          <t>^RepairWeapon</t>
        </is>
      </c>
    </row>
    <row r="33">
      <c r="A33" t="inlineStr">
        <is>
          <t>starcraft</t>
        </is>
      </c>
      <c r="B33" t="inlineStr">
        <is>
          <t>protoss_archon</t>
        </is>
      </c>
      <c r="C33" t="inlineStr">
        <is>
          <t>Archon</t>
        </is>
      </c>
      <c r="D33" t="inlineStr"/>
      <c r="E33" s="5" t="n">
        <v>350000</v>
      </c>
      <c r="F33" s="5" t="n">
        <v>75</v>
      </c>
      <c r="G33" t="inlineStr">
        <is>
          <t>Medium</t>
        </is>
      </c>
      <c r="H33" s="5" t="n">
        <v>0.75</v>
      </c>
      <c r="I33" s="5" t="n">
        <v>1</v>
      </c>
      <c r="J33" s="5" t="n">
        <v>1.25</v>
      </c>
      <c r="O33">
        <f>MAX(O34)</f>
        <v/>
      </c>
      <c r="R33">
        <f>R34</f>
        <v/>
      </c>
      <c r="S33">
        <f>(E33/100000+F33/100+(O33/1000)*J33/5+R33/200)*200*I33*H33</f>
        <v/>
      </c>
      <c r="T33">
        <f>((E33*F33/25000)+((O33/1000)*J33*R33/2.5))*I33*H33</f>
        <v/>
      </c>
      <c r="U33">
        <f>(E33*F33*(O33/1000)*J33*R33*I33*H33)/12500000</f>
        <v/>
      </c>
      <c r="V33">
        <f>(S33+T33+U33)/3</f>
        <v/>
      </c>
      <c r="W33" s="5" t="n">
        <v>5600</v>
      </c>
      <c r="X33">
        <f>IFERROR(V33-W33,"")</f>
        <v/>
      </c>
      <c r="Y33">
        <f>IFERROR(ABS(X33)/MAX(W33,1),"")</f>
        <v/>
      </c>
      <c r="Z33">
        <f>IFERROR((W33-(((E33/100000+F33/100+R33/200)*200*I33*H33)+((E33*F33/25000)*I33*H33))/3)/(((J33/5)*200*I33*H33)+((J33*R33/2.5)*I33*H33)+((E33*F33*J33*R33*I33*H33)/12500000))/3*1000,"")</f>
        <v/>
      </c>
    </row>
    <row r="34">
      <c r="B34" s="6" t="inlineStr">
        <is>
          <t xml:space="preserve">  ↳ PsionicShockwave</t>
        </is>
      </c>
      <c r="C34" s="6" t="inlineStr">
        <is>
          <t>Armament</t>
        </is>
      </c>
      <c r="K34" s="5" t="n">
        <v>30000</v>
      </c>
      <c r="L34" s="5" t="n">
        <v>20</v>
      </c>
      <c r="M34" s="5" t="n">
        <v>1</v>
      </c>
      <c r="N34" s="5" t="n"/>
      <c r="O34" s="5" t="n">
        <v>3152</v>
      </c>
      <c r="P34" s="5" t="n">
        <v>1</v>
      </c>
      <c r="Q34">
        <f>L34+IF(M34&gt;1,N(N34)*(M34-1),0)</f>
        <v/>
      </c>
      <c r="R34">
        <f>IFERROR(K34*MAX(M34,1)/Q34*P34,0)</f>
        <v/>
      </c>
      <c r="AA34" s="6" t="inlineStr">
        <is>
          <t>^TeslaChargedWeapon</t>
        </is>
      </c>
    </row>
    <row r="35">
      <c r="A35" t="inlineStr">
        <is>
          <t>starcraft</t>
        </is>
      </c>
      <c r="B35" t="inlineStr">
        <is>
          <t>protoss_atreus</t>
        </is>
      </c>
      <c r="C35" t="inlineStr">
        <is>
          <t>Atreus</t>
        </is>
      </c>
      <c r="D35" t="inlineStr"/>
      <c r="E35" s="5" t="n">
        <v>250000</v>
      </c>
      <c r="F35" s="5" t="n">
        <v>60</v>
      </c>
      <c r="G35" t="inlineStr">
        <is>
          <t>Medium</t>
        </is>
      </c>
      <c r="H35" s="5" t="n">
        <v>0.75</v>
      </c>
      <c r="I35" s="5" t="n">
        <v>1</v>
      </c>
      <c r="J35" s="5" t="n">
        <v>1</v>
      </c>
      <c r="O35">
        <f>MAX(O36)</f>
        <v/>
      </c>
      <c r="R35">
        <f>R36</f>
        <v/>
      </c>
      <c r="S35">
        <f>(E35/100000+F35/100+(O35/1000)*J35/5+R35/200)*200*I35*H35</f>
        <v/>
      </c>
      <c r="T35">
        <f>((E35*F35/25000)+((O35/1000)*J35*R35/2.5))*I35*H35</f>
        <v/>
      </c>
      <c r="U35">
        <f>(E35*F35*(O35/1000)*J35*R35*I35*H35)/12500000</f>
        <v/>
      </c>
      <c r="V35">
        <f>(S35+T35+U35)/3</f>
        <v/>
      </c>
      <c r="W35" s="5" t="n">
        <v>2400</v>
      </c>
      <c r="X35">
        <f>IFERROR(V35-W35,"")</f>
        <v/>
      </c>
      <c r="Y35">
        <f>IFERROR(ABS(X35)/MAX(W35,1),"")</f>
        <v/>
      </c>
      <c r="Z35">
        <f>IFERROR((W35-(((E35/100000+F35/100+R35/200)*200*I35*H35)+((E35*F35/25000)*I35*H35))/3)/(((J35/5)*200*I35*H35)+((J35*R35/2.5)*I35*H35)+((E35*F35*J35*R35*I35*H35)/12500000))/3*1000,"")</f>
        <v/>
      </c>
    </row>
    <row r="36">
      <c r="B36" s="6" t="inlineStr">
        <is>
          <t xml:space="preserve">  ↳ AtreusMG</t>
        </is>
      </c>
      <c r="C36" s="6" t="inlineStr">
        <is>
          <t>Armament</t>
        </is>
      </c>
      <c r="K36" s="5" t="n">
        <v>2000</v>
      </c>
      <c r="L36" s="5" t="n">
        <v>28</v>
      </c>
      <c r="M36" s="5" t="n">
        <v>4</v>
      </c>
      <c r="N36" s="5" t="n">
        <v>4</v>
      </c>
      <c r="O36" s="5" t="n">
        <v>4500</v>
      </c>
      <c r="P36" s="5" t="n">
        <v>1</v>
      </c>
      <c r="Q36">
        <f>L36+IF(M36&gt;1,N(N36)*(M36-1),0)</f>
        <v/>
      </c>
      <c r="R36">
        <f>IFERROR(K36*MAX(M36,1)/Q36*P36,0)</f>
        <v/>
      </c>
      <c r="AA36" s="6" t="inlineStr">
        <is>
          <t>^Grenade, ^HeavyCannon, ^MediumMissile, ^FlakWeapon, ^RA2Chaingun</t>
        </is>
      </c>
    </row>
    <row r="37">
      <c r="A37" t="inlineStr">
        <is>
          <t>starcraft</t>
        </is>
      </c>
      <c r="B37" t="inlineStr">
        <is>
          <t>protoss_dragoon</t>
        </is>
      </c>
      <c r="C37" t="inlineStr">
        <is>
          <t>Dragoon</t>
        </is>
      </c>
      <c r="D37" t="inlineStr"/>
      <c r="E37" s="5" t="n">
        <v>75000</v>
      </c>
      <c r="F37" s="5" t="n">
        <v>80</v>
      </c>
      <c r="G37" t="inlineStr">
        <is>
          <t>Medium</t>
        </is>
      </c>
      <c r="H37" s="5" t="n">
        <v>1</v>
      </c>
      <c r="I37" s="5" t="n">
        <v>1</v>
      </c>
      <c r="J37" s="5" t="n">
        <v>1</v>
      </c>
      <c r="O37">
        <f>MAX(O38)</f>
        <v/>
      </c>
      <c r="R37">
        <f>R38</f>
        <v/>
      </c>
      <c r="S37">
        <f>(E37/100000+F37/100+(O37/1000)*J37/5+R37/200)*200*I37*H37</f>
        <v/>
      </c>
      <c r="T37">
        <f>((E37*F37/25000)+((O37/1000)*J37*R37/2.5))*I37*H37</f>
        <v/>
      </c>
      <c r="U37">
        <f>(E37*F37*(O37/1000)*J37*R37*I37*H37)/12500000</f>
        <v/>
      </c>
      <c r="V37">
        <f>(S37+T37+U37)/3</f>
        <v/>
      </c>
      <c r="W37" s="5" t="n">
        <v>1200</v>
      </c>
      <c r="X37">
        <f>IFERROR(V37-W37,"")</f>
        <v/>
      </c>
      <c r="Y37">
        <f>IFERROR(ABS(X37)/MAX(W37,1),"")</f>
        <v/>
      </c>
      <c r="Z37">
        <f>IFERROR((W37-(((E37/100000+F37/100+R37/200)*200*I37*H37)+((E37*F37/25000)*I37*H37))/3)/(((J37/5)*200*I37*H37)+((J37*R37/2.5)*I37*H37)+((E37*F37*J37*R37*I37*H37)/12500000))/3*1000,"")</f>
        <v/>
      </c>
    </row>
    <row r="38">
      <c r="B38" s="6" t="inlineStr">
        <is>
          <t xml:space="preserve">  ↳ DragoonCannon</t>
        </is>
      </c>
      <c r="C38" s="6" t="inlineStr">
        <is>
          <t>Armament</t>
        </is>
      </c>
      <c r="K38" s="5" t="n">
        <v>10000</v>
      </c>
      <c r="L38" s="5" t="n">
        <v>40</v>
      </c>
      <c r="M38" s="5" t="n">
        <v>1</v>
      </c>
      <c r="N38" s="5" t="n"/>
      <c r="O38" s="5" t="n">
        <v>5000</v>
      </c>
      <c r="P38" s="5" t="n">
        <v>1</v>
      </c>
      <c r="Q38">
        <f>L38+IF(M38&gt;1,N(N38)*(M38-1),0)</f>
        <v/>
      </c>
      <c r="R38">
        <f>IFERROR(K38*MAX(M38,1)/Q38*P38,0)</f>
        <v/>
      </c>
      <c r="AA38" s="6" t="inlineStr">
        <is>
          <t>^FlakWeapon, ^HeavyCannon, ^MediumCannon, ^TankDestroyerCannon</t>
        </is>
      </c>
    </row>
    <row r="39">
      <c r="A39" t="inlineStr">
        <is>
          <t>starcraft</t>
        </is>
      </c>
      <c r="B39" t="inlineStr">
        <is>
          <t>protoss_idol</t>
        </is>
      </c>
      <c r="C39" t="inlineStr">
        <is>
          <t>Idol</t>
        </is>
      </c>
      <c r="D39" t="inlineStr"/>
      <c r="E39" s="5" t="n">
        <v>350000</v>
      </c>
      <c r="F39" s="5" t="n">
        <v>40</v>
      </c>
      <c r="G39" t="inlineStr">
        <is>
          <t>Medium</t>
        </is>
      </c>
      <c r="H39" s="5" t="n">
        <v>0.75</v>
      </c>
      <c r="I39" s="5" t="n">
        <v>0.4</v>
      </c>
      <c r="J39" s="5" t="n">
        <v>1.25</v>
      </c>
      <c r="O39">
        <f>MAX(O40,O41,O42)</f>
        <v/>
      </c>
      <c r="R39">
        <f>R40+R41+R42</f>
        <v/>
      </c>
      <c r="S39">
        <f>(E39/100000+F39/100+(O39/1000)*J39/5+R39/200)*200*I39*H39</f>
        <v/>
      </c>
      <c r="T39">
        <f>((E39*F39/25000)+((O39/1000)*J39*R39/2.5))*I39*H39</f>
        <v/>
      </c>
      <c r="U39">
        <f>(E39*F39*(O39/1000)*J39*R39*I39*H39)/12500000</f>
        <v/>
      </c>
      <c r="V39">
        <f>(S39+T39+U39)/3</f>
        <v/>
      </c>
      <c r="W39" s="5" t="n">
        <v>2800</v>
      </c>
      <c r="X39">
        <f>IFERROR(V39-W39,"")</f>
        <v/>
      </c>
      <c r="Y39">
        <f>IFERROR(ABS(X39)/MAX(W39,1),"")</f>
        <v/>
      </c>
      <c r="Z39">
        <f>IFERROR((W39-(((E39/100000+F39/100+R39/200)*200*I39*H39)+((E39*F39/25000)*I39*H39))/3)/(((J39/5)*200*I39*H39)+((J39*R39/2.5)*I39*H39)+((E39*F39*J39*R39*I39*H39)/12500000))/3*1000,"")</f>
        <v/>
      </c>
    </row>
    <row r="40">
      <c r="B40" s="6" t="inlineStr">
        <is>
          <t xml:space="preserve">  ↳ WaveforceCannonChargedLaser</t>
        </is>
      </c>
      <c r="C40" s="6" t="inlineStr">
        <is>
          <t>Armament@Upgrade1</t>
        </is>
      </c>
      <c r="K40" s="5" t="n">
        <v>10000</v>
      </c>
      <c r="L40" s="5" t="n">
        <v>120</v>
      </c>
      <c r="M40" s="5" t="n">
        <v>1</v>
      </c>
      <c r="N40" s="5" t="n"/>
      <c r="O40" s="5" t="n">
        <v>9343</v>
      </c>
      <c r="P40" s="5" t="n">
        <v>1</v>
      </c>
      <c r="Q40">
        <f>L40+IF(M40&gt;1,N(N40)*(M40-1),0)</f>
        <v/>
      </c>
      <c r="R40">
        <f>IFERROR(K40*MAX(M40,1)/Q40*P40,0)</f>
        <v/>
      </c>
      <c r="AA40" s="6" t="inlineStr">
        <is>
          <t>^HeavyMissile, ^RailgunWeapon</t>
        </is>
      </c>
    </row>
    <row r="41">
      <c r="B41" s="6" t="inlineStr">
        <is>
          <t xml:space="preserve">  ↳ WaveforceCannonDistortedBeam1</t>
        </is>
      </c>
      <c r="C41" s="6" t="inlineStr">
        <is>
          <t>Armament@Upgrade2</t>
        </is>
      </c>
      <c r="K41" s="5" t="n">
        <v>10000</v>
      </c>
      <c r="L41" s="5" t="n">
        <v>120</v>
      </c>
      <c r="M41" s="5" t="n">
        <v>1</v>
      </c>
      <c r="N41" s="5" t="n"/>
      <c r="O41" s="5" t="n">
        <v>9343</v>
      </c>
      <c r="P41" s="5" t="n">
        <v>1</v>
      </c>
      <c r="Q41">
        <f>L41+IF(M41&gt;1,N(N41)*(M41-1),0)</f>
        <v/>
      </c>
      <c r="R41">
        <f>IFERROR(K41*MAX(M41,1)/Q41*P41,0)</f>
        <v/>
      </c>
      <c r="AA41" s="6" t="inlineStr">
        <is>
          <t>^TeslaWeapon, ^HeavyCannon</t>
        </is>
      </c>
    </row>
    <row r="42">
      <c r="B42" s="6" t="inlineStr">
        <is>
          <t xml:space="preserve">  ↳ WaveforceCannonDistortedBeam2</t>
        </is>
      </c>
      <c r="C42" s="6" t="inlineStr">
        <is>
          <t>Armament@Upgrade3</t>
        </is>
      </c>
      <c r="K42" s="5" t="n">
        <v>10000</v>
      </c>
      <c r="L42" s="5" t="n">
        <v>120</v>
      </c>
      <c r="M42" s="5" t="n">
        <v>1</v>
      </c>
      <c r="N42" s="5" t="n"/>
      <c r="O42" s="5" t="n">
        <v>9343</v>
      </c>
      <c r="P42" s="5" t="n">
        <v>1</v>
      </c>
      <c r="Q42">
        <f>L42+IF(M42&gt;1,N(N42)*(M42-1),0)</f>
        <v/>
      </c>
      <c r="R42">
        <f>IFERROR(K42*MAX(M42,1)/Q42*P42,0)</f>
        <v/>
      </c>
      <c r="AA42" s="6" t="inlineStr">
        <is>
          <t>^HeavyChemicalWeapon, ^HeavyFlameWeapon</t>
        </is>
      </c>
    </row>
    <row r="43">
      <c r="A43" t="inlineStr">
        <is>
          <t>starcraft</t>
        </is>
      </c>
      <c r="B43" t="inlineStr">
        <is>
          <t>protoss_manifold</t>
        </is>
      </c>
      <c r="C43" t="inlineStr">
        <is>
          <t>Manifold</t>
        </is>
      </c>
      <c r="D43" t="inlineStr"/>
      <c r="E43" s="5" t="n">
        <v>25000</v>
      </c>
      <c r="F43" s="5" t="n">
        <v>75</v>
      </c>
      <c r="G43" t="inlineStr">
        <is>
          <t>Light</t>
        </is>
      </c>
      <c r="H43" s="5" t="n">
        <v>1</v>
      </c>
      <c r="I43" s="5" t="n">
        <v>1</v>
      </c>
      <c r="J43" s="5" t="n">
        <v>1.25</v>
      </c>
      <c r="O43">
        <f>MAX(O44,O45)</f>
        <v/>
      </c>
      <c r="R43">
        <f>R44+R45</f>
        <v/>
      </c>
      <c r="S43">
        <f>(E43/100000+F43/100+(O43/1000)*J43/5+R43/200)*200*I43*H43</f>
        <v/>
      </c>
      <c r="T43">
        <f>((E43*F43/25000)+((O43/1000)*J43*R43/2.5))*I43*H43</f>
        <v/>
      </c>
      <c r="U43">
        <f>(E43*F43*(O43/1000)*J43*R43*I43*H43)/12500000</f>
        <v/>
      </c>
      <c r="V43">
        <f>(S43+T43+U43)/3</f>
        <v/>
      </c>
      <c r="W43" s="5" t="n">
        <v>600</v>
      </c>
      <c r="X43">
        <f>IFERROR(V43-W43,"")</f>
        <v/>
      </c>
      <c r="Y43">
        <f>IFERROR(ABS(X43)/MAX(W43,1),"")</f>
        <v/>
      </c>
      <c r="Z43">
        <f>IFERROR((W43-(((E43/100000+F43/100+R43/200)*200*I43*H43)+((E43*F43/25000)*I43*H43))/3)/(((J43/5)*200*I43*H43)+((J43*R43/2.5)*I43*H43)+((E43*F43*J43*R43*I43*H43)/12500000))/3*1000,"")</f>
        <v/>
      </c>
    </row>
    <row r="44">
      <c r="B44" s="6" t="inlineStr">
        <is>
          <t xml:space="preserve">  ↳ ManifoldMG</t>
        </is>
      </c>
      <c r="C44" s="6" t="inlineStr">
        <is>
          <t>Armament</t>
        </is>
      </c>
      <c r="K44" s="5" t="n">
        <v>2000</v>
      </c>
      <c r="L44" s="5" t="n">
        <v>20</v>
      </c>
      <c r="M44" s="5" t="n">
        <v>1</v>
      </c>
      <c r="N44" s="5" t="n"/>
      <c r="O44" s="5" t="n">
        <v>4780</v>
      </c>
      <c r="P44" s="5" t="n">
        <v>1</v>
      </c>
      <c r="Q44">
        <f>L44+IF(M44&gt;1,N(N44)*(M44-1),0)</f>
        <v/>
      </c>
      <c r="R44">
        <f>IFERROR(K44*MAX(M44,1)/Q44*P44,0)</f>
        <v/>
      </c>
      <c r="AA44" s="6" t="inlineStr">
        <is>
          <t>^Grenade, ^HeavyCannon, ^RA2Chaingun</t>
        </is>
      </c>
    </row>
    <row r="45">
      <c r="B45" s="6" t="inlineStr">
        <is>
          <t xml:space="preserve">  ↳ ManifoldMGAA</t>
        </is>
      </c>
      <c r="C45" s="6" t="inlineStr">
        <is>
          <t>Armament@AA</t>
        </is>
      </c>
      <c r="K45" s="5" t="n">
        <v>2000</v>
      </c>
      <c r="L45" s="5" t="n">
        <v>20</v>
      </c>
      <c r="M45" s="5" t="n">
        <v>1</v>
      </c>
      <c r="N45" s="5" t="n"/>
      <c r="O45" s="5" t="n">
        <v>7170</v>
      </c>
      <c r="P45" s="5" t="n">
        <v>1</v>
      </c>
      <c r="Q45">
        <f>L45+IF(M45&gt;1,N(N45)*(M45-1),0)</f>
        <v/>
      </c>
      <c r="R45">
        <f>IFERROR(K45*MAX(M45,1)/Q45*P45,0)</f>
        <v/>
      </c>
      <c r="AA45" s="6" t="inlineStr">
        <is>
          <t>^Grenade, ^HeavyCannon, ^RA2Chaingun</t>
        </is>
      </c>
    </row>
    <row r="46">
      <c r="A46" t="inlineStr">
        <is>
          <t>starcraft</t>
        </is>
      </c>
      <c r="B46" t="inlineStr">
        <is>
          <t>protoss_mobilenexus</t>
        </is>
      </c>
      <c r="C46" t="inlineStr">
        <is>
          <t>Protoss Mobile Nexus</t>
        </is>
      </c>
      <c r="D46" t="inlineStr"/>
      <c r="E46" s="5" t="n">
        <v>300000</v>
      </c>
      <c r="F46" s="5" t="n">
        <v>75</v>
      </c>
      <c r="G46" t="inlineStr">
        <is>
          <t>Medium</t>
        </is>
      </c>
      <c r="H46" s="5" t="n">
        <v>1</v>
      </c>
      <c r="I46" s="5" t="n">
        <v>1</v>
      </c>
      <c r="J46" s="5" t="n">
        <v>1</v>
      </c>
      <c r="W46" s="5" t="n">
        <v>5000</v>
      </c>
    </row>
    <row r="47">
      <c r="A47" t="inlineStr">
        <is>
          <t>starcraft</t>
        </is>
      </c>
      <c r="B47" t="inlineStr">
        <is>
          <t>protoss_positron</t>
        </is>
      </c>
      <c r="C47" t="inlineStr">
        <is>
          <t>Positron</t>
        </is>
      </c>
      <c r="D47" t="inlineStr"/>
      <c r="E47" s="5" t="n">
        <v>60000</v>
      </c>
      <c r="F47" s="5" t="n">
        <v>120</v>
      </c>
      <c r="G47" t="inlineStr">
        <is>
          <t>Light</t>
        </is>
      </c>
      <c r="H47" s="5" t="n">
        <v>1</v>
      </c>
      <c r="I47" s="5" t="n">
        <v>0.5</v>
      </c>
      <c r="J47" s="5" t="n">
        <v>2</v>
      </c>
      <c r="O47">
        <f>MAX(O48)</f>
        <v/>
      </c>
      <c r="R47">
        <f>R48</f>
        <v/>
      </c>
      <c r="S47">
        <f>(E47/100000+F47/100+(O47/1000)*J47/5+R47/200)*200*I47*H47</f>
        <v/>
      </c>
      <c r="T47">
        <f>((E47*F47/25000)+((O47/1000)*J47*R47/2.5))*I47*H47</f>
        <v/>
      </c>
      <c r="U47">
        <f>(E47*F47*(O47/1000)*J47*R47*I47*H47)/12500000</f>
        <v/>
      </c>
      <c r="V47">
        <f>(S47+T47+U47)/3</f>
        <v/>
      </c>
      <c r="W47" s="5" t="n">
        <v>1200</v>
      </c>
      <c r="X47">
        <f>IFERROR(V47-W47,"")</f>
        <v/>
      </c>
      <c r="Y47">
        <f>IFERROR(ABS(X47)/MAX(W47,1),"")</f>
        <v/>
      </c>
      <c r="Z47">
        <f>IFERROR((W47-(((E47/100000+F47/100+R47/200)*200*I47*H47)+((E47*F47/25000)*I47*H47))/3)/(((J47/5)*200*I47*H47)+((J47*R47/2.5)*I47*H47)+((E47*F47*J47*R47*I47*H47)/12500000))/3*1000,"")</f>
        <v/>
      </c>
    </row>
    <row r="48">
      <c r="B48" s="6" t="inlineStr">
        <is>
          <t xml:space="preserve">  ↳ PositronGrenade</t>
        </is>
      </c>
      <c r="C48" s="6" t="inlineStr">
        <is>
          <t>Armament</t>
        </is>
      </c>
      <c r="K48" s="5" t="n">
        <v>8000</v>
      </c>
      <c r="L48" s="5" t="n">
        <v>30</v>
      </c>
      <c r="M48" s="5" t="n">
        <v>1</v>
      </c>
      <c r="N48" s="5" t="n"/>
      <c r="O48" s="5" t="n">
        <v>5044</v>
      </c>
      <c r="P48" s="5" t="n">
        <v>1</v>
      </c>
      <c r="Q48">
        <f>L48+IF(M48&gt;1,N(N48)*(M48-1),0)</f>
        <v/>
      </c>
      <c r="R48">
        <f>IFERROR(K48*MAX(M48,1)/Q48*P48,0)</f>
        <v/>
      </c>
      <c r="AA48" s="6" t="inlineStr">
        <is>
          <t>^SmallArms, ^FlakWeapon, ^Grenade, ^TankDestroyerCannon, ^MediumCannon</t>
        </is>
      </c>
    </row>
    <row r="49">
      <c r="A49" t="inlineStr">
        <is>
          <t>starcraft</t>
        </is>
      </c>
      <c r="B49" t="inlineStr">
        <is>
          <t>protoss_probe</t>
        </is>
      </c>
      <c r="C49" t="inlineStr">
        <is>
          <t>Protoss Probe</t>
        </is>
      </c>
      <c r="D49" t="inlineStr"/>
      <c r="E49" s="5" t="n">
        <v>45000</v>
      </c>
      <c r="F49" s="5" t="n">
        <v>100</v>
      </c>
      <c r="G49" t="inlineStr">
        <is>
          <t>Light</t>
        </is>
      </c>
      <c r="H49" s="5" t="n">
        <v>1</v>
      </c>
      <c r="I49" s="5" t="n">
        <v>1</v>
      </c>
      <c r="J49" s="5" t="n">
        <v>1</v>
      </c>
      <c r="O49">
        <f>MAX(O50)</f>
        <v/>
      </c>
      <c r="R49">
        <f>R50</f>
        <v/>
      </c>
      <c r="S49">
        <f>(E49/100000+F49/100+(O49/1000)*J49/5+R49/200)*200*I49*H49</f>
        <v/>
      </c>
      <c r="T49">
        <f>((E49*F49/25000)+((O49/1000)*J49*R49/2.5))*I49*H49</f>
        <v/>
      </c>
      <c r="U49">
        <f>(E49*F49*(O49/1000)*J49*R49*I49*H49)/12500000</f>
        <v/>
      </c>
      <c r="V49">
        <f>(S49+T49+U49)/3</f>
        <v/>
      </c>
      <c r="W49" s="5" t="n">
        <v>500</v>
      </c>
      <c r="X49">
        <f>IFERROR(V49-W49,"")</f>
        <v/>
      </c>
      <c r="Y49">
        <f>IFERROR(ABS(X49)/MAX(W49,1),"")</f>
        <v/>
      </c>
      <c r="Z49">
        <f>IFERROR((W49-(((E49/100000+F49/100+R49/200)*200*I49*H49)+((E49*F49/25000)*I49*H49))/3)/(((J49/5)*200*I49*H49)+((J49*R49/2.5)*I49*H49)+((E49*F49*J49*R49*I49*H49)/12500000))/3*1000,"")</f>
        <v/>
      </c>
    </row>
    <row r="50">
      <c r="B50" s="6" t="inlineStr">
        <is>
          <t xml:space="preserve">  ↳ ProbeAttack</t>
        </is>
      </c>
      <c r="C50" s="6" t="inlineStr">
        <is>
          <t>Armament</t>
        </is>
      </c>
      <c r="K50" s="5" t="n">
        <v>10000</v>
      </c>
      <c r="L50" s="5" t="n">
        <v>25</v>
      </c>
      <c r="M50" s="5" t="n">
        <v>1</v>
      </c>
      <c r="N50" s="5" t="n"/>
      <c r="O50" s="5" t="n">
        <v>1500</v>
      </c>
      <c r="P50" s="5" t="n">
        <v>1</v>
      </c>
      <c r="Q50">
        <f>L50+IF(M50&gt;1,N(N50)*(M50-1),0)</f>
        <v/>
      </c>
      <c r="R50">
        <f>IFERROR(K50*MAX(M50,1)/Q50*P50,0)</f>
        <v/>
      </c>
      <c r="AA50" s="6" t="inlineStr">
        <is>
          <t>^WorkerAttack</t>
        </is>
      </c>
    </row>
    <row r="51">
      <c r="A51" t="inlineStr">
        <is>
          <t>starcraft</t>
        </is>
      </c>
      <c r="B51" t="inlineStr">
        <is>
          <t>protoss_reaver</t>
        </is>
      </c>
      <c r="C51" t="inlineStr">
        <is>
          <t>Reaver</t>
        </is>
      </c>
      <c r="D51" t="inlineStr"/>
      <c r="E51" s="5" t="n">
        <v>275000</v>
      </c>
      <c r="F51" s="5" t="n">
        <v>40</v>
      </c>
      <c r="G51" t="inlineStr">
        <is>
          <t>Heavy</t>
        </is>
      </c>
      <c r="H51" s="5" t="n">
        <v>1</v>
      </c>
      <c r="I51" s="5" t="n">
        <v>1</v>
      </c>
      <c r="J51" s="5" t="n">
        <v>1</v>
      </c>
      <c r="O51">
        <f>MAX(O52,O53)</f>
        <v/>
      </c>
      <c r="R51">
        <f>R52+R53</f>
        <v/>
      </c>
      <c r="S51">
        <f>(E51/100000+F51/100+(O51/1000)*J51/5+R51/200)*200*I51*H51</f>
        <v/>
      </c>
      <c r="T51">
        <f>((E51*F51/25000)+((O51/1000)*J51*R51/2.5))*I51*H51</f>
        <v/>
      </c>
      <c r="U51">
        <f>(E51*F51*(O51/1000)*J51*R51*I51*H51)/12500000</f>
        <v/>
      </c>
      <c r="V51">
        <f>(S51+T51+U51)/3</f>
        <v/>
      </c>
      <c r="W51" s="5" t="n">
        <v>2700</v>
      </c>
      <c r="X51">
        <f>IFERROR(V51-W51,"")</f>
        <v/>
      </c>
      <c r="Y51">
        <f>IFERROR(ABS(X51)/MAX(W51,1),"")</f>
        <v/>
      </c>
      <c r="Z51">
        <f>IFERROR((W51-(((E51/100000+F51/100+R51/200)*200*I51*H51)+((E51*F51/25000)*I51*H51))/3)/(((J51/5)*200*I51*H51)+((J51*R51/2.5)*I51*H51)+((E51*F51*J51*R51*I51*H51)/12500000))/3*1000,"")</f>
        <v/>
      </c>
    </row>
    <row r="52">
      <c r="B52" s="6" t="inlineStr">
        <is>
          <t xml:space="preserve">  ↳ ScarabLaunch</t>
        </is>
      </c>
      <c r="C52" s="6" t="inlineStr">
        <is>
          <t>Armament@primary</t>
        </is>
      </c>
      <c r="K52" s="5" t="n">
        <v>50000</v>
      </c>
      <c r="L52" s="5" t="n">
        <v>90</v>
      </c>
      <c r="M52" s="5" t="n">
        <v>1</v>
      </c>
      <c r="N52" s="5" t="n"/>
      <c r="O52" s="5" t="n">
        <v>7777</v>
      </c>
      <c r="P52" s="5" t="n">
        <v>1</v>
      </c>
      <c r="Q52">
        <f>L52+IF(M52&gt;1,N(N52)*(M52-1),0)</f>
        <v/>
      </c>
      <c r="R52">
        <f>IFERROR(K52*MAX(M52,1)/Q52*P52,0)</f>
        <v/>
      </c>
      <c r="AA52" s="6" t="inlineStr">
        <is>
          <t>^HeavyBomb, ^ShrapnelWeapon, ^HeavyCannon, ^MediumMissile</t>
        </is>
      </c>
    </row>
    <row r="53">
      <c r="B53" s="6" t="inlineStr">
        <is>
          <t xml:space="preserve">  ↳ ScarabLaunchDummy</t>
        </is>
      </c>
      <c r="C53" s="6" t="inlineStr">
        <is>
          <t>Armament@secondary</t>
        </is>
      </c>
      <c r="K53" s="5" t="n">
        <v>0</v>
      </c>
      <c r="L53" s="5" t="n">
        <v>90</v>
      </c>
      <c r="M53" s="5" t="n">
        <v>1</v>
      </c>
      <c r="N53" s="5" t="n"/>
      <c r="O53" s="5" t="n">
        <v>7777</v>
      </c>
      <c r="P53" s="5" t="n">
        <v>1</v>
      </c>
      <c r="Q53">
        <f>L53+IF(M53&gt;1,N(N53)*(M53-1),0)</f>
        <v/>
      </c>
      <c r="R53">
        <f>IFERROR(K53*MAX(M53,1)/Q53*P53,0)</f>
        <v/>
      </c>
      <c r="AA53" s="6" t="inlineStr"/>
    </row>
    <row r="54">
      <c r="A54" s="3" t="inlineStr">
        <is>
          <t>AIRCRAFT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>
      <c r="A55" t="inlineStr">
        <is>
          <t>starcraft</t>
        </is>
      </c>
      <c r="B55" t="inlineStr">
        <is>
          <t>protoss_arbiter</t>
        </is>
      </c>
      <c r="C55" t="inlineStr">
        <is>
          <t>Arbiter</t>
        </is>
      </c>
      <c r="D55" t="inlineStr"/>
      <c r="E55" s="5" t="n">
        <v>225000</v>
      </c>
      <c r="F55" s="5" t="n">
        <v>75</v>
      </c>
      <c r="G55" t="inlineStr">
        <is>
          <t>Helicopter</t>
        </is>
      </c>
      <c r="H55" s="5" t="n">
        <v>1</v>
      </c>
      <c r="I55" s="5" t="n">
        <v>1</v>
      </c>
      <c r="J55" s="5" t="n">
        <v>2</v>
      </c>
      <c r="O55">
        <f>MAX(O56,O57)</f>
        <v/>
      </c>
      <c r="R55">
        <f>R56+R57</f>
        <v/>
      </c>
      <c r="S55">
        <f>(E55/100000+F55/100+(O55/1000)*J55/5+R55/200)*200*I55*H55</f>
        <v/>
      </c>
      <c r="T55">
        <f>((E55*F55/25000)+((O55/1000)*J55*R55/2.5))*I55*H55</f>
        <v/>
      </c>
      <c r="U55">
        <f>(E55*F55*(O55/1000)*J55*R55*I55*H55)/12500000</f>
        <v/>
      </c>
      <c r="V55">
        <f>(S55+T55+U55)/3</f>
        <v/>
      </c>
      <c r="W55" s="5" t="n">
        <v>4800</v>
      </c>
      <c r="X55">
        <f>IFERROR(V55-W55,"")</f>
        <v/>
      </c>
      <c r="Y55">
        <f>IFERROR(ABS(X55)/MAX(W55,1),"")</f>
        <v/>
      </c>
      <c r="Z55">
        <f>IFERROR((W55-(((E55/100000+F55/100+R55/200)*200*I55*H55)+((E55*F55/25000)*I55*H55))/3)/(((J55/5)*200*I55*H55)+((J55*R55/2.5)*I55*H55)+((E55*F55*J55*R55*I55*H55)/12500000))/3*1000,"")</f>
        <v/>
      </c>
    </row>
    <row r="56">
      <c r="B56" s="6" t="inlineStr">
        <is>
          <t xml:space="preserve">  ↳ ArbiterCannon</t>
        </is>
      </c>
      <c r="C56" s="6" t="inlineStr">
        <is>
          <t>Armament</t>
        </is>
      </c>
      <c r="K56" s="5" t="n">
        <v>10000</v>
      </c>
      <c r="L56" s="5" t="n">
        <v>25</v>
      </c>
      <c r="M56" s="5" t="n">
        <v>1</v>
      </c>
      <c r="N56" s="5" t="n"/>
      <c r="O56" s="5" t="n">
        <v>4280</v>
      </c>
      <c r="P56" s="5" t="n">
        <v>1</v>
      </c>
      <c r="Q56">
        <f>L56+IF(M56&gt;1,N(N56)*(M56-1),0)</f>
        <v/>
      </c>
      <c r="R56">
        <f>IFERROR(K56*MAX(M56,1)/Q56*P56,0)</f>
        <v/>
      </c>
      <c r="AA56" s="6" t="inlineStr">
        <is>
          <t>^FlakWeapon, ^HeavyCannon, ^MediumCannon, ^TankDestroyerCannon</t>
        </is>
      </c>
    </row>
    <row r="57">
      <c r="B57" s="6" t="inlineStr">
        <is>
          <t xml:space="preserve">  ↳ ArbiterStasis</t>
        </is>
      </c>
      <c r="C57" s="6" t="inlineStr">
        <is>
          <t>Armament@2</t>
        </is>
      </c>
      <c r="K57" s="5" t="n"/>
      <c r="L57" s="5" t="n">
        <v>250</v>
      </c>
      <c r="M57" s="5" t="n">
        <v>1</v>
      </c>
      <c r="N57" s="5" t="n"/>
      <c r="O57" s="5" t="n">
        <v>4280</v>
      </c>
      <c r="P57" s="5" t="n">
        <v>1</v>
      </c>
      <c r="Q57">
        <f>L57+IF(M57&gt;1,N(N57)*(M57-1),0)</f>
        <v/>
      </c>
      <c r="R57">
        <f>IFERROR(K57*MAX(M57,1)/Q57*P57,0)</f>
        <v/>
      </c>
      <c r="AA57" s="6" t="inlineStr"/>
    </row>
    <row r="58">
      <c r="A58" t="inlineStr">
        <is>
          <t>starcraft</t>
        </is>
      </c>
      <c r="B58" t="inlineStr">
        <is>
          <t>protoss_carrier</t>
        </is>
      </c>
      <c r="C58" t="inlineStr">
        <is>
          <t>Carrier</t>
        </is>
      </c>
      <c r="D58" t="inlineStr"/>
      <c r="E58" s="5" t="n">
        <v>300000</v>
      </c>
      <c r="F58" s="5" t="n">
        <v>45</v>
      </c>
      <c r="G58" t="inlineStr">
        <is>
          <t>Spaceship</t>
        </is>
      </c>
      <c r="H58" s="5" t="n">
        <v>0.75</v>
      </c>
      <c r="I58" s="5" t="n">
        <v>1</v>
      </c>
      <c r="J58" s="5" t="n">
        <v>0.75</v>
      </c>
      <c r="O58">
        <f>MAX(O59)</f>
        <v/>
      </c>
      <c r="R58">
        <f>R59</f>
        <v/>
      </c>
      <c r="S58">
        <f>(E58/100000+F58/100+(O58/1000)*J58/5+R58/200)*200*I58*H58</f>
        <v/>
      </c>
      <c r="T58">
        <f>((E58*F58/25000)+((O58/1000)*J58*R58/2.5))*I58*H58</f>
        <v/>
      </c>
      <c r="U58">
        <f>(E58*F58*(O58/1000)*J58*R58*I58*H58)/12500000</f>
        <v/>
      </c>
      <c r="V58">
        <f>(S58+T58+U58)/3</f>
        <v/>
      </c>
      <c r="W58" s="5" t="n">
        <v>3000</v>
      </c>
      <c r="X58">
        <f>IFERROR(V58-W58,"")</f>
        <v/>
      </c>
      <c r="Y58">
        <f>IFERROR(ABS(X58)/MAX(W58,1),"")</f>
        <v/>
      </c>
      <c r="Z58">
        <f>IFERROR((W58-(((E58/100000+F58/100+R58/200)*200*I58*H58)+((E58*F58/25000)*I58*H58))/3)/(((J58/5)*200*I58*H58)+((J58*R58/2.5)*I58*H58)+((E58*F58*J58*R58*I58*H58)/12500000))/3*1000,"")</f>
        <v/>
      </c>
    </row>
    <row r="59">
      <c r="B59" s="6" t="inlineStr">
        <is>
          <t xml:space="preserve">  ↳ InterceptorLauncher</t>
        </is>
      </c>
      <c r="C59" s="6" t="inlineStr">
        <is>
          <t>Armament</t>
        </is>
      </c>
      <c r="K59" s="5" t="n"/>
      <c r="L59" s="5" t="n">
        <v>100</v>
      </c>
      <c r="M59" s="5" t="n">
        <v>5</v>
      </c>
      <c r="N59" s="5" t="n">
        <v>10</v>
      </c>
      <c r="O59" s="5" t="n">
        <v>10000</v>
      </c>
      <c r="P59" s="5" t="n">
        <v>1</v>
      </c>
      <c r="Q59">
        <f>L59+IF(M59&gt;1,N(N59)*(M59-1),0)</f>
        <v/>
      </c>
      <c r="R59">
        <f>IFERROR(K59*MAX(M59,1)/Q59*P59,0)</f>
        <v/>
      </c>
      <c r="AA59" s="6" t="inlineStr"/>
    </row>
    <row r="60">
      <c r="A60" t="inlineStr">
        <is>
          <t>starcraft</t>
        </is>
      </c>
      <c r="B60" t="inlineStr">
        <is>
          <t>protoss_corsair</t>
        </is>
      </c>
      <c r="C60" t="inlineStr">
        <is>
          <t>Corsair</t>
        </is>
      </c>
      <c r="D60" t="inlineStr"/>
      <c r="E60" s="5" t="n">
        <v>125000</v>
      </c>
      <c r="F60" s="5" t="n">
        <v>125</v>
      </c>
      <c r="G60" t="inlineStr">
        <is>
          <t>Helicopter</t>
        </is>
      </c>
      <c r="H60" s="5" t="n">
        <v>1</v>
      </c>
      <c r="I60" s="5" t="n">
        <v>1</v>
      </c>
      <c r="J60" s="5" t="n">
        <v>2</v>
      </c>
      <c r="O60">
        <f>MAX(O61,O62,O63)</f>
        <v/>
      </c>
      <c r="R60">
        <f>R61+R62+R63</f>
        <v/>
      </c>
      <c r="S60">
        <f>(E60/100000+F60/100+(O60/1000)*J60/5+R60/200)*200*I60*H60</f>
        <v/>
      </c>
      <c r="T60">
        <f>((E60*F60/25000)+((O60/1000)*J60*R60/2.5))*I60*H60</f>
        <v/>
      </c>
      <c r="U60">
        <f>(E60*F60*(O60/1000)*J60*R60*I60*H60)/12500000</f>
        <v/>
      </c>
      <c r="V60">
        <f>(S60+T60+U60)/3</f>
        <v/>
      </c>
      <c r="W60" s="5" t="n">
        <v>2100</v>
      </c>
      <c r="X60">
        <f>IFERROR(V60-W60,"")</f>
        <v/>
      </c>
      <c r="Y60">
        <f>IFERROR(ABS(X60)/MAX(W60,1),"")</f>
        <v/>
      </c>
      <c r="Z60">
        <f>IFERROR((W60-(((E60/100000+F60/100+R60/200)*200*I60*H60)+((E60*F60/25000)*I60*H60))/3)/(((J60/5)*200*I60*H60)+((J60*R60/2.5)*I60*H60)+((E60*F60*J60*R60*I60*H60)/12500000))/3*1000,"")</f>
        <v/>
      </c>
    </row>
    <row r="61">
      <c r="B61" s="6" t="inlineStr">
        <is>
          <t xml:space="preserve">  ↳ CorsairEMP</t>
        </is>
      </c>
      <c r="C61" s="6" t="inlineStr">
        <is>
          <t>Armament@PRIMARY</t>
        </is>
      </c>
      <c r="K61" s="5" t="n">
        <v>5000</v>
      </c>
      <c r="L61" s="5" t="n">
        <v>250</v>
      </c>
      <c r="M61" s="5" t="n">
        <v>1</v>
      </c>
      <c r="N61" s="5" t="n"/>
      <c r="O61" s="5" t="n">
        <v>5500</v>
      </c>
      <c r="P61" s="5" t="n">
        <v>1</v>
      </c>
      <c r="Q61">
        <f>L61+IF(M61&gt;1,N(N61)*(M61-1),0)</f>
        <v/>
      </c>
      <c r="R61">
        <f>IFERROR(K61*MAX(M61,1)/Q61*P61,0)</f>
        <v/>
      </c>
      <c r="AA61" s="6" t="inlineStr">
        <is>
          <t>^TeslaChargedWeapon</t>
        </is>
      </c>
    </row>
    <row r="62">
      <c r="B62" s="6" t="inlineStr">
        <is>
          <t xml:space="preserve">  ↳ CorsairFlash</t>
        </is>
      </c>
      <c r="C62" s="6" t="inlineStr">
        <is>
          <t>Armament@SECONDARY1</t>
        </is>
      </c>
      <c r="K62" s="5" t="n">
        <v>2000</v>
      </c>
      <c r="L62" s="5" t="n">
        <v>65</v>
      </c>
      <c r="M62" s="5" t="n">
        <v>1</v>
      </c>
      <c r="N62" s="5" t="n"/>
      <c r="O62" s="5" t="n">
        <v>5500</v>
      </c>
      <c r="P62" s="5" t="n">
        <v>1</v>
      </c>
      <c r="Q62">
        <f>L62+IF(M62&gt;1,N(N62)*(M62-1),0)</f>
        <v/>
      </c>
      <c r="R62">
        <f>IFERROR(K62*MAX(M62,1)/Q62*P62,0)</f>
        <v/>
      </c>
      <c r="AA62" s="6" t="inlineStr">
        <is>
          <t>^Grenade, ^HeavyCannon, ^FlakWeapon, ^RA2Chaingun</t>
        </is>
      </c>
    </row>
    <row r="63">
      <c r="B63" s="6" t="inlineStr">
        <is>
          <t xml:space="preserve">  ↳ CorsairFlash</t>
        </is>
      </c>
      <c r="C63" s="6" t="inlineStr">
        <is>
          <t>Armament@SECONDARY2</t>
        </is>
      </c>
      <c r="K63" s="5" t="n">
        <v>2000</v>
      </c>
      <c r="L63" s="5" t="n">
        <v>65</v>
      </c>
      <c r="M63" s="5" t="n">
        <v>1</v>
      </c>
      <c r="N63" s="5" t="n"/>
      <c r="O63" s="5" t="n">
        <v>5500</v>
      </c>
      <c r="P63" s="5" t="n">
        <v>1</v>
      </c>
      <c r="Q63">
        <f>L63+IF(M63&gt;1,N(N63)*(M63-1),0)</f>
        <v/>
      </c>
      <c r="R63">
        <f>IFERROR(K63*MAX(M63,1)/Q63*P63,0)</f>
        <v/>
      </c>
      <c r="AA63" s="6" t="inlineStr">
        <is>
          <t>^Grenade, ^HeavyCannon, ^FlakWeapon, ^RA2Chaingun</t>
        </is>
      </c>
    </row>
    <row r="64">
      <c r="A64" t="inlineStr">
        <is>
          <t>starcraft</t>
        </is>
      </c>
      <c r="B64" t="inlineStr">
        <is>
          <t>protoss_epigraph</t>
        </is>
      </c>
      <c r="C64" t="inlineStr">
        <is>
          <t>Epigraph</t>
        </is>
      </c>
      <c r="D64" t="inlineStr"/>
      <c r="E64" s="5" t="n">
        <v>200000</v>
      </c>
      <c r="F64" s="5" t="n">
        <v>100</v>
      </c>
      <c r="G64" t="inlineStr">
        <is>
          <t>Helicopter</t>
        </is>
      </c>
      <c r="H64" s="5" t="n">
        <v>1</v>
      </c>
      <c r="I64" s="5" t="n">
        <v>1</v>
      </c>
      <c r="J64" s="5" t="n">
        <v>1</v>
      </c>
      <c r="O64">
        <f>MAX(O65,O66)</f>
        <v/>
      </c>
      <c r="R64">
        <f>R65+R66</f>
        <v/>
      </c>
      <c r="S64">
        <f>(E64/100000+F64/100+(O64/1000)*J64/5+R64/200)*200*I64*H64</f>
        <v/>
      </c>
      <c r="T64">
        <f>((E64*F64/25000)+((O64/1000)*J64*R64/2.5))*I64*H64</f>
        <v/>
      </c>
      <c r="U64">
        <f>(E64*F64*(O64/1000)*J64*R64*I64*H64)/12500000</f>
        <v/>
      </c>
      <c r="V64">
        <f>(S64+T64+U64)/3</f>
        <v/>
      </c>
      <c r="W64" s="5" t="n">
        <v>2600</v>
      </c>
      <c r="X64">
        <f>IFERROR(V64-W64,"")</f>
        <v/>
      </c>
      <c r="Y64">
        <f>IFERROR(ABS(X64)/MAX(W64,1),"")</f>
        <v/>
      </c>
      <c r="Z64">
        <f>IFERROR((W64-(((E64/100000+F64/100+R64/200)*200*I64*H64)+((E64*F64/25000)*I64*H64))/3)/(((J64/5)*200*I64*H64)+((J64*R64/2.5)*I64*H64)+((E64*F64*J64*R64*I64*H64)/12500000))/3*1000,"")</f>
        <v/>
      </c>
    </row>
    <row r="65">
      <c r="B65" s="6" t="inlineStr">
        <is>
          <t xml:space="preserve">  ↳ EpigraphMG</t>
        </is>
      </c>
      <c r="C65" s="6" t="inlineStr">
        <is>
          <t>Armament@PRIMARY</t>
        </is>
      </c>
      <c r="K65" s="5" t="n">
        <v>2000</v>
      </c>
      <c r="L65" s="5" t="n">
        <v>36</v>
      </c>
      <c r="M65" s="5" t="n">
        <v>1</v>
      </c>
      <c r="N65" s="5" t="n"/>
      <c r="O65" s="5" t="n">
        <v>5077</v>
      </c>
      <c r="P65" s="5" t="n">
        <v>1</v>
      </c>
      <c r="Q65">
        <f>L65+IF(M65&gt;1,N(N65)*(M65-1),0)</f>
        <v/>
      </c>
      <c r="R65">
        <f>IFERROR(K65*MAX(M65,1)/Q65*P65,0)</f>
        <v/>
      </c>
      <c r="AA65" s="6" t="inlineStr">
        <is>
          <t>^Grenade, ^ArrowWeapon, ^LightMissile, ^MediumMissile, ^HeavyMissile, ^MediumChemicalWeapon, ^HeavyAAWeapon, ^HeavyCannon, ^FlakWeapon, ^Chaingun</t>
        </is>
      </c>
    </row>
    <row r="66">
      <c r="B66" s="6" t="inlineStr">
        <is>
          <t xml:space="preserve">  ↳ EpigraphMG</t>
        </is>
      </c>
      <c r="C66" s="6" t="inlineStr">
        <is>
          <t>Armament@SECONDARY</t>
        </is>
      </c>
      <c r="K66" s="5" t="n">
        <v>2000</v>
      </c>
      <c r="L66" s="5" t="n">
        <v>36</v>
      </c>
      <c r="M66" s="5" t="n">
        <v>1</v>
      </c>
      <c r="N66" s="5" t="n"/>
      <c r="O66" s="5" t="n">
        <v>5077</v>
      </c>
      <c r="P66" s="5" t="n">
        <v>1</v>
      </c>
      <c r="Q66">
        <f>L66+IF(M66&gt;1,N(N66)*(M66-1),0)</f>
        <v/>
      </c>
      <c r="R66">
        <f>IFERROR(K66*MAX(M66,1)/Q66*P66,0)</f>
        <v/>
      </c>
      <c r="AA66" s="6" t="inlineStr">
        <is>
          <t>^Grenade, ^ArrowWeapon, ^LightMissile, ^MediumMissile, ^HeavyMissile, ^MediumChemicalWeapon, ^HeavyAAWeapon, ^HeavyCannon, ^FlakWeapon, ^Chaingun</t>
        </is>
      </c>
    </row>
    <row r="67">
      <c r="A67" t="inlineStr">
        <is>
          <t>starcraft</t>
        </is>
      </c>
      <c r="B67" t="inlineStr">
        <is>
          <t>protoss_gladius</t>
        </is>
      </c>
      <c r="C67" t="inlineStr">
        <is>
          <t>Gladius</t>
        </is>
      </c>
      <c r="D67" t="inlineStr"/>
      <c r="E67" s="5" t="n">
        <v>100000</v>
      </c>
      <c r="F67" s="5" t="n">
        <v>50</v>
      </c>
      <c r="G67" t="inlineStr">
        <is>
          <t>Helicopter</t>
        </is>
      </c>
      <c r="H67" s="5" t="n">
        <v>1</v>
      </c>
      <c r="I67" s="5" t="n">
        <v>1</v>
      </c>
      <c r="J67" s="5" t="n">
        <v>1</v>
      </c>
      <c r="O67">
        <f>MAX(O68)</f>
        <v/>
      </c>
      <c r="R67">
        <f>R68</f>
        <v/>
      </c>
      <c r="S67">
        <f>(E67/100000+F67/100+(O67/1000)*J67/5+R67/200)*200*I67*H67</f>
        <v/>
      </c>
      <c r="T67">
        <f>((E67*F67/25000)+((O67/1000)*J67*R67/2.5))*I67*H67</f>
        <v/>
      </c>
      <c r="U67">
        <f>(E67*F67*(O67/1000)*J67*R67*I67*H67)/12500000</f>
        <v/>
      </c>
      <c r="V67">
        <f>(S67+T67+U67)/3</f>
        <v/>
      </c>
      <c r="W67" s="5" t="n">
        <v>1800</v>
      </c>
      <c r="X67">
        <f>IFERROR(V67-W67,"")</f>
        <v/>
      </c>
      <c r="Y67">
        <f>IFERROR(ABS(X67)/MAX(W67,1),"")</f>
        <v/>
      </c>
      <c r="Z67">
        <f>IFERROR((W67-(((E67/100000+F67/100+R67/200)*200*I67*H67)+((E67*F67/25000)*I67*H67))/3)/(((J67/5)*200*I67*H67)+((J67*R67/2.5)*I67*H67)+((E67*F67*J67*R67*I67*H67)/12500000))/3*1000,"")</f>
        <v/>
      </c>
    </row>
    <row r="68">
      <c r="B68" s="6" t="inlineStr">
        <is>
          <t xml:space="preserve">  ↳ GladiusCannon</t>
        </is>
      </c>
      <c r="C68" s="6" t="inlineStr">
        <is>
          <t>Armament</t>
        </is>
      </c>
      <c r="K68" s="5" t="n">
        <v>10000</v>
      </c>
      <c r="L68" s="5" t="n">
        <v>80</v>
      </c>
      <c r="M68" s="5" t="n">
        <v>1</v>
      </c>
      <c r="N68" s="5" t="n"/>
      <c r="O68" s="5" t="n">
        <v>10000</v>
      </c>
      <c r="P68" s="5" t="n">
        <v>1</v>
      </c>
      <c r="Q68">
        <f>L68+IF(M68&gt;1,N(N68)*(M68-1),0)</f>
        <v/>
      </c>
      <c r="R68">
        <f>IFERROR(K68*MAX(M68,1)/Q68*P68,0)</f>
        <v/>
      </c>
      <c r="AA68" s="6" t="inlineStr">
        <is>
          <t>^LightFlameWeapon, ^MediumChemicalWeapon, ^HeavyFlameWeapon, ^ShrapnelWeapon, ^FlakWeapon, ^HeavyCannon, ^MediumCannon, ^TankDestroyerCannon</t>
        </is>
      </c>
    </row>
    <row r="69">
      <c r="A69" t="inlineStr">
        <is>
          <t>starcraft</t>
        </is>
      </c>
      <c r="B69" t="inlineStr">
        <is>
          <t>protoss_observer</t>
        </is>
      </c>
      <c r="C69" t="inlineStr">
        <is>
          <t>Observer</t>
        </is>
      </c>
      <c r="D69" t="inlineStr"/>
      <c r="E69" s="5" t="n">
        <v>12500</v>
      </c>
      <c r="F69" s="5" t="n">
        <v>60</v>
      </c>
      <c r="G69" t="inlineStr">
        <is>
          <t>Helicopter</t>
        </is>
      </c>
      <c r="H69" s="5" t="n">
        <v>1</v>
      </c>
      <c r="I69" s="5" t="n">
        <v>1</v>
      </c>
      <c r="J69" s="5" t="n">
        <v>1</v>
      </c>
      <c r="W69" s="5" t="n">
        <v>500</v>
      </c>
    </row>
    <row r="70">
      <c r="A70" t="inlineStr">
        <is>
          <t>starcraft</t>
        </is>
      </c>
      <c r="B70" t="inlineStr">
        <is>
          <t>protoss_scout</t>
        </is>
      </c>
      <c r="C70" t="inlineStr">
        <is>
          <t>Scout</t>
        </is>
      </c>
      <c r="D70" t="inlineStr"/>
      <c r="E70" s="5" t="n">
        <v>75000</v>
      </c>
      <c r="F70" s="5" t="n">
        <v>150</v>
      </c>
      <c r="G70" t="inlineStr">
        <is>
          <t>Helicopter</t>
        </is>
      </c>
      <c r="H70" s="5" t="n">
        <v>1</v>
      </c>
      <c r="I70" s="5" t="n">
        <v>1</v>
      </c>
      <c r="J70" s="5" t="n">
        <v>1</v>
      </c>
      <c r="O70">
        <f>MAX(O71,O72,O73,O74)</f>
        <v/>
      </c>
      <c r="R70">
        <f>R71+R72+R73+R74</f>
        <v/>
      </c>
      <c r="S70">
        <f>(E70/100000+F70/100+(O70/1000)*J70/5+R70/200)*200*I70*H70</f>
        <v/>
      </c>
      <c r="T70">
        <f>((E70*F70/25000)+((O70/1000)*J70*R70/2.5))*I70*H70</f>
        <v/>
      </c>
      <c r="U70">
        <f>(E70*F70*(O70/1000)*J70*R70*I70*H70)/12500000</f>
        <v/>
      </c>
      <c r="V70">
        <f>(S70+T70+U70)/3</f>
        <v/>
      </c>
      <c r="W70" s="5" t="n">
        <v>1500</v>
      </c>
      <c r="X70">
        <f>IFERROR(V70-W70,"")</f>
        <v/>
      </c>
      <c r="Y70">
        <f>IFERROR(ABS(X70)/MAX(W70,1),"")</f>
        <v/>
      </c>
      <c r="Z70">
        <f>IFERROR((W70-(((E70/100000+F70/100+R70/200)*200*I70*H70)+((E70*F70/25000)*I70*H70))/3)/(((J70/5)*200*I70*H70)+((J70*R70/2.5)*I70*H70)+((E70*F70*J70*R70*I70*H70)/12500000))/3*1000,"")</f>
        <v/>
      </c>
    </row>
    <row r="71">
      <c r="B71" s="6" t="inlineStr">
        <is>
          <t xml:space="preserve">  ↳ ScoutMG</t>
        </is>
      </c>
      <c r="C71" s="6" t="inlineStr">
        <is>
          <t>Armament@PRIMARY1</t>
        </is>
      </c>
      <c r="K71" s="5" t="n">
        <v>2000</v>
      </c>
      <c r="L71" s="5" t="n">
        <v>32</v>
      </c>
      <c r="M71" s="5" t="n">
        <v>1</v>
      </c>
      <c r="N71" s="5" t="n"/>
      <c r="O71" s="5" t="n">
        <v>4500</v>
      </c>
      <c r="P71" s="5" t="n">
        <v>1</v>
      </c>
      <c r="Q71">
        <f>L71+IF(M71&gt;1,N(N71)*(M71-1),0)</f>
        <v/>
      </c>
      <c r="R71">
        <f>IFERROR(K71*MAX(M71,1)/Q71*P71,0)</f>
        <v/>
      </c>
      <c r="AA71" s="6" t="inlineStr">
        <is>
          <t>^Grenade, ^HeavyCannon, ^FlakWeapon, ^RA2Chaingun</t>
        </is>
      </c>
    </row>
    <row r="72">
      <c r="B72" s="6" t="inlineStr">
        <is>
          <t xml:space="preserve">  ↳ ScoutMG</t>
        </is>
      </c>
      <c r="C72" s="6" t="inlineStr">
        <is>
          <t>Armament@PRIMARY2</t>
        </is>
      </c>
      <c r="K72" s="5" t="n">
        <v>2000</v>
      </c>
      <c r="L72" s="5" t="n">
        <v>32</v>
      </c>
      <c r="M72" s="5" t="n">
        <v>1</v>
      </c>
      <c r="N72" s="5" t="n"/>
      <c r="O72" s="5" t="n">
        <v>4500</v>
      </c>
      <c r="P72" s="5" t="n">
        <v>1</v>
      </c>
      <c r="Q72">
        <f>L72+IF(M72&gt;1,N(N72)*(M72-1),0)</f>
        <v/>
      </c>
      <c r="R72">
        <f>IFERROR(K72*MAX(M72,1)/Q72*P72,0)</f>
        <v/>
      </c>
      <c r="AA72" s="6" t="inlineStr">
        <is>
          <t>^Grenade, ^HeavyCannon, ^FlakWeapon, ^RA2Chaingun</t>
        </is>
      </c>
    </row>
    <row r="73">
      <c r="B73" s="6" t="inlineStr">
        <is>
          <t xml:space="preserve">  ↳ ScoutRockets</t>
        </is>
      </c>
      <c r="C73" s="6" t="inlineStr">
        <is>
          <t>Armament@SECONDARY1</t>
        </is>
      </c>
      <c r="K73" s="5" t="n">
        <v>2000</v>
      </c>
      <c r="L73" s="5" t="n">
        <v>40</v>
      </c>
      <c r="M73" s="5" t="n">
        <v>1</v>
      </c>
      <c r="N73" s="5" t="n"/>
      <c r="O73" s="5" t="n">
        <v>4500</v>
      </c>
      <c r="P73" s="5" t="n">
        <v>1</v>
      </c>
      <c r="Q73">
        <f>L73+IF(M73&gt;1,N(N73)*(M73-1),0)</f>
        <v/>
      </c>
      <c r="R73">
        <f>IFERROR(K73*MAX(M73,1)/Q73*P73,0)</f>
        <v/>
      </c>
      <c r="AA73" s="6" t="inlineStr">
        <is>
          <t>^Chaingun, ^FlakWeapon, ^LightMissile, ^MediumMissile, ^D2KRocket</t>
        </is>
      </c>
    </row>
    <row r="74">
      <c r="B74" s="6" t="inlineStr">
        <is>
          <t xml:space="preserve">  ↳ ScoutRockets</t>
        </is>
      </c>
      <c r="C74" s="6" t="inlineStr">
        <is>
          <t>Armament@SECONDARY2</t>
        </is>
      </c>
      <c r="K74" s="5" t="n">
        <v>2000</v>
      </c>
      <c r="L74" s="5" t="n">
        <v>40</v>
      </c>
      <c r="M74" s="5" t="n">
        <v>1</v>
      </c>
      <c r="N74" s="5" t="n"/>
      <c r="O74" s="5" t="n">
        <v>4500</v>
      </c>
      <c r="P74" s="5" t="n">
        <v>1</v>
      </c>
      <c r="Q74">
        <f>L74+IF(M74&gt;1,N(N74)*(M74-1),0)</f>
        <v/>
      </c>
      <c r="R74">
        <f>IFERROR(K74*MAX(M74,1)/Q74*P74,0)</f>
        <v/>
      </c>
      <c r="AA74" s="6" t="inlineStr">
        <is>
          <t>^Chaingun, ^FlakWeapon, ^LightMissile, ^MediumMissile, ^D2KRocket</t>
        </is>
      </c>
    </row>
    <row r="75">
      <c r="A75" t="inlineStr">
        <is>
          <t>starcraft</t>
        </is>
      </c>
      <c r="B75" t="inlineStr">
        <is>
          <t>protoss_shuttle</t>
        </is>
      </c>
      <c r="C75" t="inlineStr">
        <is>
          <t>Shuttle</t>
        </is>
      </c>
      <c r="D75" t="inlineStr"/>
      <c r="E75" s="5" t="n">
        <v>100000</v>
      </c>
      <c r="F75" s="5" t="n">
        <v>150</v>
      </c>
      <c r="G75" t="inlineStr">
        <is>
          <t>Helicopter</t>
        </is>
      </c>
      <c r="H75" s="5" t="n">
        <v>1</v>
      </c>
      <c r="I75" s="5" t="n">
        <v>1</v>
      </c>
      <c r="J75" s="5" t="n">
        <v>1</v>
      </c>
      <c r="W75" s="5" t="n">
        <v>6000</v>
      </c>
    </row>
    <row r="76">
      <c r="A76" t="inlineStr">
        <is>
          <t>starcraft</t>
        </is>
      </c>
      <c r="B76" t="inlineStr">
        <is>
          <t>protoss_starshipsovereign</t>
        </is>
      </c>
      <c r="C76" t="inlineStr">
        <is>
          <t>Starship Sovereign</t>
        </is>
      </c>
      <c r="D76" t="inlineStr"/>
      <c r="E76" s="5" t="n">
        <v>750000</v>
      </c>
      <c r="F76" s="5" t="n">
        <v>40</v>
      </c>
      <c r="G76" t="inlineStr">
        <is>
          <t>Spaceship</t>
        </is>
      </c>
      <c r="H76" s="5" t="n">
        <v>0.75</v>
      </c>
      <c r="I76" s="5" t="n">
        <v>1</v>
      </c>
      <c r="J76" s="5" t="n">
        <v>1.25</v>
      </c>
      <c r="O76">
        <f>MAX(O77)</f>
        <v/>
      </c>
      <c r="R76">
        <f>R77</f>
        <v/>
      </c>
      <c r="S76">
        <f>(E76/100000+F76/100+(O76/1000)*J76/5+R76/200)*200*I76*H76</f>
        <v/>
      </c>
      <c r="T76">
        <f>((E76*F76/25000)+((O76/1000)*J76*R76/2.5))*I76*H76</f>
        <v/>
      </c>
      <c r="U76">
        <f>(E76*F76*(O76/1000)*J76*R76*I76*H76)/12500000</f>
        <v/>
      </c>
      <c r="V76">
        <f>(S76+T76+U76)/3</f>
        <v/>
      </c>
      <c r="W76" s="5" t="n">
        <v>10000</v>
      </c>
      <c r="X76">
        <f>IFERROR(V76-W76,"")</f>
        <v/>
      </c>
      <c r="Y76">
        <f>IFERROR(ABS(X76)/MAX(W76,1),"")</f>
        <v/>
      </c>
      <c r="Z76">
        <f>IFERROR((W76-(((E76/100000+F76/100+R76/200)*200*I76*H76)+((E76*F76/25000)*I76*H76))/3)/(((J76/5)*200*I76*H76)+((J76*R76/2.5)*I76*H76)+((E76*F76*J76*R76*I76*H76)/12500000))/3*1000,"")</f>
        <v/>
      </c>
    </row>
    <row r="77">
      <c r="B77" s="6" t="inlineStr">
        <is>
          <t xml:space="preserve">  ↳ StarshipSovereignBeam</t>
        </is>
      </c>
      <c r="C77" s="6" t="inlineStr">
        <is>
          <t>Armament</t>
        </is>
      </c>
      <c r="K77" s="5" t="n">
        <v>2000</v>
      </c>
      <c r="L77" s="5" t="n">
        <v>10</v>
      </c>
      <c r="M77" s="5" t="n">
        <v>1</v>
      </c>
      <c r="N77" s="5" t="n"/>
      <c r="O77" s="5" t="n">
        <v>8475</v>
      </c>
      <c r="P77" s="5" t="n">
        <v>1</v>
      </c>
      <c r="Q77">
        <f>L77+IF(M77&gt;1,N(N77)*(M77-1),0)</f>
        <v/>
      </c>
      <c r="R77">
        <f>IFERROR(K77*MAX(M77,1)/Q77*P77,0)</f>
        <v/>
      </c>
      <c r="AA77" s="6" t="inlineStr">
        <is>
          <t>^LightMissile, ^SmallArms, ^Chaingun, ^FlakWeapon, ^TeslaWeapon, ^LaserWeapon</t>
        </is>
      </c>
    </row>
    <row r="78">
      <c r="A78" t="inlineStr">
        <is>
          <t>starcraft</t>
        </is>
      </c>
      <c r="B78" t="inlineStr">
        <is>
          <t>protoss_voidray</t>
        </is>
      </c>
      <c r="C78" t="inlineStr">
        <is>
          <t>Void Ray</t>
        </is>
      </c>
      <c r="D78" t="inlineStr"/>
      <c r="E78" s="5" t="n">
        <v>70000</v>
      </c>
      <c r="F78" s="5" t="n">
        <v>140</v>
      </c>
      <c r="G78" t="inlineStr">
        <is>
          <t>Helicopter</t>
        </is>
      </c>
      <c r="H78" s="5" t="n">
        <v>1</v>
      </c>
      <c r="I78" s="5" t="n">
        <v>1</v>
      </c>
      <c r="J78" s="5" t="n">
        <v>1.5</v>
      </c>
      <c r="O78">
        <f>MAX(O79)</f>
        <v/>
      </c>
      <c r="R78">
        <f>R79</f>
        <v/>
      </c>
      <c r="S78">
        <f>(E78/100000+F78/100+(O78/1000)*J78/5+R78/200)*200*I78*H78</f>
        <v/>
      </c>
      <c r="T78">
        <f>((E78*F78/25000)+((O78/1000)*J78*R78/2.5))*I78*H78</f>
        <v/>
      </c>
      <c r="U78">
        <f>(E78*F78*(O78/1000)*J78*R78*I78*H78)/12500000</f>
        <v/>
      </c>
      <c r="V78">
        <f>(S78+T78+U78)/3</f>
        <v/>
      </c>
      <c r="W78" s="5" t="n">
        <v>1400</v>
      </c>
      <c r="X78">
        <f>IFERROR(V78-W78,"")</f>
        <v/>
      </c>
      <c r="Y78">
        <f>IFERROR(ABS(X78)/MAX(W78,1),"")</f>
        <v/>
      </c>
      <c r="Z78">
        <f>IFERROR((W78-(((E78/100000+F78/100+R78/200)*200*I78*H78)+((E78*F78/25000)*I78*H78))/3)/(((J78/5)*200*I78*H78)+((J78*R78/2.5)*I78*H78)+((E78*F78*J78*R78*I78*H78)/12500000))/3*1000,"")</f>
        <v/>
      </c>
    </row>
    <row r="79">
      <c r="B79" s="6" t="inlineStr">
        <is>
          <t xml:space="preserve">  ↳ VoidRayBeam</t>
        </is>
      </c>
      <c r="C79" s="6" t="inlineStr">
        <is>
          <t>Armament</t>
        </is>
      </c>
      <c r="K79" s="5" t="n">
        <v>2000</v>
      </c>
      <c r="L79" s="5" t="n">
        <v>6</v>
      </c>
      <c r="M79" s="5" t="n">
        <v>1</v>
      </c>
      <c r="N79" s="5" t="n"/>
      <c r="O79" s="5" t="n">
        <v>6474</v>
      </c>
      <c r="P79" s="5" t="n">
        <v>1</v>
      </c>
      <c r="Q79">
        <f>L79+IF(M79&gt;1,N(N79)*(M79-1),0)</f>
        <v/>
      </c>
      <c r="R79">
        <f>IFERROR(K79*MAX(M79,1)/Q79*P79,0)</f>
        <v/>
      </c>
      <c r="AA79" s="6" t="inlineStr">
        <is>
          <t>^LightMissile, ^SmallArms, ^Chaingun, ^FlakWeapon, ^TeslaWeapon, ^LaserWeapon</t>
        </is>
      </c>
    </row>
    <row r="80">
      <c r="A80" s="3" t="inlineStr">
        <is>
          <t>DEFENSES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>
      <c r="A81" t="inlineStr">
        <is>
          <t>starcraft</t>
        </is>
      </c>
      <c r="B81" t="inlineStr">
        <is>
          <t>protoss_photoncannon</t>
        </is>
      </c>
      <c r="C81" t="inlineStr">
        <is>
          <t>Photon Cannon</t>
        </is>
      </c>
      <c r="D81" t="inlineStr"/>
      <c r="E81" s="5" t="n">
        <v>200000</v>
      </c>
      <c r="F81" s="5" t="n">
        <v>100</v>
      </c>
      <c r="G81" t="inlineStr">
        <is>
          <t>Concrete</t>
        </is>
      </c>
      <c r="H81" s="5" t="n">
        <v>1</v>
      </c>
      <c r="I81" s="5" t="n">
        <v>0.325</v>
      </c>
      <c r="J81" s="5" t="n">
        <v>1</v>
      </c>
      <c r="O81">
        <f>MAX(O82)</f>
        <v/>
      </c>
      <c r="R81">
        <f>R82</f>
        <v/>
      </c>
      <c r="S81">
        <f>(E81/100000+F81/100+(O81/1000)*J81/5+R81/200)*200*I81*H81</f>
        <v/>
      </c>
      <c r="T81">
        <f>((E81*F81/25000)+((O81/1000)*J81*R81/2.5))*I81*H81</f>
        <v/>
      </c>
      <c r="U81">
        <f>(E81*F81*(O81/1000)*J81*R81*I81*H81)/12500000</f>
        <v/>
      </c>
      <c r="V81">
        <f>(S81+T81+U81)/3</f>
        <v/>
      </c>
      <c r="W81" s="5" t="n">
        <v>2000</v>
      </c>
      <c r="X81">
        <f>IFERROR(V81-W81,"")</f>
        <v/>
      </c>
      <c r="Y81">
        <f>IFERROR(ABS(X81)/MAX(W81,1),"")</f>
        <v/>
      </c>
      <c r="Z81">
        <f>IFERROR((W81-(((E81/100000+F81/100+R81/200)*200*I81*H81)+((E81*F81/25000)*I81*H81))/3)/(((J81/5)*200*I81*H81)+((J81*R81/2.5)*I81*H81)+((E81*F81*J81*R81*I81*H81)/12500000))/3*1000,"")</f>
        <v/>
      </c>
    </row>
    <row r="82">
      <c r="B82" s="6" t="inlineStr">
        <is>
          <t xml:space="preserve">  ↳ PhotonCannon</t>
        </is>
      </c>
      <c r="C82" s="6" t="inlineStr">
        <is>
          <t>Armament</t>
        </is>
      </c>
      <c r="K82" s="5" t="n">
        <v>10000</v>
      </c>
      <c r="L82" s="5" t="n">
        <v>28</v>
      </c>
      <c r="M82" s="5" t="n">
        <v>1</v>
      </c>
      <c r="N82" s="5" t="n"/>
      <c r="O82" s="5" t="n">
        <v>8228</v>
      </c>
      <c r="P82" s="5" t="n">
        <v>1</v>
      </c>
      <c r="Q82">
        <f>L82+IF(M82&gt;1,N(N82)*(M82-1),0)</f>
        <v/>
      </c>
      <c r="R82">
        <f>IFERROR(K82*MAX(M82,1)/Q82*P82,0)</f>
        <v/>
      </c>
      <c r="AA82" s="6" t="inlineStr">
        <is>
          <t>^FlakWeapon, ^HeavyCannon, ^MediumCannon, ^TankDestroyerCannon</t>
        </is>
      </c>
    </row>
    <row r="83">
      <c r="A83" s="3" t="inlineStr">
        <is>
          <t>BUILDINGS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>
      <c r="A84" t="inlineStr">
        <is>
          <t>starcraft</t>
        </is>
      </c>
      <c r="B84" t="inlineStr">
        <is>
          <t>protoss_arbitertribunal</t>
        </is>
      </c>
      <c r="C84" t="inlineStr">
        <is>
          <t>Arbiter Tribunal</t>
        </is>
      </c>
      <c r="D84" t="inlineStr"/>
      <c r="E84" s="5" t="n">
        <v>250000</v>
      </c>
      <c r="F84" s="5" t="n"/>
      <c r="G84" t="inlineStr">
        <is>
          <t>Wood</t>
        </is>
      </c>
      <c r="H84" s="5" t="n">
        <v>1</v>
      </c>
      <c r="I84" s="5" t="n">
        <v>1</v>
      </c>
      <c r="J84" s="5" t="n">
        <v>1</v>
      </c>
      <c r="W84" s="5" t="n">
        <v>2500</v>
      </c>
    </row>
    <row r="85">
      <c r="A85" t="inlineStr">
        <is>
          <t>starcraft</t>
        </is>
      </c>
      <c r="B85" t="inlineStr">
        <is>
          <t>protoss_assimilator</t>
        </is>
      </c>
      <c r="C85" t="inlineStr">
        <is>
          <t>Assimilator</t>
        </is>
      </c>
      <c r="D85" t="inlineStr"/>
      <c r="E85" s="5" t="n">
        <v>300000</v>
      </c>
      <c r="F85" s="5" t="n"/>
      <c r="G85" t="inlineStr">
        <is>
          <t>Concrete</t>
        </is>
      </c>
      <c r="H85" s="5" t="n">
        <v>1</v>
      </c>
      <c r="I85" s="5" t="n">
        <v>1</v>
      </c>
      <c r="J85" s="5" t="n">
        <v>1</v>
      </c>
      <c r="W85" s="5" t="n">
        <v>3000</v>
      </c>
    </row>
    <row r="86">
      <c r="A86" t="inlineStr">
        <is>
          <t>starcraft</t>
        </is>
      </c>
      <c r="B86" t="inlineStr">
        <is>
          <t>protoss_citadelofadun</t>
        </is>
      </c>
      <c r="C86" t="inlineStr">
        <is>
          <t>Citadel of Adun</t>
        </is>
      </c>
      <c r="D86" t="inlineStr"/>
      <c r="E86" s="5" t="n">
        <v>200000</v>
      </c>
      <c r="F86" s="5" t="n"/>
      <c r="G86" t="inlineStr">
        <is>
          <t>Wood</t>
        </is>
      </c>
      <c r="H86" s="5" t="n">
        <v>1</v>
      </c>
      <c r="I86" s="5" t="n">
        <v>1</v>
      </c>
      <c r="J86" s="5" t="n">
        <v>1</v>
      </c>
      <c r="W86" s="5" t="n">
        <v>2000</v>
      </c>
    </row>
    <row r="87">
      <c r="A87" t="inlineStr">
        <is>
          <t>starcraft</t>
        </is>
      </c>
      <c r="B87" t="inlineStr">
        <is>
          <t>protoss_cyberneticscore</t>
        </is>
      </c>
      <c r="C87" t="inlineStr">
        <is>
          <t>Cybernetics Core</t>
        </is>
      </c>
      <c r="D87" t="inlineStr"/>
      <c r="E87" s="5" t="n">
        <v>150000</v>
      </c>
      <c r="F87" s="5" t="n"/>
      <c r="G87" t="inlineStr">
        <is>
          <t>Wood</t>
        </is>
      </c>
      <c r="H87" s="5" t="n">
        <v>1</v>
      </c>
      <c r="I87" s="5" t="n">
        <v>1</v>
      </c>
      <c r="J87" s="5" t="n">
        <v>1</v>
      </c>
      <c r="W87" s="5" t="n">
        <v>1500</v>
      </c>
    </row>
    <row r="88">
      <c r="A88" t="inlineStr">
        <is>
          <t>starcraft</t>
        </is>
      </c>
      <c r="B88" t="inlineStr">
        <is>
          <t>protoss_fleetbeacon</t>
        </is>
      </c>
      <c r="C88" t="inlineStr">
        <is>
          <t>Fleet Beacon</t>
        </is>
      </c>
      <c r="D88" t="inlineStr"/>
      <c r="E88" s="5" t="n">
        <v>1000000</v>
      </c>
      <c r="F88" s="5" t="n"/>
      <c r="G88" t="inlineStr">
        <is>
          <t>Concrete</t>
        </is>
      </c>
      <c r="H88" s="5" t="n">
        <v>1</v>
      </c>
      <c r="I88" s="5" t="n">
        <v>1</v>
      </c>
      <c r="J88" s="5" t="n">
        <v>1</v>
      </c>
      <c r="W88" s="5" t="n">
        <v>10000</v>
      </c>
    </row>
    <row r="89">
      <c r="A89" t="inlineStr">
        <is>
          <t>starcraft</t>
        </is>
      </c>
      <c r="B89" t="inlineStr">
        <is>
          <t>protoss_forge</t>
        </is>
      </c>
      <c r="C89" t="inlineStr">
        <is>
          <t>Forge</t>
        </is>
      </c>
      <c r="D89" t="inlineStr"/>
      <c r="E89" s="5" t="n">
        <v>150000</v>
      </c>
      <c r="F89" s="5" t="n"/>
      <c r="G89" t="inlineStr">
        <is>
          <t>Wood</t>
        </is>
      </c>
      <c r="H89" s="5" t="n">
        <v>1</v>
      </c>
      <c r="I89" s="5" t="n">
        <v>1</v>
      </c>
      <c r="J89" s="5" t="n">
        <v>1</v>
      </c>
      <c r="W89" s="5" t="n">
        <v>1500</v>
      </c>
    </row>
    <row r="90">
      <c r="A90" t="inlineStr">
        <is>
          <t>starcraft</t>
        </is>
      </c>
      <c r="B90" t="inlineStr">
        <is>
          <t>protoss_gateway</t>
        </is>
      </c>
      <c r="C90" t="inlineStr">
        <is>
          <t>Gateway</t>
        </is>
      </c>
      <c r="D90" t="inlineStr"/>
      <c r="E90" s="5" t="n">
        <v>200000</v>
      </c>
      <c r="F90" s="5" t="n"/>
      <c r="G90" t="inlineStr">
        <is>
          <t>Wood</t>
        </is>
      </c>
      <c r="H90" s="5" t="n">
        <v>1</v>
      </c>
      <c r="I90" s="5" t="n">
        <v>1</v>
      </c>
      <c r="J90" s="5" t="n">
        <v>1</v>
      </c>
      <c r="W90" s="5" t="n">
        <v>1000</v>
      </c>
    </row>
    <row r="91">
      <c r="A91" t="inlineStr">
        <is>
          <t>starcraft</t>
        </is>
      </c>
      <c r="B91" t="inlineStr">
        <is>
          <t>protoss_nexus</t>
        </is>
      </c>
      <c r="C91" t="inlineStr">
        <is>
          <t>Nexus</t>
        </is>
      </c>
      <c r="D91" t="inlineStr"/>
      <c r="E91" s="5" t="n">
        <v>1000000</v>
      </c>
      <c r="F91" s="5" t="n"/>
      <c r="G91" t="inlineStr">
        <is>
          <t>Concrete</t>
        </is>
      </c>
      <c r="H91" s="5" t="n">
        <v>1</v>
      </c>
      <c r="I91" s="5" t="n">
        <v>1</v>
      </c>
      <c r="J91" s="5" t="n">
        <v>1</v>
      </c>
      <c r="W91" s="5" t="n">
        <v>5000</v>
      </c>
    </row>
    <row r="92">
      <c r="A92" t="inlineStr">
        <is>
          <t>starcraft</t>
        </is>
      </c>
      <c r="B92" t="inlineStr">
        <is>
          <t>protoss_observatory</t>
        </is>
      </c>
      <c r="C92" t="inlineStr">
        <is>
          <t>Observatory</t>
        </is>
      </c>
      <c r="D92" t="inlineStr"/>
      <c r="E92" s="5" t="n">
        <v>250000</v>
      </c>
      <c r="F92" s="5" t="n"/>
      <c r="G92" t="inlineStr">
        <is>
          <t>Wood</t>
        </is>
      </c>
      <c r="H92" s="5" t="n">
        <v>1</v>
      </c>
      <c r="I92" s="5" t="n">
        <v>1</v>
      </c>
      <c r="J92" s="5" t="n">
        <v>1</v>
      </c>
      <c r="W92" s="5" t="n">
        <v>2500</v>
      </c>
    </row>
    <row r="93">
      <c r="A93" t="inlineStr">
        <is>
          <t>starcraft</t>
        </is>
      </c>
      <c r="B93" t="inlineStr">
        <is>
          <t>protoss_pylon</t>
        </is>
      </c>
      <c r="C93" t="inlineStr">
        <is>
          <t>Pylon</t>
        </is>
      </c>
      <c r="D93" t="inlineStr"/>
      <c r="E93" s="5" t="n">
        <v>250000</v>
      </c>
      <c r="F93" s="5" t="n"/>
      <c r="G93" t="inlineStr">
        <is>
          <t>Wood</t>
        </is>
      </c>
      <c r="H93" s="5" t="n">
        <v>1</v>
      </c>
      <c r="I93" s="5" t="n">
        <v>1</v>
      </c>
      <c r="J93" s="5" t="n">
        <v>1</v>
      </c>
      <c r="W93" s="5" t="n">
        <v>1000</v>
      </c>
    </row>
    <row r="94">
      <c r="A94" t="inlineStr">
        <is>
          <t>starcraft</t>
        </is>
      </c>
      <c r="B94" t="inlineStr">
        <is>
          <t>protoss_roboticsfacility</t>
        </is>
      </c>
      <c r="C94" t="inlineStr">
        <is>
          <t>Robotics Facility</t>
        </is>
      </c>
      <c r="D94" t="inlineStr"/>
      <c r="E94" s="5" t="n">
        <v>400000</v>
      </c>
      <c r="F94" s="5" t="n"/>
      <c r="G94" t="inlineStr">
        <is>
          <t>Concrete</t>
        </is>
      </c>
      <c r="H94" s="5" t="n">
        <v>1</v>
      </c>
      <c r="I94" s="5" t="n">
        <v>1</v>
      </c>
      <c r="J94" s="5" t="n">
        <v>1</v>
      </c>
      <c r="W94" s="5" t="n">
        <v>2000</v>
      </c>
    </row>
    <row r="95">
      <c r="A95" t="inlineStr">
        <is>
          <t>starcraft</t>
        </is>
      </c>
      <c r="B95" t="inlineStr">
        <is>
          <t>protoss_roboticssupportbay</t>
        </is>
      </c>
      <c r="C95" t="inlineStr">
        <is>
          <t>Robotics Support Bay</t>
        </is>
      </c>
      <c r="D95" t="inlineStr"/>
      <c r="E95" s="5" t="n">
        <v>200000</v>
      </c>
      <c r="F95" s="5" t="n"/>
      <c r="G95" t="inlineStr">
        <is>
          <t>Wood</t>
        </is>
      </c>
      <c r="H95" s="5" t="n">
        <v>1</v>
      </c>
      <c r="I95" s="5" t="n">
        <v>1</v>
      </c>
      <c r="J95" s="5" t="n">
        <v>1</v>
      </c>
      <c r="W95" s="5" t="n">
        <v>2000</v>
      </c>
    </row>
    <row r="96">
      <c r="A96" t="inlineStr">
        <is>
          <t>starcraft</t>
        </is>
      </c>
      <c r="B96" t="inlineStr">
        <is>
          <t>protoss_shieldbattery</t>
        </is>
      </c>
      <c r="C96" t="inlineStr">
        <is>
          <t>Shield Battery</t>
        </is>
      </c>
      <c r="D96" t="inlineStr"/>
      <c r="E96" s="5" t="n">
        <v>100000</v>
      </c>
      <c r="F96" s="5" t="n"/>
      <c r="G96" t="inlineStr">
        <is>
          <t>Wood</t>
        </is>
      </c>
      <c r="H96" s="5" t="n">
        <v>1</v>
      </c>
      <c r="I96" s="5" t="n">
        <v>1</v>
      </c>
      <c r="J96" s="5" t="n">
        <v>1</v>
      </c>
      <c r="W96" s="5" t="n">
        <v>1000</v>
      </c>
    </row>
    <row r="97">
      <c r="B97" s="6" t="inlineStr">
        <is>
          <t xml:space="preserve">  ↳ Heal</t>
        </is>
      </c>
      <c r="C97" s="6" t="inlineStr">
        <is>
          <t>Armament</t>
        </is>
      </c>
      <c r="K97" s="5" t="n">
        <v>-1</v>
      </c>
      <c r="L97" s="5" t="n">
        <v>75</v>
      </c>
      <c r="M97" s="5" t="n">
        <v>1</v>
      </c>
      <c r="N97" s="5" t="n"/>
      <c r="O97" s="5" t="n">
        <v>5000</v>
      </c>
      <c r="P97" s="5" t="n">
        <v>1</v>
      </c>
      <c r="Q97">
        <f>L97+IF(M97&gt;1,N(N97)*(M97-1),0)</f>
        <v/>
      </c>
      <c r="R97">
        <f>IFERROR(K97*MAX(M97,1)/Q97*P97,0)</f>
        <v/>
      </c>
      <c r="AA97" s="6" t="inlineStr">
        <is>
          <t>^HealingWeapon</t>
        </is>
      </c>
    </row>
    <row r="98">
      <c r="A98" t="inlineStr">
        <is>
          <t>starcraft</t>
        </is>
      </c>
      <c r="B98" t="inlineStr">
        <is>
          <t>protoss_stargate</t>
        </is>
      </c>
      <c r="C98" t="inlineStr">
        <is>
          <t>Stargate</t>
        </is>
      </c>
      <c r="D98" t="inlineStr"/>
      <c r="E98" s="5" t="n">
        <v>300000</v>
      </c>
      <c r="F98" s="5" t="n"/>
      <c r="G98" t="inlineStr">
        <is>
          <t>Wood</t>
        </is>
      </c>
      <c r="H98" s="5" t="n">
        <v>1</v>
      </c>
      <c r="I98" s="5" t="n">
        <v>1</v>
      </c>
      <c r="J98" s="5" t="n">
        <v>1</v>
      </c>
      <c r="W98" s="5" t="n">
        <v>1500</v>
      </c>
    </row>
    <row r="99">
      <c r="A99" t="inlineStr">
        <is>
          <t>starcraft</t>
        </is>
      </c>
      <c r="B99" t="inlineStr">
        <is>
          <t>protoss_templararchives</t>
        </is>
      </c>
      <c r="C99" t="inlineStr">
        <is>
          <t>Templar Archives</t>
        </is>
      </c>
      <c r="D99" t="inlineStr"/>
      <c r="E99" s="5" t="n">
        <v>250000</v>
      </c>
      <c r="F99" s="5" t="n"/>
      <c r="G99" t="inlineStr">
        <is>
          <t>Wood</t>
        </is>
      </c>
      <c r="H99" s="5" t="n">
        <v>1</v>
      </c>
      <c r="I99" s="5" t="n">
        <v>1</v>
      </c>
      <c r="J99" s="5" t="n">
        <v>1</v>
      </c>
      <c r="W99" s="5" t="n">
        <v>2500</v>
      </c>
    </row>
    <row r="100">
      <c r="A100" t="inlineStr">
        <is>
          <t>starcraft</t>
        </is>
      </c>
      <c r="B100" t="inlineStr">
        <is>
          <t>protoss_vespenegascollector</t>
        </is>
      </c>
      <c r="C100" t="inlineStr">
        <is>
          <t>Vespene Gas Collector</t>
        </is>
      </c>
      <c r="D100" t="inlineStr"/>
      <c r="E100" s="5" t="n"/>
      <c r="F100" s="5" t="n"/>
      <c r="H100" s="5" t="n">
        <v>1</v>
      </c>
      <c r="I100" s="5" t="n">
        <v>1</v>
      </c>
      <c r="J100" s="5" t="n">
        <v>1</v>
      </c>
      <c r="W100" s="5" t="n">
        <v>2500</v>
      </c>
    </row>
    <row r="101">
      <c r="A101" s="3" t="inlineStr">
        <is>
          <t>UPGRADES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>
      <c r="A102" t="inlineStr">
        <is>
          <t>starcraft</t>
        </is>
      </c>
      <c r="B102" t="inlineStr">
        <is>
          <t>protoss_upgrade_airarmorlevel1</t>
        </is>
      </c>
      <c r="C102" t="inlineStr">
        <is>
          <t>Air Armor Level 1</t>
        </is>
      </c>
      <c r="D102" t="inlineStr"/>
      <c r="E102" s="5" t="n"/>
      <c r="F102" s="5" t="n"/>
      <c r="H102" s="5" t="n">
        <v>1</v>
      </c>
      <c r="I102" s="5" t="n">
        <v>1</v>
      </c>
      <c r="J102" s="5" t="n">
        <v>1</v>
      </c>
      <c r="W102" s="5" t="n">
        <v>2500</v>
      </c>
    </row>
    <row r="103">
      <c r="A103" t="inlineStr">
        <is>
          <t>starcraft</t>
        </is>
      </c>
      <c r="B103" t="inlineStr">
        <is>
          <t>protoss_upgrade_airarmorlevel2</t>
        </is>
      </c>
      <c r="C103" t="inlineStr">
        <is>
          <t>Air Armor Level 2</t>
        </is>
      </c>
      <c r="D103" t="inlineStr"/>
      <c r="E103" s="5" t="n"/>
      <c r="F103" s="5" t="n"/>
      <c r="H103" s="5" t="n">
        <v>1</v>
      </c>
      <c r="I103" s="5" t="n">
        <v>1</v>
      </c>
      <c r="J103" s="5" t="n">
        <v>1</v>
      </c>
      <c r="W103" s="5" t="n">
        <v>5000</v>
      </c>
    </row>
    <row r="104">
      <c r="A104" t="inlineStr">
        <is>
          <t>starcraft</t>
        </is>
      </c>
      <c r="B104" t="inlineStr">
        <is>
          <t>protoss_upgrade_airweaponslevel1</t>
        </is>
      </c>
      <c r="C104" t="inlineStr">
        <is>
          <t>Air Weapons Level 1</t>
        </is>
      </c>
      <c r="D104" t="inlineStr"/>
      <c r="E104" s="5" t="n"/>
      <c r="F104" s="5" t="n"/>
      <c r="H104" s="5" t="n">
        <v>1</v>
      </c>
      <c r="I104" s="5" t="n">
        <v>1</v>
      </c>
      <c r="J104" s="5" t="n">
        <v>1</v>
      </c>
      <c r="W104" s="5" t="n">
        <v>2500</v>
      </c>
    </row>
    <row r="105">
      <c r="A105" t="inlineStr">
        <is>
          <t>starcraft</t>
        </is>
      </c>
      <c r="B105" t="inlineStr">
        <is>
          <t>protoss_upgrade_airweaponslevel2</t>
        </is>
      </c>
      <c r="C105" t="inlineStr">
        <is>
          <t>Air Weapons Level 2</t>
        </is>
      </c>
      <c r="D105" t="inlineStr"/>
      <c r="E105" s="5" t="n"/>
      <c r="F105" s="5" t="n"/>
      <c r="H105" s="5" t="n">
        <v>1</v>
      </c>
      <c r="I105" s="5" t="n">
        <v>1</v>
      </c>
      <c r="J105" s="5" t="n">
        <v>1</v>
      </c>
      <c r="W105" s="5" t="n">
        <v>5000</v>
      </c>
    </row>
    <row r="106">
      <c r="A106" t="inlineStr">
        <is>
          <t>starcraft</t>
        </is>
      </c>
      <c r="B106" t="inlineStr">
        <is>
          <t>protoss_upgrade_graviticpropulsion</t>
        </is>
      </c>
      <c r="C106" t="inlineStr">
        <is>
          <t>Gravitic Propulsion</t>
        </is>
      </c>
      <c r="D106" t="inlineStr"/>
      <c r="E106" s="5" t="n"/>
      <c r="F106" s="5" t="n"/>
      <c r="H106" s="5" t="n">
        <v>1</v>
      </c>
      <c r="I106" s="5" t="n">
        <v>1</v>
      </c>
      <c r="J106" s="5" t="n">
        <v>1</v>
      </c>
      <c r="W106" s="5" t="n">
        <v>2500</v>
      </c>
    </row>
    <row r="107">
      <c r="A107" t="inlineStr">
        <is>
          <t>starcraft</t>
        </is>
      </c>
      <c r="B107" t="inlineStr">
        <is>
          <t>protoss_upgrade_groundarmorlevel1</t>
        </is>
      </c>
      <c r="C107" t="inlineStr">
        <is>
          <t>Ground Armor Level 1</t>
        </is>
      </c>
      <c r="D107" t="inlineStr"/>
      <c r="E107" s="5" t="n"/>
      <c r="F107" s="5" t="n"/>
      <c r="H107" s="5" t="n">
        <v>1</v>
      </c>
      <c r="I107" s="5" t="n">
        <v>1</v>
      </c>
      <c r="J107" s="5" t="n">
        <v>1</v>
      </c>
      <c r="W107" s="5" t="n">
        <v>2500</v>
      </c>
    </row>
    <row r="108">
      <c r="A108" t="inlineStr">
        <is>
          <t>starcraft</t>
        </is>
      </c>
      <c r="B108" t="inlineStr">
        <is>
          <t>protoss_upgrade_groundarmorlevel2</t>
        </is>
      </c>
      <c r="C108" t="inlineStr">
        <is>
          <t>Ground Armor Level 2</t>
        </is>
      </c>
      <c r="D108" t="inlineStr"/>
      <c r="E108" s="5" t="n"/>
      <c r="F108" s="5" t="n"/>
      <c r="H108" s="5" t="n">
        <v>1</v>
      </c>
      <c r="I108" s="5" t="n">
        <v>1</v>
      </c>
      <c r="J108" s="5" t="n">
        <v>1</v>
      </c>
      <c r="W108" s="5" t="n">
        <v>5000</v>
      </c>
    </row>
    <row r="109">
      <c r="A109" t="inlineStr">
        <is>
          <t>starcraft</t>
        </is>
      </c>
      <c r="B109" t="inlineStr">
        <is>
          <t>protoss_upgrade_groundweaponslevel1</t>
        </is>
      </c>
      <c r="C109" t="inlineStr">
        <is>
          <t>Ground Weapons Level 1</t>
        </is>
      </c>
      <c r="D109" t="inlineStr"/>
      <c r="E109" s="5" t="n"/>
      <c r="F109" s="5" t="n"/>
      <c r="H109" s="5" t="n">
        <v>1</v>
      </c>
      <c r="I109" s="5" t="n">
        <v>1</v>
      </c>
      <c r="J109" s="5" t="n">
        <v>1</v>
      </c>
      <c r="W109" s="5" t="n">
        <v>2500</v>
      </c>
    </row>
    <row r="110">
      <c r="A110" t="inlineStr">
        <is>
          <t>starcraft</t>
        </is>
      </c>
      <c r="B110" t="inlineStr">
        <is>
          <t>protoss_upgrade_groundweaponslevel2</t>
        </is>
      </c>
      <c r="C110" t="inlineStr">
        <is>
          <t>Ground Weapons Level 2</t>
        </is>
      </c>
      <c r="D110" t="inlineStr"/>
      <c r="E110" s="5" t="n"/>
      <c r="F110" s="5" t="n"/>
      <c r="H110" s="5" t="n">
        <v>1</v>
      </c>
      <c r="I110" s="5" t="n">
        <v>1</v>
      </c>
      <c r="J110" s="5" t="n">
        <v>1</v>
      </c>
      <c r="W110" s="5" t="n">
        <v>5000</v>
      </c>
    </row>
    <row r="111">
      <c r="A111" t="inlineStr">
        <is>
          <t>starcraft</t>
        </is>
      </c>
      <c r="B111" t="inlineStr">
        <is>
          <t>protoss_upgrade_plasmashields</t>
        </is>
      </c>
      <c r="C111" t="inlineStr">
        <is>
          <t>Plasma Shields</t>
        </is>
      </c>
      <c r="D111" t="inlineStr"/>
      <c r="E111" s="5" t="n"/>
      <c r="F111" s="5" t="n"/>
      <c r="H111" s="5" t="n">
        <v>1</v>
      </c>
      <c r="I111" s="5" t="n">
        <v>1</v>
      </c>
      <c r="J111" s="5" t="n">
        <v>1</v>
      </c>
      <c r="W111" s="5" t="n">
        <v>5000</v>
      </c>
    </row>
    <row r="112">
      <c r="A112" t="inlineStr">
        <is>
          <t>starcraft</t>
        </is>
      </c>
      <c r="B112" t="inlineStr">
        <is>
          <t>protoss_upgrade_reavercapacity</t>
        </is>
      </c>
      <c r="C112" t="inlineStr">
        <is>
          <t>Reaver Capacity</t>
        </is>
      </c>
      <c r="D112" t="inlineStr"/>
      <c r="E112" s="5" t="n"/>
      <c r="F112" s="5" t="n"/>
      <c r="H112" s="5" t="n">
        <v>1</v>
      </c>
      <c r="I112" s="5" t="n">
        <v>1</v>
      </c>
      <c r="J112" s="5" t="n">
        <v>1</v>
      </c>
      <c r="W112" s="5" t="n">
        <v>2500</v>
      </c>
    </row>
    <row r="113">
      <c r="A113" t="inlineStr">
        <is>
          <t>starcraft</t>
        </is>
      </c>
      <c r="B113" t="inlineStr">
        <is>
          <t>protoss_upgrade_resonatingglaves</t>
        </is>
      </c>
      <c r="C113" t="inlineStr">
        <is>
          <t>Resonating Glaves</t>
        </is>
      </c>
      <c r="D113" t="inlineStr"/>
      <c r="E113" s="5" t="n"/>
      <c r="F113" s="5" t="n"/>
      <c r="H113" s="5" t="n">
        <v>1</v>
      </c>
      <c r="I113" s="5" t="n">
        <v>1</v>
      </c>
      <c r="J113" s="5" t="n">
        <v>1</v>
      </c>
      <c r="W113" s="5" t="n">
        <v>2500</v>
      </c>
    </row>
    <row r="114">
      <c r="A114" t="inlineStr">
        <is>
          <t>starcraft</t>
        </is>
      </c>
      <c r="B114" t="inlineStr">
        <is>
          <t>protoss_upgrade_singularitycharge</t>
        </is>
      </c>
      <c r="C114" t="inlineStr">
        <is>
          <t>Singularity Charge</t>
        </is>
      </c>
      <c r="D114" t="inlineStr"/>
      <c r="E114" s="5" t="n"/>
      <c r="F114" s="5" t="n"/>
      <c r="H114" s="5" t="n">
        <v>1</v>
      </c>
      <c r="I114" s="5" t="n">
        <v>1</v>
      </c>
      <c r="J114" s="5" t="n">
        <v>1</v>
      </c>
      <c r="W114" s="5" t="n">
        <v>2500</v>
      </c>
    </row>
    <row r="115">
      <c r="A115" t="inlineStr">
        <is>
          <t>starcraft</t>
        </is>
      </c>
      <c r="B115" t="inlineStr">
        <is>
          <t>protoss_upgrade_upgradepylonlevel1</t>
        </is>
      </c>
      <c r="C115" t="inlineStr">
        <is>
          <t>Upgrade Pylon Level 1</t>
        </is>
      </c>
      <c r="D115" t="inlineStr"/>
      <c r="E115" s="5" t="n"/>
      <c r="F115" s="5" t="n"/>
      <c r="H115" s="5" t="n">
        <v>1</v>
      </c>
      <c r="I115" s="5" t="n">
        <v>1</v>
      </c>
      <c r="J115" s="5" t="n">
        <v>1</v>
      </c>
      <c r="W115" s="5" t="n">
        <v>2500</v>
      </c>
    </row>
    <row r="116">
      <c r="A116" t="inlineStr">
        <is>
          <t>starcraft</t>
        </is>
      </c>
      <c r="B116" t="inlineStr">
        <is>
          <t>protoss_upgrade_upgradepylonlevel2</t>
        </is>
      </c>
      <c r="C116" t="inlineStr">
        <is>
          <t>Upgrade Pylon Level 2</t>
        </is>
      </c>
      <c r="D116" t="inlineStr"/>
      <c r="E116" s="5" t="n"/>
      <c r="F116" s="5" t="n"/>
      <c r="H116" s="5" t="n">
        <v>1</v>
      </c>
      <c r="I116" s="5" t="n">
        <v>1</v>
      </c>
      <c r="J116" s="5" t="n">
        <v>1</v>
      </c>
      <c r="W116" s="5" t="n">
        <v>5000</v>
      </c>
    </row>
    <row r="117">
      <c r="A117" s="3" t="inlineStr">
        <is>
          <t>PROMOTIONS</t>
        </is>
      </c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>
      <c r="A118" t="inlineStr">
        <is>
          <t>starcraft</t>
        </is>
      </c>
      <c r="B118" t="inlineStr">
        <is>
          <t>protoss_promotion_unlockamaranth</t>
        </is>
      </c>
      <c r="C118" t="inlineStr">
        <is>
          <t>Unlock Amaranth</t>
        </is>
      </c>
      <c r="D118" t="inlineStr"/>
      <c r="E118" s="5" t="n"/>
      <c r="F118" s="5" t="n"/>
      <c r="H118" s="5" t="n">
        <v>1</v>
      </c>
      <c r="I118" s="5" t="n">
        <v>1</v>
      </c>
      <c r="J118" s="5" t="n">
        <v>1</v>
      </c>
      <c r="W118" s="5" t="n"/>
    </row>
    <row r="119">
      <c r="A119" t="inlineStr">
        <is>
          <t>starcraft</t>
        </is>
      </c>
      <c r="B119" t="inlineStr">
        <is>
          <t>protoss_promotion_unlockanalogue</t>
        </is>
      </c>
      <c r="C119" t="inlineStr">
        <is>
          <t>Unlock Analogue</t>
        </is>
      </c>
      <c r="D119" t="inlineStr"/>
      <c r="E119" s="5" t="n"/>
      <c r="F119" s="5" t="n"/>
      <c r="H119" s="5" t="n">
        <v>1</v>
      </c>
      <c r="I119" s="5" t="n">
        <v>1</v>
      </c>
      <c r="J119" s="5" t="n">
        <v>1</v>
      </c>
      <c r="W119" s="5" t="n"/>
    </row>
    <row r="120">
      <c r="A120" t="inlineStr">
        <is>
          <t>starcraft</t>
        </is>
      </c>
      <c r="B120" t="inlineStr">
        <is>
          <t>protoss_promotion_unlockatreus</t>
        </is>
      </c>
      <c r="C120" t="inlineStr">
        <is>
          <t>Unlock Atreus</t>
        </is>
      </c>
      <c r="D120" t="inlineStr"/>
      <c r="E120" s="5" t="n"/>
      <c r="F120" s="5" t="n"/>
      <c r="H120" s="5" t="n">
        <v>1</v>
      </c>
      <c r="I120" s="5" t="n">
        <v>1</v>
      </c>
      <c r="J120" s="5" t="n">
        <v>1</v>
      </c>
      <c r="W120" s="5" t="n"/>
    </row>
    <row r="121">
      <c r="A121" t="inlineStr">
        <is>
          <t>starcraft</t>
        </is>
      </c>
      <c r="B121" t="inlineStr">
        <is>
          <t>protoss_promotion_unlockepigraph</t>
        </is>
      </c>
      <c r="C121" t="inlineStr">
        <is>
          <t>Unlock Epigraph</t>
        </is>
      </c>
      <c r="D121" t="inlineStr"/>
      <c r="E121" s="5" t="n"/>
      <c r="F121" s="5" t="n"/>
      <c r="H121" s="5" t="n">
        <v>1</v>
      </c>
      <c r="I121" s="5" t="n">
        <v>1</v>
      </c>
      <c r="J121" s="5" t="n">
        <v>1</v>
      </c>
      <c r="W121" s="5" t="n"/>
    </row>
    <row r="122">
      <c r="A122" t="inlineStr">
        <is>
          <t>starcraft</t>
        </is>
      </c>
      <c r="B122" t="inlineStr">
        <is>
          <t>protoss_promotion_unlockgladius</t>
        </is>
      </c>
      <c r="C122" t="inlineStr">
        <is>
          <t>Unlock Gladius</t>
        </is>
      </c>
      <c r="D122" t="inlineStr"/>
      <c r="E122" s="5" t="n"/>
      <c r="F122" s="5" t="n"/>
      <c r="H122" s="5" t="n">
        <v>1</v>
      </c>
      <c r="I122" s="5" t="n">
        <v>1</v>
      </c>
      <c r="J122" s="5" t="n">
        <v>1</v>
      </c>
      <c r="W122" s="5" t="n"/>
    </row>
    <row r="123">
      <c r="A123" t="inlineStr">
        <is>
          <t>starcraft</t>
        </is>
      </c>
      <c r="B123" t="inlineStr">
        <is>
          <t>protoss_promotion_unlockidol</t>
        </is>
      </c>
      <c r="C123" t="inlineStr">
        <is>
          <t>Unlock Idol</t>
        </is>
      </c>
      <c r="D123" t="inlineStr"/>
      <c r="E123" s="5" t="n"/>
      <c r="F123" s="5" t="n"/>
      <c r="H123" s="5" t="n">
        <v>1</v>
      </c>
      <c r="I123" s="5" t="n">
        <v>1</v>
      </c>
      <c r="J123" s="5" t="n">
        <v>1</v>
      </c>
      <c r="W123" s="5" t="n"/>
    </row>
    <row r="124">
      <c r="A124" t="inlineStr">
        <is>
          <t>starcraft</t>
        </is>
      </c>
      <c r="B124" t="inlineStr">
        <is>
          <t>protoss_promotion_unlocklegionnaire</t>
        </is>
      </c>
      <c r="C124" t="inlineStr">
        <is>
          <t>Unlock Legionnaire</t>
        </is>
      </c>
      <c r="D124" t="inlineStr"/>
      <c r="E124" s="5" t="n"/>
      <c r="F124" s="5" t="n"/>
      <c r="H124" s="5" t="n">
        <v>1</v>
      </c>
      <c r="I124" s="5" t="n">
        <v>1</v>
      </c>
      <c r="J124" s="5" t="n">
        <v>1</v>
      </c>
      <c r="W124" s="5" t="n"/>
    </row>
    <row r="125">
      <c r="A125" t="inlineStr">
        <is>
          <t>starcraft</t>
        </is>
      </c>
      <c r="B125" t="inlineStr">
        <is>
          <t>protoss_promotion_unlockmanifold</t>
        </is>
      </c>
      <c r="C125" t="inlineStr">
        <is>
          <t>Unlock Manifold</t>
        </is>
      </c>
      <c r="D125" t="inlineStr"/>
      <c r="E125" s="5" t="n"/>
      <c r="F125" s="5" t="n"/>
      <c r="H125" s="5" t="n">
        <v>1</v>
      </c>
      <c r="I125" s="5" t="n">
        <v>1</v>
      </c>
      <c r="J125" s="5" t="n">
        <v>1</v>
      </c>
      <c r="W125" s="5" t="n"/>
    </row>
    <row r="126">
      <c r="A126" t="inlineStr">
        <is>
          <t>starcraft</t>
        </is>
      </c>
      <c r="B126" t="inlineStr">
        <is>
          <t>protoss_promotion_unlockpatriarch</t>
        </is>
      </c>
      <c r="C126" t="inlineStr">
        <is>
          <t>Unlock Patriarch</t>
        </is>
      </c>
      <c r="D126" t="inlineStr"/>
      <c r="E126" s="5" t="n"/>
      <c r="F126" s="5" t="n"/>
      <c r="H126" s="5" t="n">
        <v>1</v>
      </c>
      <c r="I126" s="5" t="n">
        <v>1</v>
      </c>
      <c r="J126" s="5" t="n">
        <v>1</v>
      </c>
      <c r="W126" s="5" t="n"/>
    </row>
    <row r="127">
      <c r="A127" t="inlineStr">
        <is>
          <t>starcraft</t>
        </is>
      </c>
      <c r="B127" t="inlineStr">
        <is>
          <t>protoss_promotion_unlockpositron</t>
        </is>
      </c>
      <c r="C127" t="inlineStr">
        <is>
          <t>Unlock Positron</t>
        </is>
      </c>
      <c r="D127" t="inlineStr"/>
      <c r="E127" s="5" t="n"/>
      <c r="F127" s="5" t="n"/>
      <c r="H127" s="5" t="n">
        <v>1</v>
      </c>
      <c r="I127" s="5" t="n">
        <v>1</v>
      </c>
      <c r="J127" s="5" t="n">
        <v>1</v>
      </c>
      <c r="W127" s="5" t="n"/>
    </row>
    <row r="128">
      <c r="A128" t="inlineStr">
        <is>
          <t>starcraft</t>
        </is>
      </c>
      <c r="B128" t="inlineStr">
        <is>
          <t>protoss_promotion_unlockstarsovereign</t>
        </is>
      </c>
      <c r="C128" t="inlineStr">
        <is>
          <t>Unlock Star Sovereign</t>
        </is>
      </c>
      <c r="D128" t="inlineStr"/>
      <c r="E128" s="5" t="n"/>
      <c r="F128" s="5" t="n"/>
      <c r="H128" s="5" t="n">
        <v>1</v>
      </c>
      <c r="I128" s="5" t="n">
        <v>1</v>
      </c>
      <c r="J128" s="5" t="n">
        <v>1</v>
      </c>
      <c r="W128" s="5" t="n"/>
    </row>
    <row r="129">
      <c r="A129" t="inlineStr">
        <is>
          <t>starcraft</t>
        </is>
      </c>
      <c r="B129" t="inlineStr">
        <is>
          <t>protoss_promotion_unlockvoidray</t>
        </is>
      </c>
      <c r="C129" t="inlineStr">
        <is>
          <t>Unlock Void Ray</t>
        </is>
      </c>
      <c r="D129" t="inlineStr"/>
      <c r="E129" s="5" t="n"/>
      <c r="F129" s="5" t="n"/>
      <c r="H129" s="5" t="n">
        <v>1</v>
      </c>
      <c r="I129" s="5" t="n">
        <v>1</v>
      </c>
      <c r="J129" s="5" t="n">
        <v>1</v>
      </c>
      <c r="W129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130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5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starcraft</t>
        </is>
      </c>
      <c r="B3" t="inlineStr">
        <is>
          <t>terran_firebat</t>
        </is>
      </c>
      <c r="C3" t="inlineStr">
        <is>
          <t>Firebat</t>
        </is>
      </c>
      <c r="D3" t="inlineStr"/>
      <c r="E3" s="5" t="n">
        <v>52000</v>
      </c>
      <c r="F3" s="5" t="n">
        <v>52</v>
      </c>
      <c r="G3" t="inlineStr">
        <is>
          <t>Plate</t>
        </is>
      </c>
      <c r="H3" s="5" t="n">
        <v>1</v>
      </c>
      <c r="I3" s="5" t="n">
        <v>0.75</v>
      </c>
      <c r="J3" s="5" t="n">
        <v>1</v>
      </c>
      <c r="O3">
        <f>MAX(O4,O5)</f>
        <v/>
      </c>
      <c r="R3">
        <f>R4+R5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500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FirebatF</t>
        </is>
      </c>
      <c r="C4" s="6" t="inlineStr">
        <is>
          <t>Armament@1</t>
        </is>
      </c>
      <c r="K4" s="5" t="n">
        <v>2000</v>
      </c>
      <c r="L4" s="5" t="n">
        <v>28</v>
      </c>
      <c r="M4" s="5" t="n">
        <v>13</v>
      </c>
      <c r="N4" s="5" t="n">
        <v>2</v>
      </c>
      <c r="O4" s="5" t="n">
        <v>3400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^MediumFlameWeapon</t>
        </is>
      </c>
    </row>
    <row r="5">
      <c r="B5" s="6" t="inlineStr">
        <is>
          <t xml:space="preserve">  ↳ FirebatF</t>
        </is>
      </c>
      <c r="C5" s="6" t="inlineStr">
        <is>
          <t>Armament@2</t>
        </is>
      </c>
      <c r="K5" s="5" t="n">
        <v>2000</v>
      </c>
      <c r="L5" s="5" t="n">
        <v>28</v>
      </c>
      <c r="M5" s="5" t="n">
        <v>13</v>
      </c>
      <c r="N5" s="5" t="n">
        <v>2</v>
      </c>
      <c r="O5" s="5" t="n">
        <v>3400</v>
      </c>
      <c r="P5" s="5" t="n">
        <v>1</v>
      </c>
      <c r="Q5">
        <f>L5+IF(M5&gt;1,N(N5)*(M5-1),0)</f>
        <v/>
      </c>
      <c r="R5">
        <f>IFERROR(K5*MAX(M5,1)/Q5*P5,0)</f>
        <v/>
      </c>
      <c r="AA5" s="6" t="inlineStr">
        <is>
          <t>^MediumFlameWeapon</t>
        </is>
      </c>
    </row>
    <row r="6">
      <c r="B6" s="6" t="inlineStr">
        <is>
          <t xml:space="preserve">  ↳ FirebatF</t>
        </is>
      </c>
      <c r="C6" s="6" t="inlineStr">
        <is>
          <t>Armament@GARRISONED1</t>
        </is>
      </c>
      <c r="K6" s="5" t="n">
        <v>2000</v>
      </c>
      <c r="L6" s="5" t="n">
        <v>28</v>
      </c>
      <c r="M6" s="5" t="n">
        <v>13</v>
      </c>
      <c r="N6" s="5" t="n">
        <v>2</v>
      </c>
      <c r="O6" s="5" t="n">
        <v>3400</v>
      </c>
      <c r="P6" s="5" t="n">
        <v>1</v>
      </c>
      <c r="Q6">
        <f>L6+IF(M6&gt;1,N(N6)*(M6-1),0)</f>
        <v/>
      </c>
      <c r="R6">
        <f>IFERROR(K6*MAX(M6,1)/Q6*P6,0)</f>
        <v/>
      </c>
      <c r="AA6" s="6" t="inlineStr">
        <is>
          <t>^MediumFlameWeapon</t>
        </is>
      </c>
    </row>
    <row r="7">
      <c r="B7" s="6" t="inlineStr">
        <is>
          <t xml:space="preserve">  ↳ FirebatF</t>
        </is>
      </c>
      <c r="C7" s="6" t="inlineStr">
        <is>
          <t>Armament@GARRISONED2</t>
        </is>
      </c>
      <c r="K7" s="5" t="n">
        <v>2000</v>
      </c>
      <c r="L7" s="5" t="n">
        <v>28</v>
      </c>
      <c r="M7" s="5" t="n">
        <v>13</v>
      </c>
      <c r="N7" s="5" t="n">
        <v>2</v>
      </c>
      <c r="O7" s="5" t="n">
        <v>3400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^MediumFlameWeapon</t>
        </is>
      </c>
    </row>
    <row r="8">
      <c r="A8" t="inlineStr">
        <is>
          <t>starcraft</t>
        </is>
      </c>
      <c r="B8" t="inlineStr">
        <is>
          <t>terran_ghost</t>
        </is>
      </c>
      <c r="C8" t="inlineStr">
        <is>
          <t>Ghost</t>
        </is>
      </c>
      <c r="D8" t="inlineStr"/>
      <c r="E8" s="5" t="n">
        <v>45000</v>
      </c>
      <c r="F8" s="5" t="n">
        <v>75</v>
      </c>
      <c r="G8" t="inlineStr">
        <is>
          <t>Flak</t>
        </is>
      </c>
      <c r="H8" s="5" t="n">
        <v>0.75</v>
      </c>
      <c r="I8" s="5" t="n">
        <v>0.75</v>
      </c>
      <c r="J8" s="5" t="n">
        <v>1</v>
      </c>
      <c r="O8">
        <f>MAX(O9,O10)</f>
        <v/>
      </c>
      <c r="R8">
        <f>R9+R10</f>
        <v/>
      </c>
      <c r="S8">
        <f>(E8/100000+F8/100+(O8/1000)*J8/5+R8/200)*200*I8*H8</f>
        <v/>
      </c>
      <c r="T8">
        <f>((E8*F8/25000)+((O8/1000)*J8*R8/2.5))*I8*H8</f>
        <v/>
      </c>
      <c r="U8">
        <f>(E8*F8*(O8/1000)*J8*R8*I8*H8)/12500000</f>
        <v/>
      </c>
      <c r="V8">
        <f>(S8+T8+U8)/3</f>
        <v/>
      </c>
      <c r="W8" s="5" t="n">
        <v>700</v>
      </c>
      <c r="X8">
        <f>IFERROR(V8-W8,"")</f>
        <v/>
      </c>
      <c r="Y8">
        <f>IFERROR(ABS(X8)/MAX(W8,1),"")</f>
        <v/>
      </c>
      <c r="Z8">
        <f>IFERROR((W8-(((E8/100000+F8/100+R8/200)*200*I8*H8)+((E8*F8/25000)*I8*H8))/3)/(((J8/5)*200*I8*H8)+((J8*R8/2.5)*I8*H8)+((E8*F8*J8*R8*I8*H8)/12500000))/3*1000,"")</f>
        <v/>
      </c>
    </row>
    <row r="9">
      <c r="B9" s="6" t="inlineStr">
        <is>
          <t xml:space="preserve">  ↳ GhostSniperLockdown</t>
        </is>
      </c>
      <c r="C9" s="6" t="inlineStr">
        <is>
          <t>Armament@lockdown</t>
        </is>
      </c>
      <c r="K9" s="5" t="n">
        <v>4000</v>
      </c>
      <c r="L9" s="5" t="n">
        <v>44</v>
      </c>
      <c r="M9" s="5" t="n">
        <v>1</v>
      </c>
      <c r="N9" s="5" t="n"/>
      <c r="O9" s="5" t="n">
        <v>8428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>
        <is>
          <t>^TeslaChargedWeapon, ^MediumMissile, ^HeavyCannon, ^SmallArms, ^FlakWeapon, ^Chaingun</t>
        </is>
      </c>
    </row>
    <row r="10">
      <c r="B10" s="6" t="inlineStr">
        <is>
          <t xml:space="preserve">  ↳ GhostSniper</t>
        </is>
      </c>
      <c r="C10" s="6" t="inlineStr">
        <is>
          <t>Armament@PRIMARY</t>
        </is>
      </c>
      <c r="K10" s="5" t="n">
        <v>2000</v>
      </c>
      <c r="L10" s="5" t="n">
        <v>22</v>
      </c>
      <c r="M10" s="5" t="n">
        <v>1</v>
      </c>
      <c r="N10" s="5" t="n"/>
      <c r="O10" s="5" t="n">
        <v>8428</v>
      </c>
      <c r="P10" s="5" t="n">
        <v>1</v>
      </c>
      <c r="Q10">
        <f>L10+IF(M10&gt;1,N(N10)*(M10-1),0)</f>
        <v/>
      </c>
      <c r="R10">
        <f>IFERROR(K10*MAX(M10,1)/Q10*P10,0)</f>
        <v/>
      </c>
      <c r="AA10" s="6" t="inlineStr">
        <is>
          <t>^MediumMissile, ^HeavyCannon, ^SmallArms, ^FlakWeapon, ^Chaingun</t>
        </is>
      </c>
    </row>
    <row r="11">
      <c r="B11" s="6" t="inlineStr">
        <is>
          <t xml:space="preserve">  ↳ GhostSniper</t>
        </is>
      </c>
      <c r="C11" s="6" t="inlineStr">
        <is>
          <t>Armament@GARRISONED</t>
        </is>
      </c>
      <c r="K11" s="5" t="n">
        <v>2000</v>
      </c>
      <c r="L11" s="5" t="n">
        <v>22</v>
      </c>
      <c r="M11" s="5" t="n">
        <v>1</v>
      </c>
      <c r="N11" s="5" t="n"/>
      <c r="O11" s="5" t="n">
        <v>8428</v>
      </c>
      <c r="P11" s="5" t="n">
        <v>1</v>
      </c>
      <c r="Q11">
        <f>L11+IF(M11&gt;1,N(N11)*(M11-1),0)</f>
        <v/>
      </c>
      <c r="R11">
        <f>IFERROR(K11*MAX(M11,1)/Q11*P11,0)</f>
        <v/>
      </c>
      <c r="AA11" s="6" t="inlineStr">
        <is>
          <t>^MediumMissile, ^HeavyCannon, ^SmallArms, ^FlakWeapon, ^Chaingun</t>
        </is>
      </c>
    </row>
    <row r="12">
      <c r="A12" t="inlineStr">
        <is>
          <t>starcraft</t>
        </is>
      </c>
      <c r="B12" t="inlineStr">
        <is>
          <t>terran_harakan</t>
        </is>
      </c>
      <c r="C12" t="inlineStr">
        <is>
          <t>Harakan</t>
        </is>
      </c>
      <c r="D12" t="inlineStr"/>
      <c r="E12" s="5" t="n">
        <v>78000</v>
      </c>
      <c r="F12" s="5" t="n">
        <v>56</v>
      </c>
      <c r="G12" t="inlineStr">
        <is>
          <t>Plate</t>
        </is>
      </c>
      <c r="H12" s="5" t="n">
        <v>1</v>
      </c>
      <c r="I12" s="5" t="n">
        <v>0.75</v>
      </c>
      <c r="J12" s="5" t="n">
        <v>1</v>
      </c>
      <c r="O12">
        <f>MAX(O13,O14)</f>
        <v/>
      </c>
      <c r="R12">
        <f>R13+R14</f>
        <v/>
      </c>
      <c r="S12">
        <f>(E12/100000+F12/100+(O12/1000)*J12/5+R12/200)*200*I12*H12</f>
        <v/>
      </c>
      <c r="T12">
        <f>((E12*F12/25000)+((O12/1000)*J12*R12/2.5))*I12*H12</f>
        <v/>
      </c>
      <c r="U12">
        <f>(E12*F12*(O12/1000)*J12*R12*I12*H12)/12500000</f>
        <v/>
      </c>
      <c r="V12">
        <f>(S12+T12+U12)/3</f>
        <v/>
      </c>
      <c r="W12" s="5" t="n">
        <v>700</v>
      </c>
      <c r="X12">
        <f>IFERROR(V12-W12,"")</f>
        <v/>
      </c>
      <c r="Y12">
        <f>IFERROR(ABS(X12)/MAX(W12,1),"")</f>
        <v/>
      </c>
      <c r="Z12">
        <f>IFERROR((W12-(((E12/100000+F12/100+R12/200)*200*I12*H12)+((E12*F12/25000)*I12*H12))/3)/(((J12/5)*200*I12*H12)+((J12*R12/2.5)*I12*H12)+((E12*F12*J12*R12*I12*H12)/12500000))/3*1000,"")</f>
        <v/>
      </c>
    </row>
    <row r="13">
      <c r="B13" s="6" t="inlineStr">
        <is>
          <t xml:space="preserve">  ↳ HarakanF</t>
        </is>
      </c>
      <c r="C13" s="6" t="inlineStr">
        <is>
          <t>Armament@1</t>
        </is>
      </c>
      <c r="K13" s="5" t="n">
        <v>2000</v>
      </c>
      <c r="L13" s="5" t="n">
        <v>47</v>
      </c>
      <c r="M13" s="5" t="n">
        <v>20</v>
      </c>
      <c r="N13" s="5" t="n">
        <v>2</v>
      </c>
      <c r="O13" s="5" t="n">
        <v>4185</v>
      </c>
      <c r="P13" s="5" t="n">
        <v>1</v>
      </c>
      <c r="Q13">
        <f>L13+IF(M13&gt;1,N(N13)*(M13-1),0)</f>
        <v/>
      </c>
      <c r="R13">
        <f>IFERROR(K13*MAX(M13,1)/Q13*P13,0)</f>
        <v/>
      </c>
      <c r="AA13" s="6" t="inlineStr">
        <is>
          <t>^HeavyFlameWeapon, ^MediumFlameWeapon</t>
        </is>
      </c>
    </row>
    <row r="14">
      <c r="B14" s="6" t="inlineStr">
        <is>
          <t xml:space="preserve">  ↳ HarakanF</t>
        </is>
      </c>
      <c r="C14" s="6" t="inlineStr">
        <is>
          <t>Armament@2</t>
        </is>
      </c>
      <c r="K14" s="5" t="n">
        <v>2000</v>
      </c>
      <c r="L14" s="5" t="n">
        <v>47</v>
      </c>
      <c r="M14" s="5" t="n">
        <v>20</v>
      </c>
      <c r="N14" s="5" t="n">
        <v>2</v>
      </c>
      <c r="O14" s="5" t="n">
        <v>4185</v>
      </c>
      <c r="P14" s="5" t="n">
        <v>1</v>
      </c>
      <c r="Q14">
        <f>L14+IF(M14&gt;1,N(N14)*(M14-1),0)</f>
        <v/>
      </c>
      <c r="R14">
        <f>IFERROR(K14*MAX(M14,1)/Q14*P14,0)</f>
        <v/>
      </c>
      <c r="AA14" s="6" t="inlineStr">
        <is>
          <t>^HeavyFlameWeapon, ^MediumFlameWeapon</t>
        </is>
      </c>
    </row>
    <row r="15">
      <c r="B15" s="6" t="inlineStr">
        <is>
          <t xml:space="preserve">  ↳ HarakanF</t>
        </is>
      </c>
      <c r="C15" s="6" t="inlineStr">
        <is>
          <t>Armament@GARRISONED1</t>
        </is>
      </c>
      <c r="K15" s="5" t="n">
        <v>2000</v>
      </c>
      <c r="L15" s="5" t="n">
        <v>47</v>
      </c>
      <c r="M15" s="5" t="n">
        <v>20</v>
      </c>
      <c r="N15" s="5" t="n">
        <v>2</v>
      </c>
      <c r="O15" s="5" t="n">
        <v>4185</v>
      </c>
      <c r="P15" s="5" t="n">
        <v>1</v>
      </c>
      <c r="Q15">
        <f>L15+IF(M15&gt;1,N(N15)*(M15-1),0)</f>
        <v/>
      </c>
      <c r="R15">
        <f>IFERROR(K15*MAX(M15,1)/Q15*P15,0)</f>
        <v/>
      </c>
      <c r="AA15" s="6" t="inlineStr">
        <is>
          <t>^HeavyFlameWeapon, ^MediumFlameWeapon</t>
        </is>
      </c>
    </row>
    <row r="16">
      <c r="B16" s="6" t="inlineStr">
        <is>
          <t xml:space="preserve">  ↳ HarakanF</t>
        </is>
      </c>
      <c r="C16" s="6" t="inlineStr">
        <is>
          <t>Armament@GARRISONED2</t>
        </is>
      </c>
      <c r="K16" s="5" t="n">
        <v>2000</v>
      </c>
      <c r="L16" s="5" t="n">
        <v>47</v>
      </c>
      <c r="M16" s="5" t="n">
        <v>20</v>
      </c>
      <c r="N16" s="5" t="n">
        <v>2</v>
      </c>
      <c r="O16" s="5" t="n">
        <v>4185</v>
      </c>
      <c r="P16" s="5" t="n">
        <v>1</v>
      </c>
      <c r="Q16">
        <f>L16+IF(M16&gt;1,N(N16)*(M16-1),0)</f>
        <v/>
      </c>
      <c r="R16">
        <f>IFERROR(K16*MAX(M16,1)/Q16*P16,0)</f>
        <v/>
      </c>
      <c r="AA16" s="6" t="inlineStr">
        <is>
          <t>^HeavyFlameWeapon, ^MediumFlameWeapon</t>
        </is>
      </c>
    </row>
    <row r="17">
      <c r="A17" t="inlineStr">
        <is>
          <t>starcraft</t>
        </is>
      </c>
      <c r="B17" t="inlineStr">
        <is>
          <t>terran_jimraynor</t>
        </is>
      </c>
      <c r="C17" t="inlineStr">
        <is>
          <t>Jim Raynor</t>
        </is>
      </c>
      <c r="D17" t="inlineStr"/>
      <c r="E17" s="5" t="n">
        <v>200000</v>
      </c>
      <c r="F17" s="5" t="n">
        <v>65</v>
      </c>
      <c r="G17" t="inlineStr">
        <is>
          <t>Heroic</t>
        </is>
      </c>
      <c r="H17" s="5" t="n">
        <v>0.75</v>
      </c>
      <c r="I17" s="5" t="n">
        <v>1</v>
      </c>
      <c r="J17" s="5" t="n">
        <v>1</v>
      </c>
      <c r="O17">
        <f>MAX(O18)</f>
        <v/>
      </c>
      <c r="R17">
        <f>R18</f>
        <v/>
      </c>
      <c r="S17">
        <f>(E17/100000+F17/100+(O17/1000)*J17/5+R17/200)*200*I17*H17</f>
        <v/>
      </c>
      <c r="T17">
        <f>((E17*F17/25000)+((O17/1000)*J17*R17/2.5))*I17*H17</f>
        <v/>
      </c>
      <c r="U17">
        <f>(E17*F17*(O17/1000)*J17*R17*I17*H17)/12500000</f>
        <v/>
      </c>
      <c r="V17">
        <f>(S17+T17+U17)/3</f>
        <v/>
      </c>
      <c r="W17" s="5" t="n">
        <v>4000</v>
      </c>
      <c r="X17">
        <f>IFERROR(V17-W17,"")</f>
        <v/>
      </c>
      <c r="Y17">
        <f>IFERROR(ABS(X17)/MAX(W17,1),"")</f>
        <v/>
      </c>
      <c r="Z17">
        <f>IFERROR((W17-(((E17/100000+F17/100+R17/200)*200*I17*H17)+((E17*F17/25000)*I17*H17))/3)/(((J17/5)*200*I17*H17)+((J17*R17/2.5)*I17*H17)+((E17*F17*J17*R17*I17*H17)/12500000))/3*1000,"")</f>
        <v/>
      </c>
    </row>
    <row r="18">
      <c r="B18" s="6" t="inlineStr">
        <is>
          <t xml:space="preserve">  ↳ JimRaynorMachineGun</t>
        </is>
      </c>
      <c r="C18" s="6" t="inlineStr">
        <is>
          <t>Armament@PRIMARY</t>
        </is>
      </c>
      <c r="K18" s="5" t="n">
        <v>2000</v>
      </c>
      <c r="L18" s="5" t="n">
        <v>12</v>
      </c>
      <c r="M18" s="5" t="n">
        <v>5</v>
      </c>
      <c r="N18" s="5" t="n">
        <v>2</v>
      </c>
      <c r="O18" s="5" t="n">
        <v>7446</v>
      </c>
      <c r="P18" s="5" t="n">
        <v>1</v>
      </c>
      <c r="Q18">
        <f>L18+IF(M18&gt;1,N(N18)*(M18-1),0)</f>
        <v/>
      </c>
      <c r="R18">
        <f>IFERROR(K18*MAX(M18,1)/Q18*P18,0)</f>
        <v/>
      </c>
      <c r="AA18" s="6" t="inlineStr">
        <is>
          <t>^HeavyMissile, ^HeavyCannon</t>
        </is>
      </c>
    </row>
    <row r="19">
      <c r="B19" s="6" t="inlineStr">
        <is>
          <t xml:space="preserve">  ↳ JimRaynorMachineGun</t>
        </is>
      </c>
      <c r="C19" s="6" t="inlineStr">
        <is>
          <t>Armament@GARRISONED</t>
        </is>
      </c>
      <c r="K19" s="5" t="n">
        <v>2000</v>
      </c>
      <c r="L19" s="5" t="n">
        <v>12</v>
      </c>
      <c r="M19" s="5" t="n">
        <v>5</v>
      </c>
      <c r="N19" s="5" t="n">
        <v>2</v>
      </c>
      <c r="O19" s="5" t="n">
        <v>7446</v>
      </c>
      <c r="P19" s="5" t="n">
        <v>1</v>
      </c>
      <c r="Q19">
        <f>L19+IF(M19&gt;1,N(N19)*(M19-1),0)</f>
        <v/>
      </c>
      <c r="R19">
        <f>IFERROR(K19*MAX(M19,1)/Q19*P19,0)</f>
        <v/>
      </c>
      <c r="AA19" s="6" t="inlineStr">
        <is>
          <t>^HeavyMissile, ^HeavyCannon</t>
        </is>
      </c>
    </row>
    <row r="20">
      <c r="A20" t="inlineStr">
        <is>
          <t>starcraft</t>
        </is>
      </c>
      <c r="B20" t="inlineStr">
        <is>
          <t>terran_madcap</t>
        </is>
      </c>
      <c r="C20" t="inlineStr">
        <is>
          <t>Madcap</t>
        </is>
      </c>
      <c r="D20" t="inlineStr"/>
      <c r="E20" s="5" t="n">
        <v>60000</v>
      </c>
      <c r="F20" s="5" t="n">
        <v>60</v>
      </c>
      <c r="G20" t="inlineStr">
        <is>
          <t>Flak</t>
        </is>
      </c>
      <c r="H20" s="5" t="n">
        <v>1</v>
      </c>
      <c r="I20" s="5" t="n">
        <v>0.5</v>
      </c>
      <c r="J20" s="5" t="n">
        <v>1.25</v>
      </c>
      <c r="O20">
        <f>MAX(O21)</f>
        <v/>
      </c>
      <c r="R20">
        <f>R21</f>
        <v/>
      </c>
      <c r="S20">
        <f>(E20/100000+F20/100+(O20/1000)*J20/5+R20/200)*200*I20*H20</f>
        <v/>
      </c>
      <c r="T20">
        <f>((E20*F20/25000)+((O20/1000)*J20*R20/2.5))*I20*H20</f>
        <v/>
      </c>
      <c r="U20">
        <f>(E20*F20*(O20/1000)*J20*R20*I20*H20)/12500000</f>
        <v/>
      </c>
      <c r="V20">
        <f>(S20+T20+U20)/3</f>
        <v/>
      </c>
      <c r="W20" s="5" t="n">
        <v>300</v>
      </c>
      <c r="X20">
        <f>IFERROR(V20-W20,"")</f>
        <v/>
      </c>
      <c r="Y20">
        <f>IFERROR(ABS(X20)/MAX(W20,1),"")</f>
        <v/>
      </c>
      <c r="Z20">
        <f>IFERROR((W20-(((E20/100000+F20/100+R20/200)*200*I20*H20)+((E20*F20/25000)*I20*H20))/3)/(((J20/5)*200*I20*H20)+((J20*R20/2.5)*I20*H20)+((E20*F20*J20*R20*I20*H20)/12500000))/3*1000,"")</f>
        <v/>
      </c>
    </row>
    <row r="21">
      <c r="B21" s="6" t="inlineStr">
        <is>
          <t xml:space="preserve">  ↳ MadcapGun</t>
        </is>
      </c>
      <c r="C21" s="6" t="inlineStr">
        <is>
          <t>Armament@PRIMARY</t>
        </is>
      </c>
      <c r="K21" s="5" t="n">
        <v>2000</v>
      </c>
      <c r="L21" s="5" t="n">
        <v>25</v>
      </c>
      <c r="M21" s="5" t="n">
        <v>1</v>
      </c>
      <c r="N21" s="5" t="n"/>
      <c r="O21" s="5" t="n">
        <v>4587</v>
      </c>
      <c r="P21" s="5" t="n">
        <v>1</v>
      </c>
      <c r="Q21">
        <f>L21+IF(M21&gt;1,N(N21)*(M21-1),0)</f>
        <v/>
      </c>
      <c r="R21">
        <f>IFERROR(K21*MAX(M21,1)/Q21*P21,0)</f>
        <v/>
      </c>
      <c r="AA21" s="6" t="inlineStr">
        <is>
          <t>^HeavyCannon, ^SmallArms, ^Chaingun</t>
        </is>
      </c>
    </row>
    <row r="22">
      <c r="B22" s="6" t="inlineStr">
        <is>
          <t xml:space="preserve">  ↳ MadcapGun</t>
        </is>
      </c>
      <c r="C22" s="6" t="inlineStr">
        <is>
          <t>Armament@GARRISONED</t>
        </is>
      </c>
      <c r="K22" s="5" t="n">
        <v>2000</v>
      </c>
      <c r="L22" s="5" t="n">
        <v>25</v>
      </c>
      <c r="M22" s="5" t="n">
        <v>1</v>
      </c>
      <c r="N22" s="5" t="n"/>
      <c r="O22" s="5" t="n">
        <v>4587</v>
      </c>
      <c r="P22" s="5" t="n">
        <v>1</v>
      </c>
      <c r="Q22">
        <f>L22+IF(M22&gt;1,N(N22)*(M22-1),0)</f>
        <v/>
      </c>
      <c r="R22">
        <f>IFERROR(K22*MAX(M22,1)/Q22*P22,0)</f>
        <v/>
      </c>
      <c r="AA22" s="6" t="inlineStr">
        <is>
          <t>^HeavyCannon, ^SmallArms, ^Chaingun</t>
        </is>
      </c>
    </row>
    <row r="23">
      <c r="A23" t="inlineStr">
        <is>
          <t>starcraft</t>
        </is>
      </c>
      <c r="B23" t="inlineStr">
        <is>
          <t>terran_marauder</t>
        </is>
      </c>
      <c r="C23" t="inlineStr">
        <is>
          <t>Marauder</t>
        </is>
      </c>
      <c r="D23" t="inlineStr"/>
      <c r="E23" s="5" t="n">
        <v>90000</v>
      </c>
      <c r="F23" s="5" t="n">
        <v>45</v>
      </c>
      <c r="G23" t="inlineStr">
        <is>
          <t>Plate</t>
        </is>
      </c>
      <c r="H23" s="5" t="n">
        <v>1</v>
      </c>
      <c r="I23" s="5" t="n">
        <v>0.8</v>
      </c>
      <c r="J23" s="5" t="n">
        <v>1</v>
      </c>
      <c r="O23">
        <f>MAX(O24)</f>
        <v/>
      </c>
      <c r="R23">
        <f>R24</f>
        <v/>
      </c>
      <c r="S23">
        <f>(E23/100000+F23/100+(O23/1000)*J23/5+R23/200)*200*I23*H23</f>
        <v/>
      </c>
      <c r="T23">
        <f>((E23*F23/25000)+((O23/1000)*J23*R23/2.5))*I23*H23</f>
        <v/>
      </c>
      <c r="U23">
        <f>(E23*F23*(O23/1000)*J23*R23*I23*H23)/12500000</f>
        <v/>
      </c>
      <c r="V23">
        <f>(S23+T23+U23)/3</f>
        <v/>
      </c>
      <c r="W23" s="5" t="n">
        <v>1000</v>
      </c>
      <c r="X23">
        <f>IFERROR(V23-W23,"")</f>
        <v/>
      </c>
      <c r="Y23">
        <f>IFERROR(ABS(X23)/MAX(W23,1),"")</f>
        <v/>
      </c>
      <c r="Z23">
        <f>IFERROR((W23-(((E23/100000+F23/100+R23/200)*200*I23*H23)+((E23*F23/25000)*I23*H23))/3)/(((J23/5)*200*I23*H23)+((J23*R23/2.5)*I23*H23)+((E23*F23*J23*R23*I23*H23)/12500000))/3*1000,"")</f>
        <v/>
      </c>
    </row>
    <row r="24">
      <c r="B24" s="6" t="inlineStr">
        <is>
          <t xml:space="preserve">  ↳ MarauderMissiles</t>
        </is>
      </c>
      <c r="C24" s="6" t="inlineStr">
        <is>
          <t>Armament@1</t>
        </is>
      </c>
      <c r="K24" s="5" t="n">
        <v>10000</v>
      </c>
      <c r="L24" s="5" t="n">
        <v>60</v>
      </c>
      <c r="M24" s="5" t="n">
        <v>1</v>
      </c>
      <c r="N24" s="5" t="n"/>
      <c r="O24" s="5" t="n">
        <v>7010</v>
      </c>
      <c r="P24" s="5" t="n">
        <v>1</v>
      </c>
      <c r="Q24">
        <f>L24+IF(M24&gt;1,N(N24)*(M24-1),0)</f>
        <v/>
      </c>
      <c r="R24">
        <f>IFERROR(K24*MAX(M24,1)/Q24*P24,0)</f>
        <v/>
      </c>
      <c r="AA24" s="6" t="inlineStr">
        <is>
          <t>^TankDestroyerCannon, ^HeavyCannon, ^MediumMissile</t>
        </is>
      </c>
    </row>
    <row r="25">
      <c r="B25" s="6" t="inlineStr">
        <is>
          <t xml:space="preserve">  ↳ MarauderMissiles</t>
        </is>
      </c>
      <c r="C25" s="6" t="inlineStr">
        <is>
          <t>Armament@GARRISONED1</t>
        </is>
      </c>
      <c r="K25" s="5" t="n">
        <v>10000</v>
      </c>
      <c r="L25" s="5" t="n">
        <v>60</v>
      </c>
      <c r="M25" s="5" t="n">
        <v>1</v>
      </c>
      <c r="N25" s="5" t="n"/>
      <c r="O25" s="5" t="n">
        <v>7010</v>
      </c>
      <c r="P25" s="5" t="n">
        <v>1</v>
      </c>
      <c r="Q25">
        <f>L25+IF(M25&gt;1,N(N25)*(M25-1),0)</f>
        <v/>
      </c>
      <c r="R25">
        <f>IFERROR(K25*MAX(M25,1)/Q25*P25,0)</f>
        <v/>
      </c>
      <c r="AA25" s="6" t="inlineStr">
        <is>
          <t>^TankDestroyerCannon, ^HeavyCannon, ^MediumMissile</t>
        </is>
      </c>
    </row>
    <row r="26">
      <c r="A26" t="inlineStr">
        <is>
          <t>starcraft</t>
        </is>
      </c>
      <c r="B26" t="inlineStr">
        <is>
          <t>terran_marine</t>
        </is>
      </c>
      <c r="C26" t="inlineStr">
        <is>
          <t>Marine</t>
        </is>
      </c>
      <c r="D26" t="inlineStr"/>
      <c r="E26" s="5" t="n">
        <v>40000</v>
      </c>
      <c r="F26" s="5" t="n">
        <v>60</v>
      </c>
      <c r="G26" t="inlineStr">
        <is>
          <t>Flak</t>
        </is>
      </c>
      <c r="H26" s="5" t="n">
        <v>1</v>
      </c>
      <c r="I26" s="5" t="n">
        <v>1</v>
      </c>
      <c r="J26" s="5" t="n">
        <v>1</v>
      </c>
      <c r="O26">
        <f>MAX(O27)</f>
        <v/>
      </c>
      <c r="R26">
        <f>R27</f>
        <v/>
      </c>
      <c r="S26">
        <f>(E26/100000+F26/100+(O26/1000)*J26/5+R26/200)*200*I26*H26</f>
        <v/>
      </c>
      <c r="T26">
        <f>((E26*F26/25000)+((O26/1000)*J26*R26/2.5))*I26*H26</f>
        <v/>
      </c>
      <c r="U26">
        <f>(E26*F26*(O26/1000)*J26*R26*I26*H26)/12500000</f>
        <v/>
      </c>
      <c r="V26">
        <f>(S26+T26+U26)/3</f>
        <v/>
      </c>
      <c r="W26" s="5" t="n">
        <v>200</v>
      </c>
      <c r="X26">
        <f>IFERROR(V26-W26,"")</f>
        <v/>
      </c>
      <c r="Y26">
        <f>IFERROR(ABS(X26)/MAX(W26,1),"")</f>
        <v/>
      </c>
      <c r="Z26">
        <f>IFERROR((W26-(((E26/100000+F26/100+R26/200)*200*I26*H26)+((E26*F26/25000)*I26*H26))/3)/(((J26/5)*200*I26*H26)+((J26*R26/2.5)*I26*H26)+((E26*F26*J26*R26*I26*H26)/12500000))/3*1000,"")</f>
        <v/>
      </c>
    </row>
    <row r="27">
      <c r="B27" s="6" t="inlineStr">
        <is>
          <t xml:space="preserve">  ↳ MarineMG</t>
        </is>
      </c>
      <c r="C27" s="6" t="inlineStr">
        <is>
          <t>Armament@PRIMARY</t>
        </is>
      </c>
      <c r="K27" s="5" t="n">
        <v>2000</v>
      </c>
      <c r="L27" s="5" t="n">
        <v>26</v>
      </c>
      <c r="M27" s="5" t="n">
        <v>3</v>
      </c>
      <c r="N27" s="5" t="n">
        <v>2</v>
      </c>
      <c r="O27" s="5" t="n">
        <v>4444</v>
      </c>
      <c r="P27" s="5" t="n">
        <v>1</v>
      </c>
      <c r="Q27">
        <f>L27+IF(M27&gt;1,N(N27)*(M27-1),0)</f>
        <v/>
      </c>
      <c r="R27">
        <f>IFERROR(K27*MAX(M27,1)/Q27*P27,0)</f>
        <v/>
      </c>
      <c r="AA27" s="6" t="inlineStr">
        <is>
          <t>^HeavyCannon, ^SmallArms, ^Chaingun</t>
        </is>
      </c>
    </row>
    <row r="28">
      <c r="B28" s="6" t="inlineStr">
        <is>
          <t xml:space="preserve">  ↳ MarineMG</t>
        </is>
      </c>
      <c r="C28" s="6" t="inlineStr">
        <is>
          <t>Armament@GARRISONED</t>
        </is>
      </c>
      <c r="K28" s="5" t="n">
        <v>2000</v>
      </c>
      <c r="L28" s="5" t="n">
        <v>26</v>
      </c>
      <c r="M28" s="5" t="n">
        <v>3</v>
      </c>
      <c r="N28" s="5" t="n">
        <v>2</v>
      </c>
      <c r="O28" s="5" t="n">
        <v>4444</v>
      </c>
      <c r="P28" s="5" t="n">
        <v>1</v>
      </c>
      <c r="Q28">
        <f>L28+IF(M28&gt;1,N(N28)*(M28-1),0)</f>
        <v/>
      </c>
      <c r="R28">
        <f>IFERROR(K28*MAX(M28,1)/Q28*P28,0)</f>
        <v/>
      </c>
      <c r="AA28" s="6" t="inlineStr">
        <is>
          <t>^HeavyCannon, ^SmallArms, ^Chaingun</t>
        </is>
      </c>
    </row>
    <row r="29">
      <c r="A29" t="inlineStr">
        <is>
          <t>starcraft</t>
        </is>
      </c>
      <c r="B29" t="inlineStr">
        <is>
          <t>terran_medic</t>
        </is>
      </c>
      <c r="C29" t="inlineStr">
        <is>
          <t>Medic</t>
        </is>
      </c>
      <c r="D29" t="inlineStr"/>
      <c r="E29" s="5" t="n">
        <v>60000</v>
      </c>
      <c r="F29" s="5" t="n">
        <v>60</v>
      </c>
      <c r="G29" t="inlineStr">
        <is>
          <t>None</t>
        </is>
      </c>
      <c r="H29" s="5" t="n">
        <v>1</v>
      </c>
      <c r="I29" s="5" t="n">
        <v>1</v>
      </c>
      <c r="J29" s="5" t="n">
        <v>1</v>
      </c>
      <c r="O29">
        <f>MAX(O30,O31)</f>
        <v/>
      </c>
      <c r="R29">
        <f>R30+R31</f>
        <v/>
      </c>
      <c r="S29">
        <f>(E29/100000+F29/100+(O29/1000)*J29/5+R29/200)*200*I29*H29</f>
        <v/>
      </c>
      <c r="T29">
        <f>((E29*F29/25000)+((O29/1000)*J29*R29/2.5))*I29*H29</f>
        <v/>
      </c>
      <c r="U29">
        <f>(E29*F29*(O29/1000)*J29*R29*I29*H29)/12500000</f>
        <v/>
      </c>
      <c r="V29">
        <f>(S29+T29+U29)/3</f>
        <v/>
      </c>
      <c r="W29" s="5" t="n">
        <v>600</v>
      </c>
      <c r="X29">
        <f>IFERROR(V29-W29,"")</f>
        <v/>
      </c>
      <c r="Y29">
        <f>IFERROR(ABS(X29)/MAX(W29,1),"")</f>
        <v/>
      </c>
      <c r="Z29">
        <f>IFERROR((W29-(((E29/100000+F29/100+R29/200)*200*I29*H29)+((E29*F29/25000)*I29*H29))/3)/(((J29/5)*200*I29*H29)+((J29*R29/2.5)*I29*H29)+((E29*F29*J29*R29*I29*H29)/12500000))/3*1000,"")</f>
        <v/>
      </c>
    </row>
    <row r="30">
      <c r="B30" s="6" t="inlineStr">
        <is>
          <t xml:space="preserve">  ↳ MedicFlare</t>
        </is>
      </c>
      <c r="C30" s="6" t="inlineStr">
        <is>
          <t>Armament@Flare</t>
        </is>
      </c>
      <c r="K30" s="5" t="n">
        <v>2000</v>
      </c>
      <c r="L30" s="5" t="n">
        <v>60</v>
      </c>
      <c r="M30" s="5" t="n">
        <v>1</v>
      </c>
      <c r="N30" s="5" t="n"/>
      <c r="O30" s="5" t="n">
        <v>6000</v>
      </c>
      <c r="P30" s="5" t="n">
        <v>1</v>
      </c>
      <c r="Q30">
        <f>L30+IF(M30&gt;1,N(N30)*(M30-1),0)</f>
        <v/>
      </c>
      <c r="R30">
        <f>IFERROR(K30*MAX(M30,1)/Q30*P30,0)</f>
        <v/>
      </c>
      <c r="AA30" s="6" t="inlineStr">
        <is>
          <t>^LightFlameWeapon, ^FlakWeapon, ^LaserWeapon</t>
        </is>
      </c>
    </row>
    <row r="31">
      <c r="B31" s="6" t="inlineStr">
        <is>
          <t xml:space="preserve">  ↳ MedicHeal</t>
        </is>
      </c>
      <c r="C31" s="6" t="inlineStr">
        <is>
          <t>Armament@Heal</t>
        </is>
      </c>
      <c r="K31" s="5" t="n">
        <v>-1</v>
      </c>
      <c r="L31" s="5" t="n">
        <v>10</v>
      </c>
      <c r="M31" s="5" t="n">
        <v>1</v>
      </c>
      <c r="N31" s="5" t="n"/>
      <c r="O31" s="5" t="n">
        <v>6000</v>
      </c>
      <c r="P31" s="5" t="n">
        <v>1</v>
      </c>
      <c r="Q31">
        <f>L31+IF(M31&gt;1,N(N31)*(M31-1),0)</f>
        <v/>
      </c>
      <c r="R31">
        <f>IFERROR(K31*MAX(M31,1)/Q31*P31,0)</f>
        <v/>
      </c>
      <c r="AA31" s="6" t="inlineStr">
        <is>
          <t>^HealingWeapon</t>
        </is>
      </c>
    </row>
    <row r="32">
      <c r="B32" s="6" t="inlineStr">
        <is>
          <t xml:space="preserve">  ↳ MedicFlare</t>
        </is>
      </c>
      <c r="C32" s="6" t="inlineStr">
        <is>
          <t>Armament@FlareGARRISONED</t>
        </is>
      </c>
      <c r="K32" s="5" t="n">
        <v>2000</v>
      </c>
      <c r="L32" s="5" t="n">
        <v>60</v>
      </c>
      <c r="M32" s="5" t="n">
        <v>1</v>
      </c>
      <c r="N32" s="5" t="n"/>
      <c r="O32" s="5" t="n">
        <v>6000</v>
      </c>
      <c r="P32" s="5" t="n">
        <v>1</v>
      </c>
      <c r="Q32">
        <f>L32+IF(M32&gt;1,N(N32)*(M32-1),0)</f>
        <v/>
      </c>
      <c r="R32">
        <f>IFERROR(K32*MAX(M32,1)/Q32*P32,0)</f>
        <v/>
      </c>
      <c r="AA32" s="6" t="inlineStr">
        <is>
          <t>^LightFlameWeapon, ^FlakWeapon, ^LaserWeapon</t>
        </is>
      </c>
    </row>
    <row r="33">
      <c r="A33" t="inlineStr">
        <is>
          <t>starcraft</t>
        </is>
      </c>
      <c r="B33" t="inlineStr">
        <is>
          <t>terran_reaper</t>
        </is>
      </c>
      <c r="C33" t="inlineStr">
        <is>
          <t>Reaper</t>
        </is>
      </c>
      <c r="D33" t="inlineStr"/>
      <c r="E33" s="5" t="n">
        <v>60000</v>
      </c>
      <c r="F33" s="5" t="n">
        <v>120</v>
      </c>
      <c r="G33" t="inlineStr">
        <is>
          <t>Flak</t>
        </is>
      </c>
      <c r="H33" s="5" t="n">
        <v>1</v>
      </c>
      <c r="I33" s="5" t="n">
        <v>0.5</v>
      </c>
      <c r="J33" s="5" t="n">
        <v>2</v>
      </c>
      <c r="O33">
        <f>MAX(O34,O35,O36)</f>
        <v/>
      </c>
      <c r="R33">
        <f>R34+R35+R36</f>
        <v/>
      </c>
      <c r="S33">
        <f>(E33/100000+F33/100+(O33/1000)*J33/5+R33/200)*200*I33*H33</f>
        <v/>
      </c>
      <c r="T33">
        <f>((E33*F33/25000)+((O33/1000)*J33*R33/2.5))*I33*H33</f>
        <v/>
      </c>
      <c r="U33">
        <f>(E33*F33*(O33/1000)*J33*R33*I33*H33)/12500000</f>
        <v/>
      </c>
      <c r="V33">
        <f>(S33+T33+U33)/3</f>
        <v/>
      </c>
      <c r="W33" s="5" t="n">
        <v>600</v>
      </c>
      <c r="X33">
        <f>IFERROR(V33-W33,"")</f>
        <v/>
      </c>
      <c r="Y33">
        <f>IFERROR(ABS(X33)/MAX(W33,1),"")</f>
        <v/>
      </c>
      <c r="Z33">
        <f>IFERROR((W33-(((E33/100000+F33/100+R33/200)*200*I33*H33)+((E33*F33/25000)*I33*H33))/3)/(((J33/5)*200*I33*H33)+((J33*R33/2.5)*I33*H33)+((E33*F33*J33*R33*I33*H33)/12500000))/3*1000,"")</f>
        <v/>
      </c>
    </row>
    <row r="34">
      <c r="B34" s="6" t="inlineStr">
        <is>
          <t xml:space="preserve">  ↳ ReaperPistols</t>
        </is>
      </c>
      <c r="C34" s="6" t="inlineStr">
        <is>
          <t>Armament@PRIMARY</t>
        </is>
      </c>
      <c r="K34" s="5" t="n">
        <v>4000</v>
      </c>
      <c r="L34" s="5" t="n">
        <v>22</v>
      </c>
      <c r="M34" s="5" t="n">
        <v>1</v>
      </c>
      <c r="N34" s="5" t="n"/>
      <c r="O34" s="5" t="n">
        <v>4375</v>
      </c>
      <c r="P34" s="5" t="n">
        <v>1</v>
      </c>
      <c r="Q34">
        <f>L34+IF(M34&gt;1,N(N34)*(M34-1),0)</f>
        <v/>
      </c>
      <c r="R34">
        <f>IFERROR(K34*MAX(M34,1)/Q34*P34,0)</f>
        <v/>
      </c>
      <c r="AA34" s="6" t="inlineStr">
        <is>
          <t>^SniperWeapon</t>
        </is>
      </c>
    </row>
    <row r="35">
      <c r="B35" s="6" t="inlineStr">
        <is>
          <t xml:space="preserve">  ↳ ReaperPistols</t>
        </is>
      </c>
      <c r="C35" s="6" t="inlineStr">
        <is>
          <t>Armament@SECONDARY</t>
        </is>
      </c>
      <c r="K35" s="5" t="n">
        <v>4000</v>
      </c>
      <c r="L35" s="5" t="n">
        <v>22</v>
      </c>
      <c r="M35" s="5" t="n">
        <v>1</v>
      </c>
      <c r="N35" s="5" t="n"/>
      <c r="O35" s="5" t="n">
        <v>4375</v>
      </c>
      <c r="P35" s="5" t="n">
        <v>1</v>
      </c>
      <c r="Q35">
        <f>L35+IF(M35&gt;1,N(N35)*(M35-1),0)</f>
        <v/>
      </c>
      <c r="R35">
        <f>IFERROR(K35*MAX(M35,1)/Q35*P35,0)</f>
        <v/>
      </c>
      <c r="AA35" s="6" t="inlineStr">
        <is>
          <t>^SniperWeapon</t>
        </is>
      </c>
    </row>
    <row r="36">
      <c r="B36" s="6" t="inlineStr">
        <is>
          <t xml:space="preserve">  ↳ ReaperGrenade</t>
        </is>
      </c>
      <c r="C36" s="6" t="inlineStr">
        <is>
          <t>Armament@Grenade</t>
        </is>
      </c>
      <c r="K36" s="5" t="n">
        <v>4000</v>
      </c>
      <c r="L36" s="5" t="n">
        <v>45</v>
      </c>
      <c r="M36" s="5" t="n">
        <v>1</v>
      </c>
      <c r="N36" s="5" t="n"/>
      <c r="O36" s="5" t="n">
        <v>4375</v>
      </c>
      <c r="P36" s="5" t="n">
        <v>1</v>
      </c>
      <c r="Q36">
        <f>L36+IF(M36&gt;1,N(N36)*(M36-1),0)</f>
        <v/>
      </c>
      <c r="R36">
        <f>IFERROR(K36*MAX(M36,1)/Q36*P36,0)</f>
        <v/>
      </c>
      <c r="AA36" s="6" t="inlineStr">
        <is>
          <t>^Grenade, ^ShrapnelWeapon, ^HeavyCannon</t>
        </is>
      </c>
    </row>
    <row r="37">
      <c r="B37" s="6" t="inlineStr">
        <is>
          <t xml:space="preserve">  ↳ ReaperPistols</t>
        </is>
      </c>
      <c r="C37" s="6" t="inlineStr">
        <is>
          <t>Armament@GARRISONED1</t>
        </is>
      </c>
      <c r="K37" s="5" t="n">
        <v>4000</v>
      </c>
      <c r="L37" s="5" t="n">
        <v>22</v>
      </c>
      <c r="M37" s="5" t="n">
        <v>1</v>
      </c>
      <c r="N37" s="5" t="n"/>
      <c r="O37" s="5" t="n">
        <v>4375</v>
      </c>
      <c r="P37" s="5" t="n">
        <v>1</v>
      </c>
      <c r="Q37">
        <f>L37+IF(M37&gt;1,N(N37)*(M37-1),0)</f>
        <v/>
      </c>
      <c r="R37">
        <f>IFERROR(K37*MAX(M37,1)/Q37*P37,0)</f>
        <v/>
      </c>
      <c r="AA37" s="6" t="inlineStr">
        <is>
          <t>^SniperWeapon</t>
        </is>
      </c>
    </row>
    <row r="38">
      <c r="B38" s="6" t="inlineStr">
        <is>
          <t xml:space="preserve">  ↳ ReaperPistols</t>
        </is>
      </c>
      <c r="C38" s="6" t="inlineStr">
        <is>
          <t>Armament@GARRISONED2</t>
        </is>
      </c>
      <c r="K38" s="5" t="n">
        <v>4000</v>
      </c>
      <c r="L38" s="5" t="n">
        <v>22</v>
      </c>
      <c r="M38" s="5" t="n">
        <v>1</v>
      </c>
      <c r="N38" s="5" t="n"/>
      <c r="O38" s="5" t="n">
        <v>4375</v>
      </c>
      <c r="P38" s="5" t="n">
        <v>1</v>
      </c>
      <c r="Q38">
        <f>L38+IF(M38&gt;1,N(N38)*(M38-1),0)</f>
        <v/>
      </c>
      <c r="R38">
        <f>IFERROR(K38*MAX(M38,1)/Q38*P38,0)</f>
        <v/>
      </c>
      <c r="AA38" s="6" t="inlineStr">
        <is>
          <t>^SniperWeapon</t>
        </is>
      </c>
    </row>
    <row r="39">
      <c r="B39" s="6" t="inlineStr">
        <is>
          <t xml:space="preserve">  ↳ ReaperGrenade</t>
        </is>
      </c>
      <c r="C39" s="6" t="inlineStr">
        <is>
          <t>Armament@GARRISONEDGrenade</t>
        </is>
      </c>
      <c r="K39" s="5" t="n">
        <v>4000</v>
      </c>
      <c r="L39" s="5" t="n">
        <v>45</v>
      </c>
      <c r="M39" s="5" t="n">
        <v>1</v>
      </c>
      <c r="N39" s="5" t="n"/>
      <c r="O39" s="5" t="n">
        <v>4375</v>
      </c>
      <c r="P39" s="5" t="n">
        <v>1</v>
      </c>
      <c r="Q39">
        <f>L39+IF(M39&gt;1,N(N39)*(M39-1),0)</f>
        <v/>
      </c>
      <c r="R39">
        <f>IFERROR(K39*MAX(M39,1)/Q39*P39,0)</f>
        <v/>
      </c>
      <c r="AA39" s="6" t="inlineStr">
        <is>
          <t>^Grenade, ^ShrapnelWeapon, ^HeavyCannon</t>
        </is>
      </c>
    </row>
    <row r="40">
      <c r="A40" t="inlineStr">
        <is>
          <t>starcraft</t>
        </is>
      </c>
      <c r="B40" t="inlineStr">
        <is>
          <t>terran_specter</t>
        </is>
      </c>
      <c r="C40" t="inlineStr">
        <is>
          <t>Specter</t>
        </is>
      </c>
      <c r="D40" t="inlineStr"/>
      <c r="E40" s="5" t="n">
        <v>50000</v>
      </c>
      <c r="F40" s="5" t="n">
        <v>80</v>
      </c>
      <c r="G40" t="inlineStr">
        <is>
          <t>Flak</t>
        </is>
      </c>
      <c r="H40" s="5" t="n">
        <v>0.75</v>
      </c>
      <c r="I40" s="5" t="n">
        <v>0.75</v>
      </c>
      <c r="J40" s="5" t="n">
        <v>1</v>
      </c>
      <c r="O40">
        <f>MAX(O41,O42)</f>
        <v/>
      </c>
      <c r="R40">
        <f>R41+R42</f>
        <v/>
      </c>
      <c r="S40">
        <f>(E40/100000+F40/100+(O40/1000)*J40/5+R40/200)*200*I40*H40</f>
        <v/>
      </c>
      <c r="T40">
        <f>((E40*F40/25000)+((O40/1000)*J40*R40/2.5))*I40*H40</f>
        <v/>
      </c>
      <c r="U40">
        <f>(E40*F40*(O40/1000)*J40*R40*I40*H40)/12500000</f>
        <v/>
      </c>
      <c r="V40">
        <f>(S40+T40+U40)/3</f>
        <v/>
      </c>
      <c r="W40" s="5" t="n">
        <v>900</v>
      </c>
      <c r="X40">
        <f>IFERROR(V40-W40,"")</f>
        <v/>
      </c>
      <c r="Y40">
        <f>IFERROR(ABS(X40)/MAX(W40,1),"")</f>
        <v/>
      </c>
      <c r="Z40">
        <f>IFERROR((W40-(((E40/100000+F40/100+R40/200)*200*I40*H40)+((E40*F40/25000)*I40*H40))/3)/(((J40/5)*200*I40*H40)+((J40*R40/2.5)*I40*H40)+((E40*F40*J40*R40*I40*H40)/12500000))/3*1000,"")</f>
        <v/>
      </c>
    </row>
    <row r="41">
      <c r="B41" s="6" t="inlineStr">
        <is>
          <t xml:space="preserve">  ↳ SpecterSniperLockdown</t>
        </is>
      </c>
      <c r="C41" s="6" t="inlineStr">
        <is>
          <t>Armament@lockdown</t>
        </is>
      </c>
      <c r="K41" s="5" t="n">
        <v>8000</v>
      </c>
      <c r="L41" s="5" t="n">
        <v>66</v>
      </c>
      <c r="M41" s="5" t="n">
        <v>1</v>
      </c>
      <c r="N41" s="5" t="n"/>
      <c r="O41" s="5" t="n">
        <v>7922</v>
      </c>
      <c r="P41" s="5" t="n">
        <v>1</v>
      </c>
      <c r="Q41">
        <f>L41+IF(M41&gt;1,N(N41)*(M41-1),0)</f>
        <v/>
      </c>
      <c r="R41">
        <f>IFERROR(K41*MAX(M41,1)/Q41*P41,0)</f>
        <v/>
      </c>
      <c r="AA41" s="6" t="inlineStr">
        <is>
          <t>^TeslaChargedWeapon, ^MediumMissile, ^HeavyCannon, ^SmallArms, ^FlakWeapon, ^Chaingun</t>
        </is>
      </c>
    </row>
    <row r="42">
      <c r="B42" s="6" t="inlineStr">
        <is>
          <t xml:space="preserve">  ↳ SpecterSniper</t>
        </is>
      </c>
      <c r="C42" s="6" t="inlineStr">
        <is>
          <t>Armament@PRIMARY</t>
        </is>
      </c>
      <c r="K42" s="5" t="n">
        <v>4000</v>
      </c>
      <c r="L42" s="5" t="n">
        <v>33</v>
      </c>
      <c r="M42" s="5" t="n">
        <v>1</v>
      </c>
      <c r="N42" s="5" t="n"/>
      <c r="O42" s="5" t="n">
        <v>7922</v>
      </c>
      <c r="P42" s="5" t="n">
        <v>1</v>
      </c>
      <c r="Q42">
        <f>L42+IF(M42&gt;1,N(N42)*(M42-1),0)</f>
        <v/>
      </c>
      <c r="R42">
        <f>IFERROR(K42*MAX(M42,1)/Q42*P42,0)</f>
        <v/>
      </c>
      <c r="AA42" s="6" t="inlineStr">
        <is>
          <t>^MediumMissile, ^HeavyCannon, ^SmallArms, ^FlakWeapon, ^Chaingun</t>
        </is>
      </c>
    </row>
    <row r="43">
      <c r="B43" s="6" t="inlineStr">
        <is>
          <t xml:space="preserve">  ↳ SpecterSniper</t>
        </is>
      </c>
      <c r="C43" s="6" t="inlineStr">
        <is>
          <t>Armament@GARRISONED</t>
        </is>
      </c>
      <c r="K43" s="5" t="n">
        <v>4000</v>
      </c>
      <c r="L43" s="5" t="n">
        <v>33</v>
      </c>
      <c r="M43" s="5" t="n">
        <v>1</v>
      </c>
      <c r="N43" s="5" t="n"/>
      <c r="O43" s="5" t="n">
        <v>7922</v>
      </c>
      <c r="P43" s="5" t="n">
        <v>1</v>
      </c>
      <c r="Q43">
        <f>L43+IF(M43&gt;1,N(N43)*(M43-1),0)</f>
        <v/>
      </c>
      <c r="R43">
        <f>IFERROR(K43*MAX(M43,1)/Q43*P43,0)</f>
        <v/>
      </c>
      <c r="AA43" s="6" t="inlineStr">
        <is>
          <t>^MediumMissile, ^HeavyCannon, ^SmallArms, ^FlakWeapon, ^Chaingun</t>
        </is>
      </c>
    </row>
    <row r="44">
      <c r="A44" s="3" t="inlineStr">
        <is>
          <t>VEHICLES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>
      <c r="A45" t="inlineStr">
        <is>
          <t>starcraft</t>
        </is>
      </c>
      <c r="B45" t="inlineStr">
        <is>
          <t>terran_cyclone</t>
        </is>
      </c>
      <c r="C45" t="inlineStr">
        <is>
          <t>Cyclone</t>
        </is>
      </c>
      <c r="D45" t="inlineStr"/>
      <c r="E45" s="5" t="n">
        <v>90000</v>
      </c>
      <c r="F45" s="5" t="n">
        <v>115</v>
      </c>
      <c r="G45" t="inlineStr">
        <is>
          <t>Light</t>
        </is>
      </c>
      <c r="H45" s="5" t="n">
        <v>1</v>
      </c>
      <c r="I45" s="5" t="n">
        <v>1</v>
      </c>
      <c r="J45" s="5" t="n">
        <v>1.25</v>
      </c>
      <c r="O45">
        <f>MAX(O46,O47)</f>
        <v/>
      </c>
      <c r="R45">
        <f>R46+R47</f>
        <v/>
      </c>
      <c r="S45">
        <f>(E45/100000+F45/100+(O45/1000)*J45/5+R45/200)*200*I45*H45</f>
        <v/>
      </c>
      <c r="T45">
        <f>((E45*F45/25000)+((O45/1000)*J45*R45/2.5))*I45*H45</f>
        <v/>
      </c>
      <c r="U45">
        <f>(E45*F45*(O45/1000)*J45*R45*I45*H45)/12500000</f>
        <v/>
      </c>
      <c r="V45">
        <f>(S45+T45+U45)/3</f>
        <v/>
      </c>
      <c r="W45" s="5" t="n">
        <v>2300</v>
      </c>
      <c r="X45">
        <f>IFERROR(V45-W45,"")</f>
        <v/>
      </c>
      <c r="Y45">
        <f>IFERROR(ABS(X45)/MAX(W45,1),"")</f>
        <v/>
      </c>
      <c r="Z45">
        <f>IFERROR((W45-(((E45/100000+F45/100+R45/200)*200*I45*H45)+((E45*F45/25000)*I45*H45))/3)/(((J45/5)*200*I45*H45)+((J45*R45/2.5)*I45*H45)+((E45*F45*J45*R45*I45*H45)/12500000))/3*1000,"")</f>
        <v/>
      </c>
    </row>
    <row r="46">
      <c r="B46" s="6" t="inlineStr">
        <is>
          <t xml:space="preserve">  ↳ CycloneRockets</t>
        </is>
      </c>
      <c r="C46" s="6" t="inlineStr">
        <is>
          <t>Armament</t>
        </is>
      </c>
      <c r="K46" s="5" t="n">
        <v>2000</v>
      </c>
      <c r="L46" s="5" t="n">
        <v>35</v>
      </c>
      <c r="M46" s="5" t="n">
        <v>6</v>
      </c>
      <c r="N46" s="5" t="n">
        <v>2</v>
      </c>
      <c r="O46" s="5" t="n">
        <v>7320</v>
      </c>
      <c r="P46" s="5" t="n">
        <v>1</v>
      </c>
      <c r="Q46">
        <f>L46+IF(M46&gt;1,N(N46)*(M46-1),0)</f>
        <v/>
      </c>
      <c r="R46">
        <f>IFERROR(K46*MAX(M46,1)/Q46*P46,0)</f>
        <v/>
      </c>
      <c r="AA46" s="6" t="inlineStr">
        <is>
          <t>^MediumMissile, ^LightMissile</t>
        </is>
      </c>
    </row>
    <row r="47">
      <c r="B47" s="6" t="inlineStr">
        <is>
          <t xml:space="preserve">  ↳ CycloneRocketsLockOn</t>
        </is>
      </c>
      <c r="C47" s="6" t="inlineStr">
        <is>
          <t>Armament@lockedon</t>
        </is>
      </c>
      <c r="K47" s="5" t="n">
        <v>2000</v>
      </c>
      <c r="L47" s="5" t="n">
        <v>35</v>
      </c>
      <c r="M47" s="5" t="n">
        <v>6</v>
      </c>
      <c r="N47" s="5" t="n">
        <v>2</v>
      </c>
      <c r="O47" s="5" t="n">
        <v>10000</v>
      </c>
      <c r="P47" s="5" t="n">
        <v>1</v>
      </c>
      <c r="Q47">
        <f>L47+IF(M47&gt;1,N(N47)*(M47-1),0)</f>
        <v/>
      </c>
      <c r="R47">
        <f>IFERROR(K47*MAX(M47,1)/Q47*P47,0)</f>
        <v/>
      </c>
      <c r="AA47" s="6" t="inlineStr">
        <is>
          <t>^MediumMissile, ^LightMissile</t>
        </is>
      </c>
    </row>
    <row r="48">
      <c r="A48" t="inlineStr">
        <is>
          <t>starcraft</t>
        </is>
      </c>
      <c r="B48" t="inlineStr">
        <is>
          <t>terran_goliath</t>
        </is>
      </c>
      <c r="C48" t="inlineStr">
        <is>
          <t>Goliath</t>
        </is>
      </c>
      <c r="D48" t="inlineStr"/>
      <c r="E48" s="5" t="n">
        <v>125000</v>
      </c>
      <c r="F48" s="5" t="n">
        <v>90</v>
      </c>
      <c r="G48" t="inlineStr">
        <is>
          <t>Medium</t>
        </is>
      </c>
      <c r="H48" s="5" t="n">
        <v>0.75</v>
      </c>
      <c r="I48" s="5" t="n">
        <v>1</v>
      </c>
      <c r="J48" s="5" t="n">
        <v>1</v>
      </c>
      <c r="O48">
        <f>MAX(O49,O50,O51,O52)</f>
        <v/>
      </c>
      <c r="R48">
        <f>R49+R50+R51+R52</f>
        <v/>
      </c>
      <c r="S48">
        <f>(E48/100000+F48/100+(O48/1000)*J48/5+R48/200)*200*I48*H48</f>
        <v/>
      </c>
      <c r="T48">
        <f>((E48*F48/25000)+((O48/1000)*J48*R48/2.5))*I48*H48</f>
        <v/>
      </c>
      <c r="U48">
        <f>(E48*F48*(O48/1000)*J48*R48*I48*H48)/12500000</f>
        <v/>
      </c>
      <c r="V48">
        <f>(S48+T48+U48)/3</f>
        <v/>
      </c>
      <c r="W48" s="5" t="n">
        <v>1600</v>
      </c>
      <c r="X48">
        <f>IFERROR(V48-W48,"")</f>
        <v/>
      </c>
      <c r="Y48">
        <f>IFERROR(ABS(X48)/MAX(W48,1),"")</f>
        <v/>
      </c>
      <c r="Z48">
        <f>IFERROR((W48-(((E48/100000+F48/100+R48/200)*200*I48*H48)+((E48*F48/25000)*I48*H48))/3)/(((J48/5)*200*I48*H48)+((J48*R48/2.5)*I48*H48)+((E48*F48*J48*R48*I48*H48)/12500000))/3*1000,"")</f>
        <v/>
      </c>
    </row>
    <row r="49">
      <c r="B49" s="6" t="inlineStr">
        <is>
          <t xml:space="preserve">  ↳ GoliathMG</t>
        </is>
      </c>
      <c r="C49" s="6" t="inlineStr">
        <is>
          <t>Armament@G1</t>
        </is>
      </c>
      <c r="K49" s="5" t="n">
        <v>2000</v>
      </c>
      <c r="L49" s="5" t="n">
        <v>16</v>
      </c>
      <c r="M49" s="5" t="n">
        <v>3</v>
      </c>
      <c r="N49" s="5" t="n">
        <v>2</v>
      </c>
      <c r="O49" s="5" t="n">
        <v>6000</v>
      </c>
      <c r="P49" s="5" t="n">
        <v>1</v>
      </c>
      <c r="Q49">
        <f>L49+IF(M49&gt;1,N(N49)*(M49-1),0)</f>
        <v/>
      </c>
      <c r="R49">
        <f>IFERROR(K49*MAX(M49,1)/Q49*P49,0)</f>
        <v/>
      </c>
      <c r="AA49" s="6" t="inlineStr">
        <is>
          <t>^Grenade, ^HeavyCannon, ^RA2Chaingun</t>
        </is>
      </c>
    </row>
    <row r="50">
      <c r="B50" s="6" t="inlineStr">
        <is>
          <t xml:space="preserve">  ↳ GoliathMG</t>
        </is>
      </c>
      <c r="C50" s="6" t="inlineStr">
        <is>
          <t>Armament@G2</t>
        </is>
      </c>
      <c r="K50" s="5" t="n">
        <v>2000</v>
      </c>
      <c r="L50" s="5" t="n">
        <v>16</v>
      </c>
      <c r="M50" s="5" t="n">
        <v>3</v>
      </c>
      <c r="N50" s="5" t="n">
        <v>2</v>
      </c>
      <c r="O50" s="5" t="n">
        <v>6000</v>
      </c>
      <c r="P50" s="5" t="n">
        <v>1</v>
      </c>
      <c r="Q50">
        <f>L50+IF(M50&gt;1,N(N50)*(M50-1),0)</f>
        <v/>
      </c>
      <c r="R50">
        <f>IFERROR(K50*MAX(M50,1)/Q50*P50,0)</f>
        <v/>
      </c>
      <c r="AA50" s="6" t="inlineStr">
        <is>
          <t>^Grenade, ^HeavyCannon, ^RA2Chaingun</t>
        </is>
      </c>
    </row>
    <row r="51">
      <c r="B51" s="6" t="inlineStr">
        <is>
          <t xml:space="preserve">  ↳ GoliathRockets</t>
        </is>
      </c>
      <c r="C51" s="6" t="inlineStr">
        <is>
          <t>Armament@A1</t>
        </is>
      </c>
      <c r="K51" s="5" t="n">
        <v>6000</v>
      </c>
      <c r="L51" s="5" t="n">
        <v>33</v>
      </c>
      <c r="M51" s="5" t="n">
        <v>1</v>
      </c>
      <c r="N51" s="5" t="n"/>
      <c r="O51" s="5" t="n">
        <v>6000</v>
      </c>
      <c r="P51" s="5" t="n">
        <v>1</v>
      </c>
      <c r="Q51">
        <f>L51+IF(M51&gt;1,N(N51)*(M51-1),0)</f>
        <v/>
      </c>
      <c r="R51">
        <f>IFERROR(K51*MAX(M51,1)/Q51*P51,0)</f>
        <v/>
      </c>
      <c r="AA51" s="6" t="inlineStr">
        <is>
          <t>^Chaingun, ^FlakWeapon, ^LightMissile, ^MediumMissile, ^D2KRocket</t>
        </is>
      </c>
    </row>
    <row r="52">
      <c r="B52" s="6" t="inlineStr">
        <is>
          <t xml:space="preserve">  ↳ GoliathRockets</t>
        </is>
      </c>
      <c r="C52" s="6" t="inlineStr">
        <is>
          <t>Armament@A2</t>
        </is>
      </c>
      <c r="K52" s="5" t="n">
        <v>6000</v>
      </c>
      <c r="L52" s="5" t="n">
        <v>33</v>
      </c>
      <c r="M52" s="5" t="n">
        <v>1</v>
      </c>
      <c r="N52" s="5" t="n"/>
      <c r="O52" s="5" t="n">
        <v>6000</v>
      </c>
      <c r="P52" s="5" t="n">
        <v>1</v>
      </c>
      <c r="Q52">
        <f>L52+IF(M52&gt;1,N(N52)*(M52-1),0)</f>
        <v/>
      </c>
      <c r="R52">
        <f>IFERROR(K52*MAX(M52,1)/Q52*P52,0)</f>
        <v/>
      </c>
      <c r="AA52" s="6" t="inlineStr">
        <is>
          <t>^Chaingun, ^FlakWeapon, ^LightMissile, ^MediumMissile, ^D2KRocket</t>
        </is>
      </c>
    </row>
    <row r="53">
      <c r="A53" t="inlineStr">
        <is>
          <t>starcraft</t>
        </is>
      </c>
      <c r="B53" t="inlineStr">
        <is>
          <t>terran_goliathmk2</t>
        </is>
      </c>
      <c r="C53" t="inlineStr">
        <is>
          <t>Goliath Mk2</t>
        </is>
      </c>
      <c r="D53" t="inlineStr"/>
      <c r="E53" s="5" t="n">
        <v>175000</v>
      </c>
      <c r="F53" s="5" t="n">
        <v>75</v>
      </c>
      <c r="G53" t="inlineStr">
        <is>
          <t>Medium</t>
        </is>
      </c>
      <c r="H53" s="5" t="n">
        <v>0.75</v>
      </c>
      <c r="I53" s="5" t="n">
        <v>1</v>
      </c>
      <c r="J53" s="5" t="n">
        <v>1</v>
      </c>
      <c r="O53">
        <f>MAX(O54,O55,O56,O57)</f>
        <v/>
      </c>
      <c r="R53">
        <f>R54+R55+R56+R57</f>
        <v/>
      </c>
      <c r="S53">
        <f>(E53/100000+F53/100+(O53/1000)*J53/5+R53/200)*200*I53*H53</f>
        <v/>
      </c>
      <c r="T53">
        <f>((E53*F53/25000)+((O53/1000)*J53*R53/2.5))*I53*H53</f>
        <v/>
      </c>
      <c r="U53">
        <f>(E53*F53*(O53/1000)*J53*R53*I53*H53)/12500000</f>
        <v/>
      </c>
      <c r="V53">
        <f>(S53+T53+U53)/3</f>
        <v/>
      </c>
      <c r="W53" s="5" t="n">
        <v>2400</v>
      </c>
      <c r="X53">
        <f>IFERROR(V53-W53,"")</f>
        <v/>
      </c>
      <c r="Y53">
        <f>IFERROR(ABS(X53)/MAX(W53,1),"")</f>
        <v/>
      </c>
      <c r="Z53">
        <f>IFERROR((W53-(((E53/100000+F53/100+R53/200)*200*I53*H53)+((E53*F53/25000)*I53*H53))/3)/(((J53/5)*200*I53*H53)+((J53*R53/2.5)*I53*H53)+((E53*F53*J53*R53*I53*H53)/12500000))/3*1000,"")</f>
        <v/>
      </c>
    </row>
    <row r="54">
      <c r="B54" s="6" t="inlineStr">
        <is>
          <t xml:space="preserve">  ↳ GoliathMk2MG</t>
        </is>
      </c>
      <c r="C54" s="6" t="inlineStr">
        <is>
          <t>Armament@G1</t>
        </is>
      </c>
      <c r="K54" s="5" t="n">
        <v>2000</v>
      </c>
      <c r="L54" s="5" t="n">
        <v>34</v>
      </c>
      <c r="M54" s="5" t="n">
        <v>4</v>
      </c>
      <c r="N54" s="5" t="n">
        <v>2</v>
      </c>
      <c r="O54" s="5" t="n">
        <v>6479</v>
      </c>
      <c r="P54" s="5" t="n">
        <v>1</v>
      </c>
      <c r="Q54">
        <f>L54+IF(M54&gt;1,N(N54)*(M54-1),0)</f>
        <v/>
      </c>
      <c r="R54">
        <f>IFERROR(K54*MAX(M54,1)/Q54*P54,0)</f>
        <v/>
      </c>
      <c r="AA54" s="6" t="inlineStr">
        <is>
          <t>^Grenade, ^HeavyCannon, ^TankDestroyerCannon, ^RA2Chaingun</t>
        </is>
      </c>
    </row>
    <row r="55">
      <c r="B55" s="6" t="inlineStr">
        <is>
          <t xml:space="preserve">  ↳ GoliathMk2MG</t>
        </is>
      </c>
      <c r="C55" s="6" t="inlineStr">
        <is>
          <t>Armament@G2</t>
        </is>
      </c>
      <c r="K55" s="5" t="n">
        <v>2000</v>
      </c>
      <c r="L55" s="5" t="n">
        <v>34</v>
      </c>
      <c r="M55" s="5" t="n">
        <v>4</v>
      </c>
      <c r="N55" s="5" t="n">
        <v>2</v>
      </c>
      <c r="O55" s="5" t="n">
        <v>6479</v>
      </c>
      <c r="P55" s="5" t="n">
        <v>1</v>
      </c>
      <c r="Q55">
        <f>L55+IF(M55&gt;1,N(N55)*(M55-1),0)</f>
        <v/>
      </c>
      <c r="R55">
        <f>IFERROR(K55*MAX(M55,1)/Q55*P55,0)</f>
        <v/>
      </c>
      <c r="AA55" s="6" t="inlineStr">
        <is>
          <t>^Grenade, ^HeavyCannon, ^TankDestroyerCannon, ^RA2Chaingun</t>
        </is>
      </c>
    </row>
    <row r="56">
      <c r="B56" s="6" t="inlineStr">
        <is>
          <t xml:space="preserve">  ↳ GoliathMk2Rockets</t>
        </is>
      </c>
      <c r="C56" s="6" t="inlineStr">
        <is>
          <t>Armament@A1</t>
        </is>
      </c>
      <c r="K56" s="5" t="n">
        <v>8000</v>
      </c>
      <c r="L56" s="5" t="n">
        <v>40</v>
      </c>
      <c r="M56" s="5" t="n">
        <v>1</v>
      </c>
      <c r="N56" s="5" t="n"/>
      <c r="O56" s="5" t="n">
        <v>6479</v>
      </c>
      <c r="P56" s="5" t="n">
        <v>1</v>
      </c>
      <c r="Q56">
        <f>L56+IF(M56&gt;1,N(N56)*(M56-1),0)</f>
        <v/>
      </c>
      <c r="R56">
        <f>IFERROR(K56*MAX(M56,1)/Q56*P56,0)</f>
        <v/>
      </c>
      <c r="AA56" s="6" t="inlineStr">
        <is>
          <t>^FlakWeapon, ^LightMissile, ^MediumMissile, ^D2KRocket</t>
        </is>
      </c>
    </row>
    <row r="57">
      <c r="B57" s="6" t="inlineStr">
        <is>
          <t xml:space="preserve">  ↳ GoliathMk2Rockets</t>
        </is>
      </c>
      <c r="C57" s="6" t="inlineStr">
        <is>
          <t>Armament@A2</t>
        </is>
      </c>
      <c r="K57" s="5" t="n">
        <v>8000</v>
      </c>
      <c r="L57" s="5" t="n">
        <v>40</v>
      </c>
      <c r="M57" s="5" t="n">
        <v>1</v>
      </c>
      <c r="N57" s="5" t="n"/>
      <c r="O57" s="5" t="n">
        <v>6479</v>
      </c>
      <c r="P57" s="5" t="n">
        <v>1</v>
      </c>
      <c r="Q57">
        <f>L57+IF(M57&gt;1,N(N57)*(M57-1),0)</f>
        <v/>
      </c>
      <c r="R57">
        <f>IFERROR(K57*MAX(M57,1)/Q57*P57,0)</f>
        <v/>
      </c>
      <c r="AA57" s="6" t="inlineStr">
        <is>
          <t>^FlakWeapon, ^LightMissile, ^MediumMissile, ^D2KRocket</t>
        </is>
      </c>
    </row>
    <row r="58">
      <c r="A58" t="inlineStr">
        <is>
          <t>starcraft</t>
        </is>
      </c>
      <c r="B58" t="inlineStr">
        <is>
          <t>terran_matador</t>
        </is>
      </c>
      <c r="C58" t="inlineStr">
        <is>
          <t>Matador</t>
        </is>
      </c>
      <c r="D58" t="inlineStr"/>
      <c r="E58" s="5" t="n">
        <v>100000</v>
      </c>
      <c r="F58" s="5" t="n">
        <v>100</v>
      </c>
      <c r="G58" t="inlineStr">
        <is>
          <t>Medium</t>
        </is>
      </c>
      <c r="H58" s="5" t="n">
        <v>1</v>
      </c>
      <c r="I58" s="5" t="n">
        <v>1</v>
      </c>
      <c r="J58" s="5" t="n">
        <v>1</v>
      </c>
      <c r="O58">
        <f>MAX(O59,O60)</f>
        <v/>
      </c>
      <c r="R58">
        <f>R59+R60</f>
        <v/>
      </c>
      <c r="S58">
        <f>(E58/100000+F58/100+(O58/1000)*J58/5+R58/200)*200*I58*H58</f>
        <v/>
      </c>
      <c r="T58">
        <f>((E58*F58/25000)+((O58/1000)*J58*R58/2.5))*I58*H58</f>
        <v/>
      </c>
      <c r="U58">
        <f>(E58*F58*(O58/1000)*J58*R58*I58*H58)/12500000</f>
        <v/>
      </c>
      <c r="V58">
        <f>(S58+T58+U58)/3</f>
        <v/>
      </c>
      <c r="W58" s="5" t="n">
        <v>1700</v>
      </c>
      <c r="X58">
        <f>IFERROR(V58-W58,"")</f>
        <v/>
      </c>
      <c r="Y58">
        <f>IFERROR(ABS(X58)/MAX(W58,1),"")</f>
        <v/>
      </c>
      <c r="Z58">
        <f>IFERROR((W58-(((E58/100000+F58/100+R58/200)*200*I58*H58)+((E58*F58/25000)*I58*H58))/3)/(((J58/5)*200*I58*H58)+((J58*R58/2.5)*I58*H58)+((E58*F58*J58*R58*I58*H58)/12500000))/3*1000,"")</f>
        <v/>
      </c>
    </row>
    <row r="59">
      <c r="B59" s="6" t="inlineStr">
        <is>
          <t xml:space="preserve">  ↳ MatadorFlamer</t>
        </is>
      </c>
      <c r="C59" s="6" t="inlineStr">
        <is>
          <t>Armament</t>
        </is>
      </c>
      <c r="K59" s="5" t="n">
        <v>2000</v>
      </c>
      <c r="L59" s="5" t="n">
        <v>18</v>
      </c>
      <c r="M59" s="5" t="n">
        <v>13</v>
      </c>
      <c r="N59" s="5" t="n">
        <v>2</v>
      </c>
      <c r="O59" s="5" t="n">
        <v>5938</v>
      </c>
      <c r="P59" s="5" t="n">
        <v>1</v>
      </c>
      <c r="Q59">
        <f>L59+IF(M59&gt;1,N(N59)*(M59-1),0)</f>
        <v/>
      </c>
      <c r="R59">
        <f>IFERROR(K59*MAX(M59,1)/Q59*P59,0)</f>
        <v/>
      </c>
      <c r="AA59" s="6" t="inlineStr">
        <is>
          <t>^LightFlameWeapon, ^MediumFlameWeapon, ^HeavyFlameWeapon</t>
        </is>
      </c>
    </row>
    <row r="60">
      <c r="B60" s="6" t="inlineStr">
        <is>
          <t xml:space="preserve">  ↳ MatadorLaser</t>
        </is>
      </c>
      <c r="C60" s="6" t="inlineStr">
        <is>
          <t>Armament@DEPLOYED</t>
        </is>
      </c>
      <c r="K60" s="5" t="n">
        <v>32000</v>
      </c>
      <c r="L60" s="5" t="n">
        <v>39</v>
      </c>
      <c r="M60" s="5" t="n">
        <v>1</v>
      </c>
      <c r="N60" s="5" t="n"/>
      <c r="O60" s="5" t="n">
        <v>6590</v>
      </c>
      <c r="P60" s="5" t="n">
        <v>1</v>
      </c>
      <c r="Q60">
        <f>L60+IF(M60&gt;1,N(N60)*(M60-1),0)</f>
        <v/>
      </c>
      <c r="R60">
        <f>IFERROR(K60*MAX(M60,1)/Q60*P60,0)</f>
        <v/>
      </c>
      <c r="AA60" s="6" t="inlineStr">
        <is>
          <t>^LaserWeapon</t>
        </is>
      </c>
    </row>
    <row r="61">
      <c r="A61" t="inlineStr">
        <is>
          <t>starcraft</t>
        </is>
      </c>
      <c r="B61" t="inlineStr">
        <is>
          <t>terran_mobilecommandcenter</t>
        </is>
      </c>
      <c r="C61" t="inlineStr">
        <is>
          <t>Terran Mobile Command Center</t>
        </is>
      </c>
      <c r="D61" t="inlineStr"/>
      <c r="E61" s="5" t="n">
        <v>300000</v>
      </c>
      <c r="F61" s="5" t="n">
        <v>75</v>
      </c>
      <c r="G61" t="inlineStr">
        <is>
          <t>Medium</t>
        </is>
      </c>
      <c r="H61" s="5" t="n">
        <v>1</v>
      </c>
      <c r="I61" s="5" t="n">
        <v>1</v>
      </c>
      <c r="J61" s="5" t="n">
        <v>1</v>
      </c>
      <c r="W61" s="5" t="n">
        <v>5000</v>
      </c>
    </row>
    <row r="62">
      <c r="A62" t="inlineStr">
        <is>
          <t>starcraft</t>
        </is>
      </c>
      <c r="B62" t="inlineStr">
        <is>
          <t>terran_scv</t>
        </is>
      </c>
      <c r="C62" t="inlineStr">
        <is>
          <t>SCV</t>
        </is>
      </c>
      <c r="D62" t="inlineStr"/>
      <c r="E62" s="5" t="n">
        <v>45000</v>
      </c>
      <c r="F62" s="5" t="n">
        <v>100</v>
      </c>
      <c r="G62" t="inlineStr">
        <is>
          <t>Light</t>
        </is>
      </c>
      <c r="H62" s="5" t="n">
        <v>1</v>
      </c>
      <c r="I62" s="5" t="n">
        <v>1</v>
      </c>
      <c r="J62" s="5" t="n">
        <v>1</v>
      </c>
      <c r="O62">
        <f>MAX(O63,O64)</f>
        <v/>
      </c>
      <c r="R62">
        <f>R63+R64</f>
        <v/>
      </c>
      <c r="S62">
        <f>(E62/100000+F62/100+(O62/1000)*J62/5+R62/200)*200*I62*H62</f>
        <v/>
      </c>
      <c r="T62">
        <f>((E62*F62/25000)+((O62/1000)*J62*R62/2.5))*I62*H62</f>
        <v/>
      </c>
      <c r="U62">
        <f>(E62*F62*(O62/1000)*J62*R62*I62*H62)/12500000</f>
        <v/>
      </c>
      <c r="V62">
        <f>(S62+T62+U62)/3</f>
        <v/>
      </c>
      <c r="W62" s="5" t="n">
        <v>500</v>
      </c>
      <c r="X62">
        <f>IFERROR(V62-W62,"")</f>
        <v/>
      </c>
      <c r="Y62">
        <f>IFERROR(ABS(X62)/MAX(W62,1),"")</f>
        <v/>
      </c>
      <c r="Z62">
        <f>IFERROR((W62-(((E62/100000+F62/100+R62/200)*200*I62*H62)+((E62*F62/25000)*I62*H62))/3)/(((J62/5)*200*I62*H62)+((J62*R62/2.5)*I62*H62)+((E62*F62*J62*R62*I62*H62)/12500000))/3*1000,"")</f>
        <v/>
      </c>
    </row>
    <row r="63">
      <c r="B63" s="6" t="inlineStr">
        <is>
          <t xml:space="preserve">  ↳ SCVAttack</t>
        </is>
      </c>
      <c r="C63" s="6" t="inlineStr">
        <is>
          <t>Armament</t>
        </is>
      </c>
      <c r="K63" s="5" t="n">
        <v>10000</v>
      </c>
      <c r="L63" s="5" t="n">
        <v>25</v>
      </c>
      <c r="M63" s="5" t="n">
        <v>1</v>
      </c>
      <c r="N63" s="5" t="n"/>
      <c r="O63" s="5" t="n">
        <v>1500</v>
      </c>
      <c r="P63" s="5" t="n">
        <v>1</v>
      </c>
      <c r="Q63">
        <f>L63+IF(M63&gt;1,N(N63)*(M63-1),0)</f>
        <v/>
      </c>
      <c r="R63">
        <f>IFERROR(K63*MAX(M63,1)/Q63*P63,0)</f>
        <v/>
      </c>
      <c r="AA63" s="6" t="inlineStr">
        <is>
          <t>^WorkerAttack</t>
        </is>
      </c>
    </row>
    <row r="64">
      <c r="B64" s="6" t="inlineStr">
        <is>
          <t xml:space="preserve">  ↳ SCVRepair</t>
        </is>
      </c>
      <c r="C64" s="6" t="inlineStr">
        <is>
          <t>Armament@repair</t>
        </is>
      </c>
      <c r="K64" s="5" t="n">
        <v>-1</v>
      </c>
      <c r="L64" s="5" t="n">
        <v>5</v>
      </c>
      <c r="M64" s="5" t="n">
        <v>10</v>
      </c>
      <c r="N64" s="5" t="n">
        <v>1</v>
      </c>
      <c r="O64" s="5" t="n">
        <v>2000</v>
      </c>
      <c r="P64" s="5" t="n">
        <v>1</v>
      </c>
      <c r="Q64">
        <f>L64+IF(M64&gt;1,N(N64)*(M64-1),0)</f>
        <v/>
      </c>
      <c r="R64">
        <f>IFERROR(K64*MAX(M64,1)/Q64*P64,0)</f>
        <v/>
      </c>
      <c r="AA64" s="6" t="inlineStr">
        <is>
          <t>^RepairWeapon</t>
        </is>
      </c>
    </row>
    <row r="65">
      <c r="A65" t="inlineStr">
        <is>
          <t>starcraft</t>
        </is>
      </c>
      <c r="B65" t="inlineStr">
        <is>
          <t>terran_siegetank</t>
        </is>
      </c>
      <c r="C65" t="inlineStr">
        <is>
          <t>Siege Tank</t>
        </is>
      </c>
      <c r="D65" t="inlineStr"/>
      <c r="E65" s="5" t="n">
        <v>150000</v>
      </c>
      <c r="F65" s="5" t="n">
        <v>75</v>
      </c>
      <c r="G65" t="inlineStr">
        <is>
          <t>Heavy</t>
        </is>
      </c>
      <c r="H65" s="5" t="n">
        <v>1</v>
      </c>
      <c r="I65" s="5" t="n">
        <v>1</v>
      </c>
      <c r="J65" s="5" t="n">
        <v>1</v>
      </c>
      <c r="O65">
        <f>MAX(O66,O67)</f>
        <v/>
      </c>
      <c r="R65">
        <f>R66+R67</f>
        <v/>
      </c>
      <c r="S65">
        <f>(E65/100000+F65/100+(O65/1000)*J65/5+R65/200)*200*I65*H65</f>
        <v/>
      </c>
      <c r="T65">
        <f>((E65*F65/25000)+((O65/1000)*J65*R65/2.5))*I65*H65</f>
        <v/>
      </c>
      <c r="U65">
        <f>(E65*F65*(O65/1000)*J65*R65*I65*H65)/12500000</f>
        <v/>
      </c>
      <c r="V65">
        <f>(S65+T65+U65)/3</f>
        <v/>
      </c>
      <c r="W65" s="5" t="n">
        <v>2800</v>
      </c>
      <c r="X65">
        <f>IFERROR(V65-W65,"")</f>
        <v/>
      </c>
      <c r="Y65">
        <f>IFERROR(ABS(X65)/MAX(W65,1),"")</f>
        <v/>
      </c>
      <c r="Z65">
        <f>IFERROR((W65-(((E65/100000+F65/100+R65/200)*200*I65*H65)+((E65*F65/25000)*I65*H65))/3)/(((J65/5)*200*I65*H65)+((J65*R65/2.5)*I65*H65)+((E65*F65*J65*R65*I65*H65)/12500000))/3*1000,"")</f>
        <v/>
      </c>
    </row>
    <row r="66">
      <c r="B66" s="6" t="inlineStr">
        <is>
          <t xml:space="preserve">  ↳ SiegeTankCannon</t>
        </is>
      </c>
      <c r="C66" s="6" t="inlineStr">
        <is>
          <t>Armament</t>
        </is>
      </c>
      <c r="K66" s="5" t="n">
        <v>10000</v>
      </c>
      <c r="L66" s="5" t="n">
        <v>37</v>
      </c>
      <c r="M66" s="5" t="n">
        <v>1</v>
      </c>
      <c r="N66" s="5" t="n"/>
      <c r="O66" s="5" t="n">
        <v>6114</v>
      </c>
      <c r="P66" s="5" t="n">
        <v>1</v>
      </c>
      <c r="Q66">
        <f>L66+IF(M66&gt;1,N(N66)*(M66-1),0)</f>
        <v/>
      </c>
      <c r="R66">
        <f>IFERROR(K66*MAX(M66,1)/Q66*P66,0)</f>
        <v/>
      </c>
      <c r="AA66" s="6" t="inlineStr">
        <is>
          <t>^HeavyCannon, ^MediumCannon, ^TankDestroyerCannon</t>
        </is>
      </c>
    </row>
    <row r="67">
      <c r="B67" s="6" t="inlineStr">
        <is>
          <t xml:space="preserve">  ↳ SiegeTankSiegeCannon</t>
        </is>
      </c>
      <c r="C67" s="6" t="inlineStr">
        <is>
          <t>Armament@DEPLOYED</t>
        </is>
      </c>
      <c r="K67" s="5" t="n">
        <v>10000</v>
      </c>
      <c r="L67" s="5" t="n">
        <v>148</v>
      </c>
      <c r="M67" s="5" t="n">
        <v>1</v>
      </c>
      <c r="N67" s="5" t="n"/>
      <c r="O67" s="5" t="n">
        <v>11775</v>
      </c>
      <c r="P67" s="5" t="n">
        <v>1</v>
      </c>
      <c r="Q67">
        <f>L67+IF(M67&gt;1,N(N67)*(M67-1),0)</f>
        <v/>
      </c>
      <c r="R67">
        <f>IFERROR(K67*MAX(M67,1)/Q67*P67,0)</f>
        <v/>
      </c>
      <c r="AA67" s="6" t="inlineStr">
        <is>
          <t>^NuclearWarhead, ^LightMissile, ^LightChemicalWeapon, ^MediumChemicalWeapon, ^HeavyChemicalWeapon, ^LightFlameWeapon, ^MediumFlameWeapon, ^HeavyFlameWeapon, ^Grenade, ^ShrapnelWeapon, ^HeavyBomb, ^HeavyCannon, ^MediumCannon, ^TankDestroyerCannon</t>
        </is>
      </c>
    </row>
    <row r="68">
      <c r="A68" t="inlineStr">
        <is>
          <t>starcraft</t>
        </is>
      </c>
      <c r="B68" t="inlineStr">
        <is>
          <t>terran_vulture</t>
        </is>
      </c>
      <c r="C68" t="inlineStr">
        <is>
          <t>Vulture</t>
        </is>
      </c>
      <c r="D68" t="inlineStr"/>
      <c r="E68" s="5" t="n">
        <v>75000</v>
      </c>
      <c r="F68" s="5" t="n">
        <v>125</v>
      </c>
      <c r="G68" t="inlineStr">
        <is>
          <t>Light</t>
        </is>
      </c>
      <c r="H68" s="5" t="n">
        <v>1</v>
      </c>
      <c r="I68" s="5" t="n">
        <v>0.5</v>
      </c>
      <c r="J68" s="5" t="n">
        <v>1</v>
      </c>
      <c r="O68">
        <f>MAX(O69)</f>
        <v/>
      </c>
      <c r="R68">
        <f>R69</f>
        <v/>
      </c>
      <c r="S68">
        <f>(E68/100000+F68/100+(O68/1000)*J68/5+R68/200)*200*I68*H68</f>
        <v/>
      </c>
      <c r="T68">
        <f>((E68*F68/25000)+((O68/1000)*J68*R68/2.5))*I68*H68</f>
        <v/>
      </c>
      <c r="U68">
        <f>(E68*F68*(O68/1000)*J68*R68*I68*H68)/12500000</f>
        <v/>
      </c>
      <c r="V68">
        <f>(S68+T68+U68)/3</f>
        <v/>
      </c>
      <c r="W68" s="5" t="n">
        <v>900</v>
      </c>
      <c r="X68">
        <f>IFERROR(V68-W68,"")</f>
        <v/>
      </c>
      <c r="Y68">
        <f>IFERROR(ABS(X68)/MAX(W68,1),"")</f>
        <v/>
      </c>
      <c r="Z68">
        <f>IFERROR((W68-(((E68/100000+F68/100+R68/200)*200*I68*H68)+((E68*F68/25000)*I68*H68))/3)/(((J68/5)*200*I68*H68)+((J68*R68/2.5)*I68*H68)+((E68*F68*J68*R68*I68*H68)/12500000))/3*1000,"")</f>
        <v/>
      </c>
    </row>
    <row r="69">
      <c r="B69" s="6" t="inlineStr">
        <is>
          <t xml:space="preserve">  ↳ VultureGrenade</t>
        </is>
      </c>
      <c r="C69" s="6" t="inlineStr">
        <is>
          <t>Armament</t>
        </is>
      </c>
      <c r="K69" s="5" t="n">
        <v>4000</v>
      </c>
      <c r="L69" s="5" t="n">
        <v>25</v>
      </c>
      <c r="M69" s="5" t="n">
        <v>1</v>
      </c>
      <c r="N69" s="5" t="n"/>
      <c r="O69" s="5" t="n">
        <v>4800</v>
      </c>
      <c r="P69" s="5" t="n">
        <v>1</v>
      </c>
      <c r="Q69">
        <f>L69+IF(M69&gt;1,N(N69)*(M69-1),0)</f>
        <v/>
      </c>
      <c r="R69">
        <f>IFERROR(K69*MAX(M69,1)/Q69*P69,0)</f>
        <v/>
      </c>
      <c r="AA69" s="6" t="inlineStr">
        <is>
          <t>^SmallArms, ^FlakWeapon, ^Grenade, ^TankDestroyerCannon, ^MediumCannon</t>
        </is>
      </c>
    </row>
    <row r="70">
      <c r="A70" t="inlineStr">
        <is>
          <t>starcraft</t>
        </is>
      </c>
      <c r="B70" t="inlineStr">
        <is>
          <t>terran_warhound</t>
        </is>
      </c>
      <c r="C70" t="inlineStr">
        <is>
          <t>Warhound</t>
        </is>
      </c>
      <c r="D70" t="inlineStr"/>
      <c r="E70" s="5" t="n">
        <v>300000</v>
      </c>
      <c r="F70" s="5" t="n">
        <v>45</v>
      </c>
      <c r="G70" t="inlineStr">
        <is>
          <t>Heavy</t>
        </is>
      </c>
      <c r="H70" s="5" t="n">
        <v>0.75</v>
      </c>
      <c r="I70" s="5" t="n">
        <v>1</v>
      </c>
      <c r="J70" s="5" t="n">
        <v>1</v>
      </c>
      <c r="O70">
        <f>MAX(O71,O72)</f>
        <v/>
      </c>
      <c r="R70">
        <f>R71+R72</f>
        <v/>
      </c>
      <c r="S70">
        <f>(E70/100000+F70/100+(O70/1000)*J70/5+R70/200)*200*I70*H70</f>
        <v/>
      </c>
      <c r="T70">
        <f>((E70*F70/25000)+((O70/1000)*J70*R70/2.5))*I70*H70</f>
        <v/>
      </c>
      <c r="U70">
        <f>(E70*F70*(O70/1000)*J70*R70*I70*H70)/12500000</f>
        <v/>
      </c>
      <c r="V70">
        <f>(S70+T70+U70)/3</f>
        <v/>
      </c>
      <c r="W70" s="5" t="n">
        <v>4500</v>
      </c>
      <c r="X70">
        <f>IFERROR(V70-W70,"")</f>
        <v/>
      </c>
      <c r="Y70">
        <f>IFERROR(ABS(X70)/MAX(W70,1),"")</f>
        <v/>
      </c>
      <c r="Z70">
        <f>IFERROR((W70-(((E70/100000+F70/100+R70/200)*200*I70*H70)+((E70*F70/25000)*I70*H70))/3)/(((J70/5)*200*I70*H70)+((J70*R70/2.5)*I70*H70)+((E70*F70*J70*R70*I70*H70)/12500000))/3*1000,"")</f>
        <v/>
      </c>
    </row>
    <row r="71">
      <c r="B71" s="6" t="inlineStr">
        <is>
          <t xml:space="preserve">  ↳ SCTyr</t>
        </is>
      </c>
      <c r="C71" s="6" t="inlineStr">
        <is>
          <t>Armament@Cannon</t>
        </is>
      </c>
      <c r="K71" s="5" t="n">
        <v>4000</v>
      </c>
      <c r="L71" s="5" t="n">
        <v>44</v>
      </c>
      <c r="M71" s="5" t="n">
        <v>2</v>
      </c>
      <c r="N71" s="5" t="n">
        <v>0</v>
      </c>
      <c r="O71" s="5" t="n">
        <v>7156</v>
      </c>
      <c r="P71" s="5" t="n">
        <v>1</v>
      </c>
      <c r="Q71">
        <f>L71+IF(M71&gt;1,N(N71)*(M71-1),0)</f>
        <v/>
      </c>
      <c r="R71">
        <f>IFERROR(K71*MAX(M71,1)/Q71*P71,0)</f>
        <v/>
      </c>
      <c r="AA71" s="6" t="inlineStr">
        <is>
          <t>^LightFlameWeapon, ^Chaingun, ^ShrapnelWeapon, ^RA2HeavyCannon</t>
        </is>
      </c>
    </row>
    <row r="72">
      <c r="B72" s="6" t="inlineStr">
        <is>
          <t xml:space="preserve">  ↳ SCTyrAA</t>
        </is>
      </c>
      <c r="C72" s="6" t="inlineStr">
        <is>
          <t>Armament@Rockets</t>
        </is>
      </c>
      <c r="K72" s="5" t="n">
        <v>4000</v>
      </c>
      <c r="L72" s="5" t="n">
        <v>84</v>
      </c>
      <c r="M72" s="5" t="n">
        <v>4</v>
      </c>
      <c r="N72" s="5" t="n">
        <v>2</v>
      </c>
      <c r="O72" s="5" t="n">
        <v>7156</v>
      </c>
      <c r="P72" s="5" t="n">
        <v>1</v>
      </c>
      <c r="Q72">
        <f>L72+IF(M72&gt;1,N(N72)*(M72-1),0)</f>
        <v/>
      </c>
      <c r="R72">
        <f>IFERROR(K72*MAX(M72,1)/Q72*P72,0)</f>
        <v/>
      </c>
      <c r="AA72" s="6" t="inlineStr">
        <is>
          <t>^Grenade, ^FlakWeapon, ^HeavyMissile, ^RA2MediumMissile</t>
        </is>
      </c>
    </row>
    <row r="73">
      <c r="A73" s="3" t="inlineStr">
        <is>
          <t>AIRCRAFT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</row>
    <row r="74">
      <c r="A74" t="inlineStr">
        <is>
          <t>starcraft</t>
        </is>
      </c>
      <c r="B74" t="inlineStr">
        <is>
          <t>terran_battlecruiser</t>
        </is>
      </c>
      <c r="C74" t="inlineStr">
        <is>
          <t>Battlecruiser</t>
        </is>
      </c>
      <c r="D74" t="inlineStr"/>
      <c r="E74" s="5" t="n">
        <v>500000</v>
      </c>
      <c r="F74" s="5" t="n">
        <v>30</v>
      </c>
      <c r="G74" t="inlineStr">
        <is>
          <t>Spaceship</t>
        </is>
      </c>
      <c r="H74" s="5" t="n">
        <v>0.75</v>
      </c>
      <c r="I74" s="5" t="n">
        <v>1</v>
      </c>
      <c r="J74" s="5" t="n">
        <v>1</v>
      </c>
      <c r="O74">
        <f>MAX(O75,O76)</f>
        <v/>
      </c>
      <c r="R74">
        <f>R75+R76</f>
        <v/>
      </c>
      <c r="S74">
        <f>(E74/100000+F74/100+(O74/1000)*J74/5+R74/200)*200*I74*H74</f>
        <v/>
      </c>
      <c r="T74">
        <f>((E74*F74/25000)+((O74/1000)*J74*R74/2.5))*I74*H74</f>
        <v/>
      </c>
      <c r="U74">
        <f>(E74*F74*(O74/1000)*J74*R74*I74*H74)/12500000</f>
        <v/>
      </c>
      <c r="V74">
        <f>(S74+T74+U74)/3</f>
        <v/>
      </c>
      <c r="W74" s="5" t="n">
        <v>4000</v>
      </c>
      <c r="X74">
        <f>IFERROR(V74-W74,"")</f>
        <v/>
      </c>
      <c r="Y74">
        <f>IFERROR(ABS(X74)/MAX(W74,1),"")</f>
        <v/>
      </c>
      <c r="Z74">
        <f>IFERROR((W74-(((E74/100000+F74/100+R74/200)*200*I74*H74)+((E74*F74/25000)*I74*H74))/3)/(((J74/5)*200*I74*H74)+((J74*R74/2.5)*I74*H74)+((E74*F74*J74*R74*I74*H74)/12500000))/3*1000,"")</f>
        <v/>
      </c>
    </row>
    <row r="75">
      <c r="B75" s="6" t="inlineStr">
        <is>
          <t xml:space="preserve">  ↳ BCLaser</t>
        </is>
      </c>
      <c r="C75" s="6" t="inlineStr">
        <is>
          <t>Armament</t>
        </is>
      </c>
      <c r="K75" s="5" t="n">
        <v>4000</v>
      </c>
      <c r="L75" s="5" t="n">
        <v>38</v>
      </c>
      <c r="M75" s="5" t="n">
        <v>1</v>
      </c>
      <c r="N75" s="5" t="n"/>
      <c r="O75" s="5" t="n">
        <v>6800</v>
      </c>
      <c r="P75" s="5" t="n">
        <v>1</v>
      </c>
      <c r="Q75">
        <f>L75+IF(M75&gt;1,N(N75)*(M75-1),0)</f>
        <v/>
      </c>
      <c r="R75">
        <f>IFERROR(K75*MAX(M75,1)/Q75*P75,0)</f>
        <v/>
      </c>
      <c r="AA75" s="6" t="inlineStr">
        <is>
          <t>^NuclearWarhead, ^RailgunWeapon, ^HeavyMissile, ^HeavyCannon, ^HeavyAAWeapon, ^HeavyBomb, ^HeavyChemicalWeapon, ^HeavyFlameWeapon, ^LaserWeapon</t>
        </is>
      </c>
    </row>
    <row r="76">
      <c r="B76" s="6" t="inlineStr">
        <is>
          <t xml:space="preserve">  ↳ BCYamatoCannon</t>
        </is>
      </c>
      <c r="C76" s="6" t="inlineStr">
        <is>
          <t>Armament@Yamato</t>
        </is>
      </c>
      <c r="K76" s="5" t="n">
        <v>16000</v>
      </c>
      <c r="L76" s="5" t="n">
        <v>38</v>
      </c>
      <c r="M76" s="5" t="n">
        <v>1</v>
      </c>
      <c r="N76" s="5" t="n"/>
      <c r="O76" s="5" t="n">
        <v>6800</v>
      </c>
      <c r="P76" s="5" t="n">
        <v>1</v>
      </c>
      <c r="Q76">
        <f>L76+IF(M76&gt;1,N(N76)*(M76-1),0)</f>
        <v/>
      </c>
      <c r="R76">
        <f>IFERROR(K76*MAX(M76,1)/Q76*P76,0)</f>
        <v/>
      </c>
      <c r="AA76" s="6" t="inlineStr">
        <is>
          <t>^NuclearWarhead, ^RailgunWeapon, ^HeavyMissile, ^HeavyCannon, ^HeavyAAWeapon, ^HeavyBomb, ^HeavyChemicalWeapon, ^HeavyFlameWeapon, ^LaserWeapon</t>
        </is>
      </c>
    </row>
    <row r="77">
      <c r="A77" t="inlineStr">
        <is>
          <t>starcraft</t>
        </is>
      </c>
      <c r="B77" t="inlineStr">
        <is>
          <t>terran_dropship</t>
        </is>
      </c>
      <c r="C77" t="inlineStr">
        <is>
          <t>Dropship</t>
        </is>
      </c>
      <c r="D77" t="inlineStr"/>
      <c r="E77" s="5" t="n">
        <v>125000</v>
      </c>
      <c r="F77" s="5" t="n">
        <v>125</v>
      </c>
      <c r="G77" t="inlineStr">
        <is>
          <t>Helicopter</t>
        </is>
      </c>
      <c r="H77" s="5" t="n">
        <v>1</v>
      </c>
      <c r="I77" s="5" t="n">
        <v>1</v>
      </c>
      <c r="J77" s="5" t="n">
        <v>1</v>
      </c>
      <c r="W77" s="5" t="n">
        <v>3600</v>
      </c>
    </row>
    <row r="78">
      <c r="A78" t="inlineStr">
        <is>
          <t>starcraft</t>
        </is>
      </c>
      <c r="B78" t="inlineStr">
        <is>
          <t>terran_medivac</t>
        </is>
      </c>
      <c r="C78" t="inlineStr">
        <is>
          <t>Medivac</t>
        </is>
      </c>
      <c r="D78" t="inlineStr"/>
      <c r="E78" s="5" t="n">
        <v>125000</v>
      </c>
      <c r="F78" s="5" t="n">
        <v>125</v>
      </c>
      <c r="G78" t="inlineStr">
        <is>
          <t>Helicopter</t>
        </is>
      </c>
      <c r="H78" s="5" t="n">
        <v>1</v>
      </c>
      <c r="I78" s="5" t="n">
        <v>1</v>
      </c>
      <c r="J78" s="5" t="n">
        <v>1</v>
      </c>
      <c r="O78">
        <f>MAX(O79)</f>
        <v/>
      </c>
      <c r="R78">
        <f>R79</f>
        <v/>
      </c>
      <c r="S78">
        <f>(E78/100000+F78/100+(O78/1000)*J78/5+R78/200)*200*I78*H78</f>
        <v/>
      </c>
      <c r="T78">
        <f>((E78*F78/25000)+((O78/1000)*J78*R78/2.5))*I78*H78</f>
        <v/>
      </c>
      <c r="U78">
        <f>(E78*F78*(O78/1000)*J78*R78*I78*H78)/12500000</f>
        <v/>
      </c>
      <c r="V78">
        <f>(S78+T78+U78)/3</f>
        <v/>
      </c>
      <c r="W78" s="5" t="n">
        <v>5000</v>
      </c>
      <c r="X78">
        <f>IFERROR(V78-W78,"")</f>
        <v/>
      </c>
      <c r="Y78">
        <f>IFERROR(ABS(X78)/MAX(W78,1),"")</f>
        <v/>
      </c>
      <c r="Z78">
        <f>IFERROR((W78-(((E78/100000+F78/100+R78/200)*200*I78*H78)+((E78*F78/25000)*I78*H78))/3)/(((J78/5)*200*I78*H78)+((J78*R78/2.5)*I78*H78)+((E78*F78*J78*R78*I78*H78)/12500000))/3*1000,"")</f>
        <v/>
      </c>
    </row>
    <row r="79">
      <c r="B79" s="6" t="inlineStr">
        <is>
          <t xml:space="preserve">  ↳ MedicHeal</t>
        </is>
      </c>
      <c r="C79" s="6" t="inlineStr">
        <is>
          <t>Armament</t>
        </is>
      </c>
      <c r="K79" s="5" t="n">
        <v>-1</v>
      </c>
      <c r="L79" s="5" t="n">
        <v>10</v>
      </c>
      <c r="M79" s="5" t="n">
        <v>1</v>
      </c>
      <c r="N79" s="5" t="n"/>
      <c r="O79" s="5" t="n">
        <v>6000</v>
      </c>
      <c r="P79" s="5" t="n">
        <v>1</v>
      </c>
      <c r="Q79">
        <f>L79+IF(M79&gt;1,N(N79)*(M79-1),0)</f>
        <v/>
      </c>
      <c r="R79">
        <f>IFERROR(K79*MAX(M79,1)/Q79*P79,0)</f>
        <v/>
      </c>
      <c r="AA79" s="6" t="inlineStr">
        <is>
          <t>^HealingWeapon</t>
        </is>
      </c>
    </row>
    <row r="80">
      <c r="A80" t="inlineStr">
        <is>
          <t>starcraft</t>
        </is>
      </c>
      <c r="B80" t="inlineStr">
        <is>
          <t>terran_phobos</t>
        </is>
      </c>
      <c r="C80" t="inlineStr">
        <is>
          <t>Phobos</t>
        </is>
      </c>
      <c r="D80" t="inlineStr"/>
      <c r="E80" s="5" t="n">
        <v>1000000</v>
      </c>
      <c r="F80" s="5" t="n">
        <v>25</v>
      </c>
      <c r="G80" t="inlineStr">
        <is>
          <t>Spaceship</t>
        </is>
      </c>
      <c r="H80" s="5" t="n">
        <v>0.75</v>
      </c>
      <c r="I80" s="5" t="n">
        <v>1</v>
      </c>
      <c r="J80" s="5" t="n">
        <v>1.25</v>
      </c>
      <c r="O80">
        <f>MAX(O81,O82)</f>
        <v/>
      </c>
      <c r="R80">
        <f>R81+R82</f>
        <v/>
      </c>
      <c r="S80">
        <f>(E80/100000+F80/100+(O80/1000)*J80/5+R80/200)*200*I80*H80</f>
        <v/>
      </c>
      <c r="T80">
        <f>((E80*F80/25000)+((O80/1000)*J80*R80/2.5))*I80*H80</f>
        <v/>
      </c>
      <c r="U80">
        <f>(E80*F80*(O80/1000)*J80*R80*I80*H80)/12500000</f>
        <v/>
      </c>
      <c r="V80">
        <f>(S80+T80+U80)/3</f>
        <v/>
      </c>
      <c r="W80" s="5" t="n">
        <v>10000</v>
      </c>
      <c r="X80">
        <f>IFERROR(V80-W80,"")</f>
        <v/>
      </c>
      <c r="Y80">
        <f>IFERROR(ABS(X80)/MAX(W80,1),"")</f>
        <v/>
      </c>
      <c r="Z80">
        <f>IFERROR((W80-(((E80/100000+F80/100+R80/200)*200*I80*H80)+((E80*F80/25000)*I80*H80))/3)/(((J80/5)*200*I80*H80)+((J80*R80/2.5)*I80*H80)+((E80*F80*J80*R80*I80*H80)/12500000))/3*1000,"")</f>
        <v/>
      </c>
    </row>
    <row r="81">
      <c r="B81" s="6" t="inlineStr">
        <is>
          <t xml:space="preserve">  ↳ PhobosLaser</t>
        </is>
      </c>
      <c r="C81" s="6" t="inlineStr">
        <is>
          <t>Armament</t>
        </is>
      </c>
      <c r="K81" s="5" t="n">
        <v>6000</v>
      </c>
      <c r="L81" s="5" t="n">
        <v>80</v>
      </c>
      <c r="M81" s="5" t="n">
        <v>4</v>
      </c>
      <c r="N81" s="5" t="n">
        <v>4</v>
      </c>
      <c r="O81" s="5" t="n">
        <v>9000</v>
      </c>
      <c r="P81" s="5" t="n">
        <v>1</v>
      </c>
      <c r="Q81">
        <f>L81+IF(M81&gt;1,N(N81)*(M81-1),0)</f>
        <v/>
      </c>
      <c r="R81">
        <f>IFERROR(K81*MAX(M81,1)/Q81*P81,0)</f>
        <v/>
      </c>
      <c r="AA81" s="6" t="inlineStr">
        <is>
          <t>^RailgunWeapon, ^HeavyMissile, ^HeavyCannon, ^HeavyAAWeapon, ^HeavyBomb, ^HeavyChemicalWeapon, ^HeavyFlameWeapon, ^LaserWeapon</t>
        </is>
      </c>
    </row>
    <row r="82">
      <c r="B82" s="6" t="inlineStr">
        <is>
          <t xml:space="preserve">  ↳ BCYamatoCannon</t>
        </is>
      </c>
      <c r="C82" s="6" t="inlineStr">
        <is>
          <t>Armament@Yamato</t>
        </is>
      </c>
      <c r="K82" s="5" t="n">
        <v>16000</v>
      </c>
      <c r="L82" s="5" t="n">
        <v>38</v>
      </c>
      <c r="M82" s="5" t="n">
        <v>1</v>
      </c>
      <c r="N82" s="5" t="n"/>
      <c r="O82" s="5" t="n">
        <v>6800</v>
      </c>
      <c r="P82" s="5" t="n">
        <v>1</v>
      </c>
      <c r="Q82">
        <f>L82+IF(M82&gt;1,N(N82)*(M82-1),0)</f>
        <v/>
      </c>
      <c r="R82">
        <f>IFERROR(K82*MAX(M82,1)/Q82*P82,0)</f>
        <v/>
      </c>
      <c r="AA82" s="6" t="inlineStr">
        <is>
          <t>^NuclearWarhead, ^RailgunWeapon, ^HeavyMissile, ^HeavyCannon, ^HeavyAAWeapon, ^HeavyBomb, ^HeavyChemicalWeapon, ^HeavyFlameWeapon, ^LaserWeapon</t>
        </is>
      </c>
    </row>
    <row r="83">
      <c r="A83" t="inlineStr">
        <is>
          <t>starcraft</t>
        </is>
      </c>
      <c r="B83" t="inlineStr">
        <is>
          <t>terran_pythean</t>
        </is>
      </c>
      <c r="C83" t="inlineStr">
        <is>
          <t>Pythean</t>
        </is>
      </c>
      <c r="D83" t="inlineStr"/>
      <c r="E83" s="5" t="n">
        <v>400000</v>
      </c>
      <c r="F83" s="5" t="n">
        <v>40</v>
      </c>
      <c r="G83" t="inlineStr">
        <is>
          <t>Spaceship</t>
        </is>
      </c>
      <c r="H83" s="5" t="n">
        <v>0.75</v>
      </c>
      <c r="I83" s="5" t="n">
        <v>1.25</v>
      </c>
      <c r="J83" s="5" t="n">
        <v>1</v>
      </c>
      <c r="O83">
        <f>MAX(O84)</f>
        <v/>
      </c>
      <c r="R83">
        <f>R84</f>
        <v/>
      </c>
      <c r="S83">
        <f>(E83/100000+F83/100+(O83/1000)*J83/5+R83/200)*200*I83*H83</f>
        <v/>
      </c>
      <c r="T83">
        <f>((E83*F83/25000)+((O83/1000)*J83*R83/2.5))*I83*H83</f>
        <v/>
      </c>
      <c r="U83">
        <f>(E83*F83*(O83/1000)*J83*R83*I83*H83)/12500000</f>
        <v/>
      </c>
      <c r="V83">
        <f>(S83+T83+U83)/3</f>
        <v/>
      </c>
      <c r="W83" s="5" t="n">
        <v>5500</v>
      </c>
      <c r="X83">
        <f>IFERROR(V83-W83,"")</f>
        <v/>
      </c>
      <c r="Y83">
        <f>IFERROR(ABS(X83)/MAX(W83,1),"")</f>
        <v/>
      </c>
      <c r="Z83">
        <f>IFERROR((W83-(((E83/100000+F83/100+R83/200)*200*I83*H83)+((E83*F83/25000)*I83*H83))/3)/(((J83/5)*200*I83*H83)+((J83*R83/2.5)*I83*H83)+((E83*F83*J83*R83*I83*H83)/12500000))/3*1000,"")</f>
        <v/>
      </c>
    </row>
    <row r="84">
      <c r="B84" s="6" t="inlineStr">
        <is>
          <t xml:space="preserve">  ↳ JimRaynorMachineGun</t>
        </is>
      </c>
      <c r="C84" s="6" t="inlineStr">
        <is>
          <t>Armament</t>
        </is>
      </c>
      <c r="K84" s="5" t="n">
        <v>2000</v>
      </c>
      <c r="L84" s="5" t="n">
        <v>12</v>
      </c>
      <c r="M84" s="5" t="n">
        <v>5</v>
      </c>
      <c r="N84" s="5" t="n">
        <v>2</v>
      </c>
      <c r="O84" s="5" t="n">
        <v>7446</v>
      </c>
      <c r="P84" s="5" t="n">
        <v>1</v>
      </c>
      <c r="Q84">
        <f>L84+IF(M84&gt;1,N(N84)*(M84-1),0)</f>
        <v/>
      </c>
      <c r="R84">
        <f>IFERROR(K84*MAX(M84,1)/Q84*P84,0)</f>
        <v/>
      </c>
      <c r="AA84" s="6" t="inlineStr">
        <is>
          <t>^HeavyMissile, ^HeavyCannon</t>
        </is>
      </c>
    </row>
    <row r="85">
      <c r="A85" t="inlineStr">
        <is>
          <t>starcraft</t>
        </is>
      </c>
      <c r="B85" t="inlineStr">
        <is>
          <t>terran_raven</t>
        </is>
      </c>
      <c r="C85" t="inlineStr">
        <is>
          <t>Raven</t>
        </is>
      </c>
      <c r="D85" t="inlineStr"/>
      <c r="E85" s="5" t="n">
        <v>100000</v>
      </c>
      <c r="F85" s="5" t="n">
        <v>100</v>
      </c>
      <c r="G85" t="inlineStr">
        <is>
          <t>Helicopter</t>
        </is>
      </c>
      <c r="H85" s="5" t="n">
        <v>1</v>
      </c>
      <c r="I85" s="5" t="n">
        <v>1</v>
      </c>
      <c r="J85" s="5" t="n">
        <v>1</v>
      </c>
      <c r="O85">
        <f>MAX(O86)</f>
        <v/>
      </c>
      <c r="R85">
        <f>R86</f>
        <v/>
      </c>
      <c r="S85">
        <f>(E85/100000+F85/100+(O85/1000)*J85/5+R85/200)*200*I85*H85</f>
        <v/>
      </c>
      <c r="T85">
        <f>((E85*F85/25000)+((O85/1000)*J85*R85/2.5))*I85*H85</f>
        <v/>
      </c>
      <c r="U85">
        <f>(E85*F85*(O85/1000)*J85*R85*I85*H85)/12500000</f>
        <v/>
      </c>
      <c r="V85">
        <f>(S85+T85+U85)/3</f>
        <v/>
      </c>
      <c r="W85" s="5" t="n">
        <v>2000</v>
      </c>
      <c r="X85">
        <f>IFERROR(V85-W85,"")</f>
        <v/>
      </c>
      <c r="Y85">
        <f>IFERROR(ABS(X85)/MAX(W85,1),"")</f>
        <v/>
      </c>
      <c r="Z85">
        <f>IFERROR((W85-(((E85/100000+F85/100+R85/200)*200*I85*H85)+((E85*F85/25000)*I85*H85))/3)/(((J85/5)*200*I85*H85)+((J85*R85/2.5)*I85*H85)+((E85*F85*J85*R85*I85*H85)/12500000))/3*1000,"")</f>
        <v/>
      </c>
    </row>
    <row r="86">
      <c r="B86" s="6" t="inlineStr">
        <is>
          <t xml:space="preserve">  ↳ RavenRepair</t>
        </is>
      </c>
      <c r="C86" s="6" t="inlineStr">
        <is>
          <t>Armament@repair</t>
        </is>
      </c>
      <c r="K86" s="5" t="n">
        <v>-1</v>
      </c>
      <c r="L86" s="5" t="n">
        <v>5</v>
      </c>
      <c r="M86" s="5" t="n">
        <v>10</v>
      </c>
      <c r="N86" s="5" t="n">
        <v>1</v>
      </c>
      <c r="O86" s="5" t="n">
        <v>5000</v>
      </c>
      <c r="P86" s="5" t="n">
        <v>1</v>
      </c>
      <c r="Q86">
        <f>L86+IF(M86&gt;1,N(N86)*(M86-1),0)</f>
        <v/>
      </c>
      <c r="R86">
        <f>IFERROR(K86*MAX(M86,1)/Q86*P86,0)</f>
        <v/>
      </c>
      <c r="AA86" s="6" t="inlineStr">
        <is>
          <t>^RepairWeapon</t>
        </is>
      </c>
    </row>
    <row r="87">
      <c r="A87" t="inlineStr">
        <is>
          <t>starcraft</t>
        </is>
      </c>
      <c r="B87" t="inlineStr">
        <is>
          <t>terran_sciencevessel</t>
        </is>
      </c>
      <c r="C87" t="inlineStr">
        <is>
          <t>Science Vessel</t>
        </is>
      </c>
      <c r="D87" t="inlineStr"/>
      <c r="E87" s="5" t="n">
        <v>200000</v>
      </c>
      <c r="F87" s="5" t="n">
        <v>66</v>
      </c>
      <c r="G87" t="inlineStr">
        <is>
          <t>Helicopter</t>
        </is>
      </c>
      <c r="H87" s="5" t="n">
        <v>1</v>
      </c>
      <c r="I87" s="5" t="n">
        <v>1</v>
      </c>
      <c r="J87" s="5" t="n">
        <v>1</v>
      </c>
      <c r="O87">
        <f>MAX(O88,O89,O90)</f>
        <v/>
      </c>
      <c r="R87">
        <f>R88+R89+R90</f>
        <v/>
      </c>
      <c r="S87">
        <f>(E87/100000+F87/100+(O87/1000)*J87/5+R87/200)*200*I87*H87</f>
        <v/>
      </c>
      <c r="T87">
        <f>((E87*F87/25000)+((O87/1000)*J87*R87/2.5))*I87*H87</f>
        <v/>
      </c>
      <c r="U87">
        <f>(E87*F87*(O87/1000)*J87*R87*I87*H87)/12500000</f>
        <v/>
      </c>
      <c r="V87">
        <f>(S87+T87+U87)/3</f>
        <v/>
      </c>
      <c r="W87" s="5" t="n">
        <v>2200</v>
      </c>
      <c r="X87">
        <f>IFERROR(V87-W87,"")</f>
        <v/>
      </c>
      <c r="Y87">
        <f>IFERROR(ABS(X87)/MAX(W87,1),"")</f>
        <v/>
      </c>
      <c r="Z87">
        <f>IFERROR((W87-(((E87/100000+F87/100+R87/200)*200*I87*H87)+((E87*F87/25000)*I87*H87))/3)/(((J87/5)*200*I87*H87)+((J87*R87/2.5)*I87*H87)+((E87*F87*J87*R87*I87*H87)/12500000))/3*1000,"")</f>
        <v/>
      </c>
    </row>
    <row r="88">
      <c r="B88" s="6" t="inlineStr">
        <is>
          <t xml:space="preserve">  ↳ ScienceVesselDefenseMatrix</t>
        </is>
      </c>
      <c r="C88" s="6" t="inlineStr">
        <is>
          <t>Armament@IronCourtain</t>
        </is>
      </c>
      <c r="K88" s="5" t="n"/>
      <c r="L88" s="5" t="n">
        <v>260</v>
      </c>
      <c r="M88" s="5" t="n">
        <v>1</v>
      </c>
      <c r="N88" s="5" t="n"/>
      <c r="O88" s="5" t="n">
        <v>7500</v>
      </c>
      <c r="P88" s="5" t="n">
        <v>1</v>
      </c>
      <c r="Q88">
        <f>L88+IF(M88&gt;1,N(N88)*(M88-1),0)</f>
        <v/>
      </c>
      <c r="R88">
        <f>IFERROR(K88*MAX(M88,1)/Q88*P88,0)</f>
        <v/>
      </c>
      <c r="AA88" s="6" t="inlineStr"/>
    </row>
    <row r="89">
      <c r="B89" s="6" t="inlineStr">
        <is>
          <t xml:space="preserve">  ↳ ScienceVesselIrradiate</t>
        </is>
      </c>
      <c r="C89" s="6" t="inlineStr">
        <is>
          <t>Armament@Irradiate</t>
        </is>
      </c>
      <c r="K89" s="5" t="n"/>
      <c r="L89" s="5" t="n">
        <v>110</v>
      </c>
      <c r="M89" s="5" t="n">
        <v>1</v>
      </c>
      <c r="N89" s="5" t="n"/>
      <c r="O89" s="5" t="n">
        <v>7500</v>
      </c>
      <c r="P89" s="5" t="n">
        <v>1</v>
      </c>
      <c r="Q89">
        <f>L89+IF(M89&gt;1,N(N89)*(M89-1),0)</f>
        <v/>
      </c>
      <c r="R89">
        <f>IFERROR(K89*MAX(M89,1)/Q89*P89,0)</f>
        <v/>
      </c>
      <c r="AA89" s="6" t="inlineStr"/>
    </row>
    <row r="90">
      <c r="B90" s="6" t="inlineStr">
        <is>
          <t xml:space="preserve">  ↳ ScienceVesselEMP</t>
        </is>
      </c>
      <c r="C90" s="6" t="inlineStr">
        <is>
          <t>Armament@EMP</t>
        </is>
      </c>
      <c r="K90" s="5" t="n">
        <v>100000</v>
      </c>
      <c r="L90" s="5" t="n">
        <v>360</v>
      </c>
      <c r="M90" s="5" t="n">
        <v>1</v>
      </c>
      <c r="N90" s="5" t="n"/>
      <c r="O90" s="5" t="n">
        <v>7500</v>
      </c>
      <c r="P90" s="5" t="n">
        <v>1</v>
      </c>
      <c r="Q90">
        <f>L90+IF(M90&gt;1,N(N90)*(M90-1),0)</f>
        <v/>
      </c>
      <c r="R90">
        <f>IFERROR(K90*MAX(M90,1)/Q90*P90,0)</f>
        <v/>
      </c>
      <c r="AA90" s="6" t="inlineStr">
        <is>
          <t>^TeslaChargedWeapon</t>
        </is>
      </c>
    </row>
    <row r="91">
      <c r="A91" t="inlineStr">
        <is>
          <t>starcraft</t>
        </is>
      </c>
      <c r="B91" t="inlineStr">
        <is>
          <t>terran_sundog</t>
        </is>
      </c>
      <c r="C91" t="inlineStr">
        <is>
          <t>Sundog</t>
        </is>
      </c>
      <c r="D91" t="inlineStr"/>
      <c r="E91" s="5" t="n">
        <v>160000</v>
      </c>
      <c r="F91" s="5" t="n">
        <v>120</v>
      </c>
      <c r="G91" t="inlineStr">
        <is>
          <t>Helicopter</t>
        </is>
      </c>
      <c r="H91" s="5" t="n">
        <v>1</v>
      </c>
      <c r="I91" s="5" t="n">
        <v>1</v>
      </c>
      <c r="J91" s="5" t="n">
        <v>1</v>
      </c>
      <c r="O91">
        <f>MAX(O92,O93,O94)</f>
        <v/>
      </c>
      <c r="R91">
        <f>R92+R93+R94</f>
        <v/>
      </c>
      <c r="S91">
        <f>(E91/100000+F91/100+(O91/1000)*J91/5+R91/200)*200*I91*H91</f>
        <v/>
      </c>
      <c r="T91">
        <f>((E91*F91/25000)+((O91/1000)*J91*R91/2.5))*I91*H91</f>
        <v/>
      </c>
      <c r="U91">
        <f>(E91*F91*(O91/1000)*J91*R91*I91*H91)/12500000</f>
        <v/>
      </c>
      <c r="V91">
        <f>(S91+T91+U91)/3</f>
        <v/>
      </c>
      <c r="W91" s="5" t="n">
        <v>2700</v>
      </c>
      <c r="X91">
        <f>IFERROR(V91-W91,"")</f>
        <v/>
      </c>
      <c r="Y91">
        <f>IFERROR(ABS(X91)/MAX(W91,1),"")</f>
        <v/>
      </c>
      <c r="Z91">
        <f>IFERROR((W91-(((E91/100000+F91/100+R91/200)*200*I91*H91)+((E91*F91/25000)*I91*H91))/3)/(((J91/5)*200*I91*H91)+((J91*R91/2.5)*I91*H91)+((E91*F91*J91*R91*I91*H91)/12500000))/3*1000,"")</f>
        <v/>
      </c>
    </row>
    <row r="92">
      <c r="B92" s="6" t="inlineStr">
        <is>
          <t xml:space="preserve">  ↳ SunDogLaser</t>
        </is>
      </c>
      <c r="C92" s="6" t="inlineStr">
        <is>
          <t>Armament@PRIMARY</t>
        </is>
      </c>
      <c r="K92" s="5" t="n">
        <v>16000</v>
      </c>
      <c r="L92" s="5" t="n">
        <v>39</v>
      </c>
      <c r="M92" s="5" t="n">
        <v>1</v>
      </c>
      <c r="N92" s="5" t="n"/>
      <c r="O92" s="5" t="n">
        <v>6060</v>
      </c>
      <c r="P92" s="5" t="n">
        <v>1</v>
      </c>
      <c r="Q92">
        <f>L92+IF(M92&gt;1,N(N92)*(M92-1),0)</f>
        <v/>
      </c>
      <c r="R92">
        <f>IFERROR(K92*MAX(M92,1)/Q92*P92,0)</f>
        <v/>
      </c>
      <c r="AA92" s="6" t="inlineStr">
        <is>
          <t>^LaserWeapon</t>
        </is>
      </c>
    </row>
    <row r="93">
      <c r="B93" s="6" t="inlineStr">
        <is>
          <t xml:space="preserve">  ↳ SunDogRockets</t>
        </is>
      </c>
      <c r="C93" s="6" t="inlineStr">
        <is>
          <t>Armament@SECONDARY1</t>
        </is>
      </c>
      <c r="K93" s="5" t="n">
        <v>2000</v>
      </c>
      <c r="L93" s="5" t="n">
        <v>39</v>
      </c>
      <c r="M93" s="5" t="n">
        <v>1</v>
      </c>
      <c r="N93" s="5" t="n"/>
      <c r="O93" s="5" t="n">
        <v>6060</v>
      </c>
      <c r="P93" s="5" t="n">
        <v>1</v>
      </c>
      <c r="Q93">
        <f>L93+IF(M93&gt;1,N(N93)*(M93-1),0)</f>
        <v/>
      </c>
      <c r="R93">
        <f>IFERROR(K93*MAX(M93,1)/Q93*P93,0)</f>
        <v/>
      </c>
      <c r="AA93" s="6" t="inlineStr">
        <is>
          <t>^Chaingun, ^FlakWeapon, ^LightMissile, ^MediumMissile, ^D2KRocket</t>
        </is>
      </c>
    </row>
    <row r="94">
      <c r="B94" s="6" t="inlineStr">
        <is>
          <t xml:space="preserve">  ↳ SunDogRockets</t>
        </is>
      </c>
      <c r="C94" s="6" t="inlineStr">
        <is>
          <t>Armament@SECONDARY2</t>
        </is>
      </c>
      <c r="K94" s="5" t="n">
        <v>2000</v>
      </c>
      <c r="L94" s="5" t="n">
        <v>39</v>
      </c>
      <c r="M94" s="5" t="n">
        <v>1</v>
      </c>
      <c r="N94" s="5" t="n"/>
      <c r="O94" s="5" t="n">
        <v>6060</v>
      </c>
      <c r="P94" s="5" t="n">
        <v>1</v>
      </c>
      <c r="Q94">
        <f>L94+IF(M94&gt;1,N(N94)*(M94-1),0)</f>
        <v/>
      </c>
      <c r="R94">
        <f>IFERROR(K94*MAX(M94,1)/Q94*P94,0)</f>
        <v/>
      </c>
      <c r="AA94" s="6" t="inlineStr">
        <is>
          <t>^Chaingun, ^FlakWeapon, ^LightMissile, ^MediumMissile, ^D2KRocket</t>
        </is>
      </c>
    </row>
    <row r="95">
      <c r="A95" t="inlineStr">
        <is>
          <t>starcraft</t>
        </is>
      </c>
      <c r="B95" t="inlineStr">
        <is>
          <t>terran_valkyrie</t>
        </is>
      </c>
      <c r="C95" t="inlineStr">
        <is>
          <t>Valkyrie</t>
        </is>
      </c>
      <c r="D95" t="inlineStr"/>
      <c r="E95" s="5" t="n">
        <v>120000</v>
      </c>
      <c r="F95" s="5" t="n">
        <v>140</v>
      </c>
      <c r="G95" t="inlineStr">
        <is>
          <t>Helicopter</t>
        </is>
      </c>
      <c r="H95" s="5" t="n">
        <v>1</v>
      </c>
      <c r="I95" s="5" t="n">
        <v>0.5</v>
      </c>
      <c r="J95" s="5" t="n">
        <v>1</v>
      </c>
      <c r="O95">
        <f>MAX(O96,O97)</f>
        <v/>
      </c>
      <c r="R95">
        <f>R96+R97</f>
        <v/>
      </c>
      <c r="S95">
        <f>(E95/100000+F95/100+(O95/1000)*J95/5+R95/200)*200*I95*H95</f>
        <v/>
      </c>
      <c r="T95">
        <f>((E95*F95/25000)+((O95/1000)*J95*R95/2.5))*I95*H95</f>
        <v/>
      </c>
      <c r="U95">
        <f>(E95*F95*(O95/1000)*J95*R95*I95*H95)/12500000</f>
        <v/>
      </c>
      <c r="V95">
        <f>(S95+T95+U95)/3</f>
        <v/>
      </c>
      <c r="W95" s="5" t="n">
        <v>2000</v>
      </c>
      <c r="X95">
        <f>IFERROR(V95-W95,"")</f>
        <v/>
      </c>
      <c r="Y95">
        <f>IFERROR(ABS(X95)/MAX(W95,1),"")</f>
        <v/>
      </c>
      <c r="Z95">
        <f>IFERROR((W95-(((E95/100000+F95/100+R95/200)*200*I95*H95)+((E95*F95/25000)*I95*H95))/3)/(((J95/5)*200*I95*H95)+((J95*R95/2.5)*I95*H95)+((E95*F95*J95*R95*I95*H95)/12500000))/3*1000,"")</f>
        <v/>
      </c>
    </row>
    <row r="96">
      <c r="B96" s="6" t="inlineStr">
        <is>
          <t xml:space="preserve">  ↳ ValkyrieRockets</t>
        </is>
      </c>
      <c r="C96" s="6" t="inlineStr">
        <is>
          <t>Armament@SECONDARY1</t>
        </is>
      </c>
      <c r="K96" s="5" t="n">
        <v>2000</v>
      </c>
      <c r="L96" s="5" t="n">
        <v>67</v>
      </c>
      <c r="M96" s="5" t="n">
        <v>8</v>
      </c>
      <c r="N96" s="5" t="n">
        <v>4</v>
      </c>
      <c r="O96" s="5" t="n">
        <v>7380</v>
      </c>
      <c r="P96" s="5" t="n">
        <v>1</v>
      </c>
      <c r="Q96">
        <f>L96+IF(M96&gt;1,N(N96)*(M96-1),0)</f>
        <v/>
      </c>
      <c r="R96">
        <f>IFERROR(K96*MAX(M96,1)/Q96*P96,0)</f>
        <v/>
      </c>
      <c r="AA96" s="6" t="inlineStr">
        <is>
          <t>^FlakWeapon, ^MediumMissile, ^HeavyAAWeapon, ^D2KRocket</t>
        </is>
      </c>
    </row>
    <row r="97">
      <c r="B97" s="6" t="inlineStr">
        <is>
          <t xml:space="preserve">  ↳ ValkyrieRockets</t>
        </is>
      </c>
      <c r="C97" s="6" t="inlineStr">
        <is>
          <t>Armament@SECONDARY2</t>
        </is>
      </c>
      <c r="K97" s="5" t="n">
        <v>2000</v>
      </c>
      <c r="L97" s="5" t="n">
        <v>67</v>
      </c>
      <c r="M97" s="5" t="n">
        <v>8</v>
      </c>
      <c r="N97" s="5" t="n">
        <v>4</v>
      </c>
      <c r="O97" s="5" t="n">
        <v>7380</v>
      </c>
      <c r="P97" s="5" t="n">
        <v>1</v>
      </c>
      <c r="Q97">
        <f>L97+IF(M97&gt;1,N(N97)*(M97-1),0)</f>
        <v/>
      </c>
      <c r="R97">
        <f>IFERROR(K97*MAX(M97,1)/Q97*P97,0)</f>
        <v/>
      </c>
      <c r="AA97" s="6" t="inlineStr">
        <is>
          <t>^FlakWeapon, ^MediumMissile, ^HeavyAAWeapon, ^D2KRocket</t>
        </is>
      </c>
    </row>
    <row r="98">
      <c r="A98" t="inlineStr">
        <is>
          <t>starcraft</t>
        </is>
      </c>
      <c r="B98" t="inlineStr">
        <is>
          <t>terran_wraith</t>
        </is>
      </c>
      <c r="C98" t="inlineStr">
        <is>
          <t>Wraith</t>
        </is>
      </c>
      <c r="D98" t="inlineStr"/>
      <c r="E98" s="5" t="n">
        <v>50000</v>
      </c>
      <c r="F98" s="5" t="n">
        <v>120</v>
      </c>
      <c r="G98" t="inlineStr">
        <is>
          <t>Helicopter</t>
        </is>
      </c>
      <c r="H98" s="5" t="n">
        <v>1</v>
      </c>
      <c r="I98" s="5" t="n">
        <v>1</v>
      </c>
      <c r="J98" s="5" t="n">
        <v>1</v>
      </c>
      <c r="O98">
        <f>MAX(O99,O100,O101)</f>
        <v/>
      </c>
      <c r="R98">
        <f>R99+R100+R101</f>
        <v/>
      </c>
      <c r="S98">
        <f>(E98/100000+F98/100+(O98/1000)*J98/5+R98/200)*200*I98*H98</f>
        <v/>
      </c>
      <c r="T98">
        <f>((E98*F98/25000)+((O98/1000)*J98*R98/2.5))*I98*H98</f>
        <v/>
      </c>
      <c r="U98">
        <f>(E98*F98*(O98/1000)*J98*R98*I98*H98)/12500000</f>
        <v/>
      </c>
      <c r="V98">
        <f>(S98+T98+U98)/3</f>
        <v/>
      </c>
      <c r="W98" s="5" t="n">
        <v>1400</v>
      </c>
      <c r="X98">
        <f>IFERROR(V98-W98,"")</f>
        <v/>
      </c>
      <c r="Y98">
        <f>IFERROR(ABS(X98)/MAX(W98,1),"")</f>
        <v/>
      </c>
      <c r="Z98">
        <f>IFERROR((W98-(((E98/100000+F98/100+R98/200)*200*I98*H98)+((E98*F98/25000)*I98*H98))/3)/(((J98/5)*200*I98*H98)+((J98*R98/2.5)*I98*H98)+((E98*F98*J98*R98*I98*H98)/12500000))/3*1000,"")</f>
        <v/>
      </c>
    </row>
    <row r="99">
      <c r="B99" s="6" t="inlineStr">
        <is>
          <t xml:space="preserve">  ↳ WraithLaser</t>
        </is>
      </c>
      <c r="C99" s="6" t="inlineStr">
        <is>
          <t>Armament@PRIMARY</t>
        </is>
      </c>
      <c r="K99" s="5" t="n">
        <v>16000</v>
      </c>
      <c r="L99" s="5" t="n">
        <v>32</v>
      </c>
      <c r="M99" s="5" t="n">
        <v>1</v>
      </c>
      <c r="N99" s="5" t="n"/>
      <c r="O99" s="5" t="n">
        <v>5076</v>
      </c>
      <c r="P99" s="5" t="n">
        <v>1</v>
      </c>
      <c r="Q99">
        <f>L99+IF(M99&gt;1,N(N99)*(M99-1),0)</f>
        <v/>
      </c>
      <c r="R99">
        <f>IFERROR(K99*MAX(M99,1)/Q99*P99,0)</f>
        <v/>
      </c>
      <c r="AA99" s="6" t="inlineStr">
        <is>
          <t>^LaserWeapon</t>
        </is>
      </c>
    </row>
    <row r="100">
      <c r="B100" s="6" t="inlineStr">
        <is>
          <t xml:space="preserve">  ↳ WraithRockets</t>
        </is>
      </c>
      <c r="C100" s="6" t="inlineStr">
        <is>
          <t>Armament@SECONDARY1</t>
        </is>
      </c>
      <c r="K100" s="5" t="n">
        <v>2000</v>
      </c>
      <c r="L100" s="5" t="n">
        <v>24</v>
      </c>
      <c r="M100" s="5" t="n">
        <v>1</v>
      </c>
      <c r="N100" s="5" t="n"/>
      <c r="O100" s="5" t="n">
        <v>5076</v>
      </c>
      <c r="P100" s="5" t="n">
        <v>1</v>
      </c>
      <c r="Q100">
        <f>L100+IF(M100&gt;1,N(N100)*(M100-1),0)</f>
        <v/>
      </c>
      <c r="R100">
        <f>IFERROR(K100*MAX(M100,1)/Q100*P100,0)</f>
        <v/>
      </c>
      <c r="AA100" s="6" t="inlineStr">
        <is>
          <t>^Chaingun, ^FlakWeapon, ^LightMissile, ^MediumMissile, ^D2KRocket</t>
        </is>
      </c>
    </row>
    <row r="101">
      <c r="B101" s="6" t="inlineStr">
        <is>
          <t xml:space="preserve">  ↳ WraithRockets</t>
        </is>
      </c>
      <c r="C101" s="6" t="inlineStr">
        <is>
          <t>Armament@SECONDARY2</t>
        </is>
      </c>
      <c r="K101" s="5" t="n">
        <v>2000</v>
      </c>
      <c r="L101" s="5" t="n">
        <v>24</v>
      </c>
      <c r="M101" s="5" t="n">
        <v>1</v>
      </c>
      <c r="N101" s="5" t="n"/>
      <c r="O101" s="5" t="n">
        <v>5076</v>
      </c>
      <c r="P101" s="5" t="n">
        <v>1</v>
      </c>
      <c r="Q101">
        <f>L101+IF(M101&gt;1,N(N101)*(M101-1),0)</f>
        <v/>
      </c>
      <c r="R101">
        <f>IFERROR(K101*MAX(M101,1)/Q101*P101,0)</f>
        <v/>
      </c>
      <c r="AA101" s="6" t="inlineStr">
        <is>
          <t>^Chaingun, ^FlakWeapon, ^LightMissile, ^MediumMissile, ^D2KRocket</t>
        </is>
      </c>
    </row>
    <row r="102">
      <c r="A102" t="inlineStr">
        <is>
          <t>starcraft</t>
        </is>
      </c>
      <c r="B102" t="inlineStr">
        <is>
          <t>terran_wyvern</t>
        </is>
      </c>
      <c r="C102" t="inlineStr">
        <is>
          <t>Wyvern</t>
        </is>
      </c>
      <c r="D102" t="inlineStr"/>
      <c r="E102" s="5" t="n">
        <v>180000</v>
      </c>
      <c r="F102" s="5" t="n">
        <v>70</v>
      </c>
      <c r="G102" t="inlineStr">
        <is>
          <t>Helicopter</t>
        </is>
      </c>
      <c r="H102" s="5" t="n">
        <v>0.75</v>
      </c>
      <c r="I102" s="5" t="n">
        <v>1</v>
      </c>
      <c r="J102" s="5" t="n">
        <v>1</v>
      </c>
      <c r="O102">
        <f>MAX(O103,O104)</f>
        <v/>
      </c>
      <c r="R102">
        <f>R103+R104</f>
        <v/>
      </c>
      <c r="S102">
        <f>(E102/100000+F102/100+(O102/1000)*J102/5+R102/200)*200*I102*H102</f>
        <v/>
      </c>
      <c r="T102">
        <f>((E102*F102/25000)+((O102/1000)*J102*R102/2.5))*I102*H102</f>
        <v/>
      </c>
      <c r="U102">
        <f>(E102*F102*(O102/1000)*J102*R102*I102*H102)/12500000</f>
        <v/>
      </c>
      <c r="V102">
        <f>(S102+T102+U102)/3</f>
        <v/>
      </c>
      <c r="W102" s="5" t="n">
        <v>3600</v>
      </c>
      <c r="X102">
        <f>IFERROR(V102-W102,"")</f>
        <v/>
      </c>
      <c r="Y102">
        <f>IFERROR(ABS(X102)/MAX(W102,1),"")</f>
        <v/>
      </c>
      <c r="Z102">
        <f>IFERROR((W102-(((E102/100000+F102/100+R102/200)*200*I102*H102)+((E102*F102/25000)*I102*H102))/3)/(((J102/5)*200*I102*H102)+((J102*R102/2.5)*I102*H102)+((E102*F102*J102*R102*I102*H102)/12500000))/3*1000,"")</f>
        <v/>
      </c>
    </row>
    <row r="103">
      <c r="B103" s="6" t="inlineStr">
        <is>
          <t xml:space="preserve">  ↳ WyvernRockets</t>
        </is>
      </c>
      <c r="C103" s="6" t="inlineStr">
        <is>
          <t>Armament@SECONDARY1</t>
        </is>
      </c>
      <c r="K103" s="5" t="n">
        <v>2000</v>
      </c>
      <c r="L103" s="5" t="n">
        <v>90</v>
      </c>
      <c r="M103" s="5" t="n">
        <v>4</v>
      </c>
      <c r="N103" s="5" t="n">
        <v>15</v>
      </c>
      <c r="O103" s="5" t="n">
        <v>8000</v>
      </c>
      <c r="P103" s="5" t="n">
        <v>1</v>
      </c>
      <c r="Q103">
        <f>L103+IF(M103&gt;1,N(N103)*(M103-1),0)</f>
        <v/>
      </c>
      <c r="R103">
        <f>IFERROR(K103*MAX(M103,1)/Q103*P103,0)</f>
        <v/>
      </c>
      <c r="AA103" s="6" t="inlineStr">
        <is>
          <t>^MediumFlameWeapon, ^MediumChemicalWeapon, ^HeavyCannon, ^HeavyBomb, ^FlakWeapon, ^MediumMissile, ^HeavyAAWeapon, ^D2KRocket</t>
        </is>
      </c>
    </row>
    <row r="104">
      <c r="B104" s="6" t="inlineStr">
        <is>
          <t xml:space="preserve">  ↳ WyvernRockets</t>
        </is>
      </c>
      <c r="C104" s="6" t="inlineStr">
        <is>
          <t>Armament@SECONDARY2</t>
        </is>
      </c>
      <c r="K104" s="5" t="n">
        <v>2000</v>
      </c>
      <c r="L104" s="5" t="n">
        <v>90</v>
      </c>
      <c r="M104" s="5" t="n">
        <v>4</v>
      </c>
      <c r="N104" s="5" t="n">
        <v>15</v>
      </c>
      <c r="O104" s="5" t="n">
        <v>8000</v>
      </c>
      <c r="P104" s="5" t="n">
        <v>1</v>
      </c>
      <c r="Q104">
        <f>L104+IF(M104&gt;1,N(N104)*(M104-1),0)</f>
        <v/>
      </c>
      <c r="R104">
        <f>IFERROR(K104*MAX(M104,1)/Q104*P104,0)</f>
        <v/>
      </c>
      <c r="AA104" s="6" t="inlineStr">
        <is>
          <t>^MediumFlameWeapon, ^MediumChemicalWeapon, ^HeavyCannon, ^HeavyBomb, ^FlakWeapon, ^MediumMissile, ^HeavyAAWeapon, ^D2KRocket</t>
        </is>
      </c>
    </row>
    <row r="105">
      <c r="A105" s="3" t="inlineStr">
        <is>
          <t>DEFENSES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>
      <c r="A106" t="inlineStr">
        <is>
          <t>starcraft</t>
        </is>
      </c>
      <c r="B106" t="inlineStr">
        <is>
          <t>terran_bunker</t>
        </is>
      </c>
      <c r="C106" t="inlineStr">
        <is>
          <t>Bunker</t>
        </is>
      </c>
      <c r="D106" t="inlineStr"/>
      <c r="E106" s="5" t="n">
        <v>240000</v>
      </c>
      <c r="F106" s="5" t="n">
        <v>100</v>
      </c>
      <c r="G106" t="inlineStr">
        <is>
          <t>Steel</t>
        </is>
      </c>
      <c r="H106" s="5" t="n">
        <v>1</v>
      </c>
      <c r="I106" s="5" t="n">
        <v>1</v>
      </c>
      <c r="J106" s="5" t="n">
        <v>1</v>
      </c>
      <c r="W106" s="5" t="n">
        <v>1200</v>
      </c>
    </row>
    <row r="107">
      <c r="A107" t="inlineStr">
        <is>
          <t>starcraft</t>
        </is>
      </c>
      <c r="B107" t="inlineStr">
        <is>
          <t>terran_missilesilo</t>
        </is>
      </c>
      <c r="C107" t="inlineStr">
        <is>
          <t>Terran Missile Silo</t>
        </is>
      </c>
      <c r="D107" t="inlineStr"/>
      <c r="E107" s="5" t="n">
        <v>1000000</v>
      </c>
      <c r="F107" s="5" t="n">
        <v>100</v>
      </c>
      <c r="G107" t="inlineStr">
        <is>
          <t>Concrete</t>
        </is>
      </c>
      <c r="H107" s="5" t="n">
        <v>1</v>
      </c>
      <c r="I107" s="5" t="n">
        <v>1</v>
      </c>
      <c r="J107" s="5" t="n">
        <v>1</v>
      </c>
      <c r="W107" s="5" t="n">
        <v>10000</v>
      </c>
    </row>
    <row r="108">
      <c r="A108" t="inlineStr">
        <is>
          <t>starcraft</t>
        </is>
      </c>
      <c r="B108" t="inlineStr">
        <is>
          <t>terran_missileturret</t>
        </is>
      </c>
      <c r="C108" t="inlineStr">
        <is>
          <t>Missile Turret</t>
        </is>
      </c>
      <c r="D108" t="inlineStr"/>
      <c r="E108" s="5" t="n">
        <v>200000</v>
      </c>
      <c r="F108" s="5" t="n">
        <v>100</v>
      </c>
      <c r="G108" t="inlineStr">
        <is>
          <t>Concrete</t>
        </is>
      </c>
      <c r="H108" s="5" t="n">
        <v>1</v>
      </c>
      <c r="I108" s="5" t="n">
        <v>0.225</v>
      </c>
      <c r="J108" s="5" t="n">
        <v>1</v>
      </c>
      <c r="O108">
        <f>MAX(O109,O110)</f>
        <v/>
      </c>
      <c r="R108">
        <f>R109+R110</f>
        <v/>
      </c>
      <c r="S108">
        <f>(E108/100000+F108/100+(O108/1000)*J108/5+R108/200)*200*I108*H108</f>
        <v/>
      </c>
      <c r="T108">
        <f>((E108*F108/25000)+((O108/1000)*J108*R108/2.5))*I108*H108</f>
        <v/>
      </c>
      <c r="U108">
        <f>(E108*F108*(O108/1000)*J108*R108*I108*H108)/12500000</f>
        <v/>
      </c>
      <c r="V108">
        <f>(S108+T108+U108)/3</f>
        <v/>
      </c>
      <c r="W108" s="5" t="n">
        <v>1200</v>
      </c>
      <c r="X108">
        <f>IFERROR(V108-W108,"")</f>
        <v/>
      </c>
      <c r="Y108">
        <f>IFERROR(ABS(X108)/MAX(W108,1),"")</f>
        <v/>
      </c>
      <c r="Z108">
        <f>IFERROR((W108-(((E108/100000+F108/100+R108/200)*200*I108*H108)+((E108*F108/25000)*I108*H108))/3)/(((J108/5)*200*I108*H108)+((J108*R108/2.5)*I108*H108)+((E108*F108*J108*R108*I108*H108)/12500000))/3*1000,"")</f>
        <v/>
      </c>
    </row>
    <row r="109">
      <c r="B109" s="6" t="inlineStr">
        <is>
          <t xml:space="preserve">  ↳ MissileTurret</t>
        </is>
      </c>
      <c r="C109" s="6" t="inlineStr">
        <is>
          <t>Armament@1</t>
        </is>
      </c>
      <c r="K109" s="5" t="n">
        <v>4000</v>
      </c>
      <c r="L109" s="5" t="n">
        <v>30</v>
      </c>
      <c r="M109" s="5" t="n">
        <v>1</v>
      </c>
      <c r="N109" s="5" t="n"/>
      <c r="O109" s="5" t="n">
        <v>11626</v>
      </c>
      <c r="P109" s="5" t="n">
        <v>1</v>
      </c>
      <c r="Q109">
        <f>L109+IF(M109&gt;1,N(N109)*(M109-1),0)</f>
        <v/>
      </c>
      <c r="R109">
        <f>IFERROR(K109*MAX(M109,1)/Q109*P109,0)</f>
        <v/>
      </c>
      <c r="AA109" s="6" t="inlineStr">
        <is>
          <t>^Chaingun, ^FlakWeapon, ^LightMissile, ^MediumMissile, ^D2KRocket</t>
        </is>
      </c>
    </row>
    <row r="110">
      <c r="B110" s="6" t="inlineStr">
        <is>
          <t xml:space="preserve">  ↳ MissileTurret</t>
        </is>
      </c>
      <c r="C110" s="6" t="inlineStr">
        <is>
          <t>Armament@2</t>
        </is>
      </c>
      <c r="K110" s="5" t="n">
        <v>4000</v>
      </c>
      <c r="L110" s="5" t="n">
        <v>30</v>
      </c>
      <c r="M110" s="5" t="n">
        <v>1</v>
      </c>
      <c r="N110" s="5" t="n"/>
      <c r="O110" s="5" t="n">
        <v>11626</v>
      </c>
      <c r="P110" s="5" t="n">
        <v>1</v>
      </c>
      <c r="Q110">
        <f>L110+IF(M110&gt;1,N(N110)*(M110-1),0)</f>
        <v/>
      </c>
      <c r="R110">
        <f>IFERROR(K110*MAX(M110,1)/Q110*P110,0)</f>
        <v/>
      </c>
      <c r="AA110" s="6" t="inlineStr">
        <is>
          <t>^Chaingun, ^FlakWeapon, ^LightMissile, ^MediumMissile, ^D2KRocket</t>
        </is>
      </c>
    </row>
    <row r="111">
      <c r="A111" t="inlineStr">
        <is>
          <t>starcraft</t>
        </is>
      </c>
      <c r="B111" t="inlineStr">
        <is>
          <t>terran_sentinel</t>
        </is>
      </c>
      <c r="C111" t="inlineStr">
        <is>
          <t>Sentinel</t>
        </is>
      </c>
      <c r="D111" t="inlineStr"/>
      <c r="E111" s="5" t="n">
        <v>160000</v>
      </c>
      <c r="F111" s="5" t="n">
        <v>100</v>
      </c>
      <c r="G111" t="inlineStr">
        <is>
          <t>Steel</t>
        </is>
      </c>
      <c r="H111" s="5" t="n">
        <v>1</v>
      </c>
      <c r="I111" s="5" t="n">
        <v>1</v>
      </c>
      <c r="J111" s="5" t="n">
        <v>1</v>
      </c>
      <c r="O111">
        <f>MAX(O112)</f>
        <v/>
      </c>
      <c r="R111">
        <f>R112</f>
        <v/>
      </c>
      <c r="S111">
        <f>(E111/100000+F111/100+(O111/1000)*J111/5+R111/200)*200*I111*H111</f>
        <v/>
      </c>
      <c r="T111">
        <f>((E111*F111/25000)+((O111/1000)*J111*R111/2.5))*I111*H111</f>
        <v/>
      </c>
      <c r="U111">
        <f>(E111*F111*(O111/1000)*J111*R111*I111*H111)/12500000</f>
        <v/>
      </c>
      <c r="V111">
        <f>(S111+T111+U111)/3</f>
        <v/>
      </c>
      <c r="W111" s="5" t="n">
        <v>800</v>
      </c>
      <c r="X111">
        <f>IFERROR(V111-W111,"")</f>
        <v/>
      </c>
      <c r="Y111">
        <f>IFERROR(ABS(X111)/MAX(W111,1),"")</f>
        <v/>
      </c>
      <c r="Z111">
        <f>IFERROR((W111-(((E111/100000+F111/100+R111/200)*200*I111*H111)+((E111*F111/25000)*I111*H111))/3)/(((J111/5)*200*I111*H111)+((J111*R111/2.5)*I111*H111)+((E111*F111*J111*R111*I111*H111)/12500000))/3*1000,"")</f>
        <v/>
      </c>
    </row>
    <row r="112">
      <c r="B112" s="6" t="inlineStr">
        <is>
          <t xml:space="preserve">  ↳ NaxLaserT</t>
        </is>
      </c>
      <c r="C112" s="6" t="inlineStr">
        <is>
          <t>Armament</t>
        </is>
      </c>
      <c r="K112" s="5" t="n">
        <v>2000</v>
      </c>
      <c r="L112" s="5" t="n">
        <v>20</v>
      </c>
      <c r="M112" s="5" t="n">
        <v>1</v>
      </c>
      <c r="N112" s="5" t="n"/>
      <c r="O112" s="5" t="n">
        <v>8181</v>
      </c>
      <c r="P112" s="5" t="n">
        <v>1</v>
      </c>
      <c r="Q112">
        <f>L112+IF(M112&gt;1,N(N112)*(M112-1),0)</f>
        <v/>
      </c>
      <c r="R112">
        <f>IFERROR(K112*MAX(M112,1)/Q112*P112,0)</f>
        <v/>
      </c>
      <c r="AA112" s="6" t="inlineStr">
        <is>
          <t>^SmallArms, ^Chaingun, ^MediumMissile, ^LaserWeapon</t>
        </is>
      </c>
    </row>
    <row r="113">
      <c r="A113" s="3" t="inlineStr">
        <is>
          <t>BUILDINGS</t>
        </is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>
      <c r="A114" t="inlineStr">
        <is>
          <t>starcraft</t>
        </is>
      </c>
      <c r="B114" t="inlineStr">
        <is>
          <t>terran_academy</t>
        </is>
      </c>
      <c r="C114" t="inlineStr">
        <is>
          <t>Academy</t>
        </is>
      </c>
      <c r="D114" t="inlineStr"/>
      <c r="E114" s="5" t="n">
        <v>150000</v>
      </c>
      <c r="F114" s="5" t="n"/>
      <c r="G114" t="inlineStr">
        <is>
          <t>Wood</t>
        </is>
      </c>
      <c r="H114" s="5" t="n">
        <v>1</v>
      </c>
      <c r="I114" s="5" t="n">
        <v>1</v>
      </c>
      <c r="J114" s="5" t="n">
        <v>1</v>
      </c>
      <c r="W114" s="5" t="n">
        <v>1500</v>
      </c>
    </row>
    <row r="115">
      <c r="A115" t="inlineStr">
        <is>
          <t>starcraft</t>
        </is>
      </c>
      <c r="B115" t="inlineStr">
        <is>
          <t>terran_armory</t>
        </is>
      </c>
      <c r="C115" t="inlineStr">
        <is>
          <t>Armory</t>
        </is>
      </c>
      <c r="D115" t="inlineStr"/>
      <c r="E115" s="5" t="n">
        <v>250000</v>
      </c>
      <c r="F115" s="5" t="n"/>
      <c r="G115" t="inlineStr">
        <is>
          <t>Wood</t>
        </is>
      </c>
      <c r="H115" s="5" t="n">
        <v>1</v>
      </c>
      <c r="I115" s="5" t="n">
        <v>1</v>
      </c>
      <c r="J115" s="5" t="n">
        <v>1</v>
      </c>
      <c r="W115" s="5" t="n">
        <v>2500</v>
      </c>
    </row>
    <row r="116">
      <c r="A116" t="inlineStr">
        <is>
          <t>starcraft</t>
        </is>
      </c>
      <c r="B116" t="inlineStr">
        <is>
          <t>terran_barracks</t>
        </is>
      </c>
      <c r="C116" t="inlineStr">
        <is>
          <t>Barracks</t>
        </is>
      </c>
      <c r="D116" t="inlineStr"/>
      <c r="E116" s="5" t="n">
        <v>200000</v>
      </c>
      <c r="F116" s="5" t="n"/>
      <c r="G116" t="inlineStr">
        <is>
          <t>Wood</t>
        </is>
      </c>
      <c r="H116" s="5" t="n">
        <v>1</v>
      </c>
      <c r="I116" s="5" t="n">
        <v>1</v>
      </c>
      <c r="J116" s="5" t="n">
        <v>1</v>
      </c>
      <c r="W116" s="5" t="n">
        <v>1000</v>
      </c>
    </row>
    <row r="117">
      <c r="A117" t="inlineStr">
        <is>
          <t>starcraft</t>
        </is>
      </c>
      <c r="B117" t="inlineStr">
        <is>
          <t>terran_commandcenter</t>
        </is>
      </c>
      <c r="C117" t="inlineStr">
        <is>
          <t>Command Center</t>
        </is>
      </c>
      <c r="D117" t="inlineStr"/>
      <c r="E117" s="5" t="n">
        <v>1000000</v>
      </c>
      <c r="F117" s="5" t="n"/>
      <c r="G117" t="inlineStr">
        <is>
          <t>Concrete</t>
        </is>
      </c>
      <c r="H117" s="5" t="n">
        <v>1</v>
      </c>
      <c r="I117" s="5" t="n">
        <v>1</v>
      </c>
      <c r="J117" s="5" t="n">
        <v>1</v>
      </c>
      <c r="W117" s="5" t="n">
        <v>5000</v>
      </c>
    </row>
    <row r="118">
      <c r="A118" t="inlineStr">
        <is>
          <t>starcraft</t>
        </is>
      </c>
      <c r="B118" t="inlineStr">
        <is>
          <t>terran_engineeringbay</t>
        </is>
      </c>
      <c r="C118" t="inlineStr">
        <is>
          <t>Engineering Bay</t>
        </is>
      </c>
      <c r="D118" t="inlineStr"/>
      <c r="E118" s="5" t="n">
        <v>200000</v>
      </c>
      <c r="F118" s="5" t="n"/>
      <c r="G118" t="inlineStr">
        <is>
          <t>Wood</t>
        </is>
      </c>
      <c r="H118" s="5" t="n">
        <v>1</v>
      </c>
      <c r="I118" s="5" t="n">
        <v>1</v>
      </c>
      <c r="J118" s="5" t="n">
        <v>1</v>
      </c>
      <c r="W118" s="5" t="n">
        <v>2000</v>
      </c>
    </row>
    <row r="119">
      <c r="A119" t="inlineStr">
        <is>
          <t>starcraft</t>
        </is>
      </c>
      <c r="B119" t="inlineStr">
        <is>
          <t>terran_expandedstorage</t>
        </is>
      </c>
      <c r="C119" t="inlineStr">
        <is>
          <t>Expanded Storage</t>
        </is>
      </c>
      <c r="D119" t="inlineStr"/>
      <c r="E119" s="5" t="n"/>
      <c r="F119" s="5" t="n"/>
      <c r="H119" s="5" t="n">
        <v>1</v>
      </c>
      <c r="I119" s="5" t="n">
        <v>1</v>
      </c>
      <c r="J119" s="5" t="n">
        <v>1</v>
      </c>
      <c r="W119" s="5" t="n">
        <v>800</v>
      </c>
    </row>
    <row r="120">
      <c r="A120" t="inlineStr">
        <is>
          <t>starcraft</t>
        </is>
      </c>
      <c r="B120" t="inlineStr">
        <is>
          <t>terran_refinery</t>
        </is>
      </c>
      <c r="C120" t="inlineStr">
        <is>
          <t>Refinery</t>
        </is>
      </c>
      <c r="D120" t="inlineStr"/>
      <c r="E120" s="5" t="n">
        <v>300000</v>
      </c>
      <c r="F120" s="5" t="n"/>
      <c r="G120" t="inlineStr">
        <is>
          <t>Concrete</t>
        </is>
      </c>
      <c r="H120" s="5" t="n">
        <v>1</v>
      </c>
      <c r="I120" s="5" t="n">
        <v>1</v>
      </c>
      <c r="J120" s="5" t="n">
        <v>1</v>
      </c>
      <c r="W120" s="5" t="n">
        <v>3000</v>
      </c>
    </row>
    <row r="121">
      <c r="A121" t="inlineStr">
        <is>
          <t>starcraft</t>
        </is>
      </c>
      <c r="B121" t="inlineStr">
        <is>
          <t>terran_sciencefacility</t>
        </is>
      </c>
      <c r="C121" t="inlineStr">
        <is>
          <t>Science Facility</t>
        </is>
      </c>
      <c r="D121" t="inlineStr"/>
      <c r="E121" s="5" t="n">
        <v>500000</v>
      </c>
      <c r="F121" s="5" t="n"/>
      <c r="G121" t="inlineStr">
        <is>
          <t>Concrete</t>
        </is>
      </c>
      <c r="H121" s="5" t="n">
        <v>1</v>
      </c>
      <c r="I121" s="5" t="n">
        <v>1</v>
      </c>
      <c r="J121" s="5" t="n">
        <v>1</v>
      </c>
      <c r="W121" s="5" t="n">
        <v>5000</v>
      </c>
    </row>
    <row r="122">
      <c r="A122" t="inlineStr">
        <is>
          <t>starcraft</t>
        </is>
      </c>
      <c r="B122" t="inlineStr">
        <is>
          <t>terran_starport</t>
        </is>
      </c>
      <c r="C122" t="inlineStr">
        <is>
          <t>Starport</t>
        </is>
      </c>
      <c r="D122" t="inlineStr"/>
      <c r="E122" s="5" t="n">
        <v>300000</v>
      </c>
      <c r="F122" s="5" t="n"/>
      <c r="G122" t="inlineStr">
        <is>
          <t>Wood</t>
        </is>
      </c>
      <c r="H122" s="5" t="n">
        <v>1</v>
      </c>
      <c r="I122" s="5" t="n">
        <v>1</v>
      </c>
      <c r="J122" s="5" t="n">
        <v>1</v>
      </c>
      <c r="W122" s="5" t="n">
        <v>1500</v>
      </c>
    </row>
    <row r="123">
      <c r="A123" t="inlineStr">
        <is>
          <t>starcraft</t>
        </is>
      </c>
      <c r="B123" t="inlineStr">
        <is>
          <t>terran_supplydepot</t>
        </is>
      </c>
      <c r="C123" t="inlineStr">
        <is>
          <t>Supply Depot</t>
        </is>
      </c>
      <c r="D123" t="inlineStr"/>
      <c r="E123" s="5" t="n">
        <v>200000</v>
      </c>
      <c r="F123" s="5" t="n"/>
      <c r="G123" t="inlineStr">
        <is>
          <t>Wood</t>
        </is>
      </c>
      <c r="H123" s="5" t="n">
        <v>1</v>
      </c>
      <c r="I123" s="5" t="n">
        <v>1</v>
      </c>
      <c r="J123" s="5" t="n">
        <v>1</v>
      </c>
      <c r="W123" s="5" t="n">
        <v>800</v>
      </c>
    </row>
    <row r="124">
      <c r="A124" t="inlineStr">
        <is>
          <t>starcraft</t>
        </is>
      </c>
      <c r="B124" t="inlineStr">
        <is>
          <t>terran_vespenegascollector</t>
        </is>
      </c>
      <c r="C124" t="inlineStr">
        <is>
          <t>Vespene Gas Collector</t>
        </is>
      </c>
      <c r="D124" t="inlineStr"/>
      <c r="E124" s="5" t="n"/>
      <c r="F124" s="5" t="n"/>
      <c r="H124" s="5" t="n">
        <v>1</v>
      </c>
      <c r="I124" s="5" t="n">
        <v>1</v>
      </c>
      <c r="J124" s="5" t="n">
        <v>1</v>
      </c>
      <c r="W124" s="5" t="n">
        <v>2500</v>
      </c>
    </row>
    <row r="125">
      <c r="A125" t="inlineStr">
        <is>
          <t>starcraft</t>
        </is>
      </c>
      <c r="B125" t="inlineStr">
        <is>
          <t>terran_weaponsfactory</t>
        </is>
      </c>
      <c r="C125" t="inlineStr">
        <is>
          <t>Weapons Factory</t>
        </is>
      </c>
      <c r="D125" t="inlineStr"/>
      <c r="E125" s="5" t="n">
        <v>400000</v>
      </c>
      <c r="F125" s="5" t="n"/>
      <c r="G125" t="inlineStr">
        <is>
          <t>Concrete</t>
        </is>
      </c>
      <c r="H125" s="5" t="n">
        <v>1</v>
      </c>
      <c r="I125" s="5" t="n">
        <v>1</v>
      </c>
      <c r="J125" s="5" t="n">
        <v>1</v>
      </c>
      <c r="W125" s="5" t="n">
        <v>2000</v>
      </c>
    </row>
    <row r="126">
      <c r="A126" s="3" t="inlineStr">
        <is>
          <t>UPGRADES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</row>
    <row r="127">
      <c r="A127" t="inlineStr">
        <is>
          <t>starcraft</t>
        </is>
      </c>
      <c r="B127" t="inlineStr">
        <is>
          <t>terran_upgrade_advancedsiegemode</t>
        </is>
      </c>
      <c r="C127" t="inlineStr">
        <is>
          <t>Advanced Siege Mode</t>
        </is>
      </c>
      <c r="D127" t="inlineStr"/>
      <c r="E127" s="5" t="n"/>
      <c r="F127" s="5" t="n"/>
      <c r="H127" s="5" t="n">
        <v>1</v>
      </c>
      <c r="I127" s="5" t="n">
        <v>1</v>
      </c>
      <c r="J127" s="5" t="n">
        <v>1</v>
      </c>
      <c r="W127" s="5" t="n">
        <v>2500</v>
      </c>
    </row>
    <row r="128">
      <c r="A128" t="inlineStr">
        <is>
          <t>starcraft</t>
        </is>
      </c>
      <c r="B128" t="inlineStr">
        <is>
          <t>terran_upgrade_cloakupgrade</t>
        </is>
      </c>
      <c r="C128" t="inlineStr">
        <is>
          <t>Cloak Upgrade</t>
        </is>
      </c>
      <c r="D128" t="inlineStr"/>
      <c r="E128" s="5" t="n"/>
      <c r="F128" s="5" t="n"/>
      <c r="H128" s="5" t="n">
        <v>1</v>
      </c>
      <c r="I128" s="5" t="n">
        <v>1</v>
      </c>
      <c r="J128" s="5" t="n">
        <v>1</v>
      </c>
      <c r="W128" s="5" t="n">
        <v>2500</v>
      </c>
    </row>
    <row r="129">
      <c r="A129" t="inlineStr">
        <is>
          <t>starcraft</t>
        </is>
      </c>
      <c r="B129" t="inlineStr">
        <is>
          <t>terran_upgrade_infantryarmorlevel1</t>
        </is>
      </c>
      <c r="C129" t="inlineStr">
        <is>
          <t>Infantry Armor Level 1</t>
        </is>
      </c>
      <c r="D129" t="inlineStr"/>
      <c r="E129" s="5" t="n"/>
      <c r="F129" s="5" t="n"/>
      <c r="H129" s="5" t="n">
        <v>1</v>
      </c>
      <c r="I129" s="5" t="n">
        <v>1</v>
      </c>
      <c r="J129" s="5" t="n">
        <v>1</v>
      </c>
      <c r="W129" s="5" t="n">
        <v>2500</v>
      </c>
    </row>
    <row r="130">
      <c r="A130" t="inlineStr">
        <is>
          <t>starcraft</t>
        </is>
      </c>
      <c r="B130" t="inlineStr">
        <is>
          <t>terran_upgrade_infantryarmorlevel2</t>
        </is>
      </c>
      <c r="C130" t="inlineStr">
        <is>
          <t>Infantry Armor Level 2</t>
        </is>
      </c>
      <c r="D130" t="inlineStr"/>
      <c r="E130" s="5" t="n"/>
      <c r="F130" s="5" t="n"/>
      <c r="H130" s="5" t="n">
        <v>1</v>
      </c>
      <c r="I130" s="5" t="n">
        <v>1</v>
      </c>
      <c r="J130" s="5" t="n">
        <v>1</v>
      </c>
      <c r="W130" s="5" t="n">
        <v>5000</v>
      </c>
    </row>
    <row r="131">
      <c r="A131" t="inlineStr">
        <is>
          <t>starcraft</t>
        </is>
      </c>
      <c r="B131" t="inlineStr">
        <is>
          <t>terran_upgrade_infantryweaponslevel1</t>
        </is>
      </c>
      <c r="C131" t="inlineStr">
        <is>
          <t>Infantry Weapons Level 1</t>
        </is>
      </c>
      <c r="D131" t="inlineStr"/>
      <c r="E131" s="5" t="n"/>
      <c r="F131" s="5" t="n"/>
      <c r="H131" s="5" t="n">
        <v>1</v>
      </c>
      <c r="I131" s="5" t="n">
        <v>1</v>
      </c>
      <c r="J131" s="5" t="n">
        <v>1</v>
      </c>
      <c r="W131" s="5" t="n">
        <v>2500</v>
      </c>
    </row>
    <row r="132">
      <c r="A132" t="inlineStr">
        <is>
          <t>starcraft</t>
        </is>
      </c>
      <c r="B132" t="inlineStr">
        <is>
          <t>terran_upgrade_infantryweaponslevel2</t>
        </is>
      </c>
      <c r="C132" t="inlineStr">
        <is>
          <t>Infantry Weapons Level 2</t>
        </is>
      </c>
      <c r="D132" t="inlineStr"/>
      <c r="E132" s="5" t="n"/>
      <c r="F132" s="5" t="n"/>
      <c r="H132" s="5" t="n">
        <v>1</v>
      </c>
      <c r="I132" s="5" t="n">
        <v>1</v>
      </c>
      <c r="J132" s="5" t="n">
        <v>1</v>
      </c>
      <c r="W132" s="5" t="n">
        <v>5000</v>
      </c>
    </row>
    <row r="133">
      <c r="A133" t="inlineStr">
        <is>
          <t>starcraft</t>
        </is>
      </c>
      <c r="B133" t="inlineStr">
        <is>
          <t>terran_upgrade_shipplatinglevel1</t>
        </is>
      </c>
      <c r="C133" t="inlineStr">
        <is>
          <t>Ship Plating Level 1</t>
        </is>
      </c>
      <c r="D133" t="inlineStr"/>
      <c r="E133" s="5" t="n"/>
      <c r="F133" s="5" t="n"/>
      <c r="H133" s="5" t="n">
        <v>1</v>
      </c>
      <c r="I133" s="5" t="n">
        <v>1</v>
      </c>
      <c r="J133" s="5" t="n">
        <v>1</v>
      </c>
      <c r="W133" s="5" t="n">
        <v>2500</v>
      </c>
    </row>
    <row r="134">
      <c r="A134" t="inlineStr">
        <is>
          <t>starcraft</t>
        </is>
      </c>
      <c r="B134" t="inlineStr">
        <is>
          <t>terran_upgrade_shipplatinglevel2</t>
        </is>
      </c>
      <c r="C134" t="inlineStr">
        <is>
          <t>Ship Plating Level 2</t>
        </is>
      </c>
      <c r="D134" t="inlineStr"/>
      <c r="E134" s="5" t="n"/>
      <c r="F134" s="5" t="n"/>
      <c r="H134" s="5" t="n">
        <v>1</v>
      </c>
      <c r="I134" s="5" t="n">
        <v>1</v>
      </c>
      <c r="J134" s="5" t="n">
        <v>1</v>
      </c>
      <c r="W134" s="5" t="n">
        <v>5000</v>
      </c>
    </row>
    <row r="135">
      <c r="A135" t="inlineStr">
        <is>
          <t>starcraft</t>
        </is>
      </c>
      <c r="B135" t="inlineStr">
        <is>
          <t>terran_upgrade_shipweaponslevel1</t>
        </is>
      </c>
      <c r="C135" t="inlineStr">
        <is>
          <t>Ship Weapons Level 1</t>
        </is>
      </c>
      <c r="D135" t="inlineStr"/>
      <c r="E135" s="5" t="n"/>
      <c r="F135" s="5" t="n"/>
      <c r="H135" s="5" t="n">
        <v>1</v>
      </c>
      <c r="I135" s="5" t="n">
        <v>1</v>
      </c>
      <c r="J135" s="5" t="n">
        <v>1</v>
      </c>
      <c r="W135" s="5" t="n">
        <v>2500</v>
      </c>
    </row>
    <row r="136">
      <c r="A136" t="inlineStr">
        <is>
          <t>starcraft</t>
        </is>
      </c>
      <c r="B136" t="inlineStr">
        <is>
          <t>terran_upgrade_shipweaponslevel2</t>
        </is>
      </c>
      <c r="C136" t="inlineStr">
        <is>
          <t>Ship Weapons Level 2</t>
        </is>
      </c>
      <c r="D136" t="inlineStr"/>
      <c r="E136" s="5" t="n"/>
      <c r="F136" s="5" t="n"/>
      <c r="H136" s="5" t="n">
        <v>1</v>
      </c>
      <c r="I136" s="5" t="n">
        <v>1</v>
      </c>
      <c r="J136" s="5" t="n">
        <v>1</v>
      </c>
      <c r="W136" s="5" t="n">
        <v>5000</v>
      </c>
    </row>
    <row r="137">
      <c r="A137" t="inlineStr">
        <is>
          <t>starcraft</t>
        </is>
      </c>
      <c r="B137" t="inlineStr">
        <is>
          <t>terran_upgrade_stimpack</t>
        </is>
      </c>
      <c r="C137" t="inlineStr">
        <is>
          <t>Stim Pack</t>
        </is>
      </c>
      <c r="D137" t="inlineStr"/>
      <c r="E137" s="5" t="n"/>
      <c r="F137" s="5" t="n"/>
      <c r="H137" s="5" t="n">
        <v>1</v>
      </c>
      <c r="I137" s="5" t="n">
        <v>1</v>
      </c>
      <c r="J137" s="5" t="n">
        <v>1</v>
      </c>
      <c r="W137" s="5" t="n">
        <v>2500</v>
      </c>
    </row>
    <row r="138">
      <c r="A138" t="inlineStr">
        <is>
          <t>starcraft</t>
        </is>
      </c>
      <c r="B138" t="inlineStr">
        <is>
          <t>terran_upgrade_u238shells</t>
        </is>
      </c>
      <c r="C138" t="inlineStr">
        <is>
          <t>U-238 Shells</t>
        </is>
      </c>
      <c r="D138" t="inlineStr"/>
      <c r="E138" s="5" t="n"/>
      <c r="F138" s="5" t="n"/>
      <c r="H138" s="5" t="n">
        <v>1</v>
      </c>
      <c r="I138" s="5" t="n">
        <v>1</v>
      </c>
      <c r="J138" s="5" t="n">
        <v>1</v>
      </c>
      <c r="W138" s="5" t="n">
        <v>2500</v>
      </c>
    </row>
    <row r="139">
      <c r="A139" t="inlineStr">
        <is>
          <t>starcraft</t>
        </is>
      </c>
      <c r="B139" t="inlineStr">
        <is>
          <t>terran_upgrade_upgradesupplydepotlevel1</t>
        </is>
      </c>
      <c r="C139" t="inlineStr">
        <is>
          <t>Upgrade Supply Depot Level 1</t>
        </is>
      </c>
      <c r="D139" t="inlineStr"/>
      <c r="E139" s="5" t="n"/>
      <c r="F139" s="5" t="n"/>
      <c r="H139" s="5" t="n">
        <v>1</v>
      </c>
      <c r="I139" s="5" t="n">
        <v>1</v>
      </c>
      <c r="J139" s="5" t="n">
        <v>1</v>
      </c>
      <c r="W139" s="5" t="n">
        <v>2500</v>
      </c>
    </row>
    <row r="140">
      <c r="A140" t="inlineStr">
        <is>
          <t>starcraft</t>
        </is>
      </c>
      <c r="B140" t="inlineStr">
        <is>
          <t>terran_upgrade_upgradesupplydepotlevel2</t>
        </is>
      </c>
      <c r="C140" t="inlineStr">
        <is>
          <t>Upgrade Supply Depot Level 2</t>
        </is>
      </c>
      <c r="D140" t="inlineStr"/>
      <c r="E140" s="5" t="n"/>
      <c r="F140" s="5" t="n"/>
      <c r="H140" s="5" t="n">
        <v>1</v>
      </c>
      <c r="I140" s="5" t="n">
        <v>1</v>
      </c>
      <c r="J140" s="5" t="n">
        <v>1</v>
      </c>
      <c r="W140" s="5" t="n">
        <v>5000</v>
      </c>
    </row>
    <row r="141">
      <c r="A141" t="inlineStr">
        <is>
          <t>starcraft</t>
        </is>
      </c>
      <c r="B141" t="inlineStr">
        <is>
          <t>terran_upgrade_vehicleplatinglevel1</t>
        </is>
      </c>
      <c r="C141" t="inlineStr">
        <is>
          <t>Vehicle Plating Level 1</t>
        </is>
      </c>
      <c r="D141" t="inlineStr"/>
      <c r="E141" s="5" t="n"/>
      <c r="F141" s="5" t="n"/>
      <c r="H141" s="5" t="n">
        <v>1</v>
      </c>
      <c r="I141" s="5" t="n">
        <v>1</v>
      </c>
      <c r="J141" s="5" t="n">
        <v>1</v>
      </c>
      <c r="W141" s="5" t="n">
        <v>2500</v>
      </c>
    </row>
    <row r="142">
      <c r="A142" t="inlineStr">
        <is>
          <t>starcraft</t>
        </is>
      </c>
      <c r="B142" t="inlineStr">
        <is>
          <t>terran_upgrade_vehicleplatinglevel2</t>
        </is>
      </c>
      <c r="C142" t="inlineStr">
        <is>
          <t>Vehicle Plating Level 2</t>
        </is>
      </c>
      <c r="D142" t="inlineStr"/>
      <c r="E142" s="5" t="n"/>
      <c r="F142" s="5" t="n"/>
      <c r="H142" s="5" t="n">
        <v>1</v>
      </c>
      <c r="I142" s="5" t="n">
        <v>1</v>
      </c>
      <c r="J142" s="5" t="n">
        <v>1</v>
      </c>
      <c r="W142" s="5" t="n">
        <v>5000</v>
      </c>
    </row>
    <row r="143">
      <c r="A143" t="inlineStr">
        <is>
          <t>starcraft</t>
        </is>
      </c>
      <c r="B143" t="inlineStr">
        <is>
          <t>terran_upgrade_vehicleweaponslevel1</t>
        </is>
      </c>
      <c r="C143" t="inlineStr">
        <is>
          <t>Vehicle Weapons Level 1</t>
        </is>
      </c>
      <c r="D143" t="inlineStr"/>
      <c r="E143" s="5" t="n"/>
      <c r="F143" s="5" t="n"/>
      <c r="H143" s="5" t="n">
        <v>1</v>
      </c>
      <c r="I143" s="5" t="n">
        <v>1</v>
      </c>
      <c r="J143" s="5" t="n">
        <v>1</v>
      </c>
      <c r="W143" s="5" t="n">
        <v>2500</v>
      </c>
    </row>
    <row r="144">
      <c r="A144" t="inlineStr">
        <is>
          <t>starcraft</t>
        </is>
      </c>
      <c r="B144" t="inlineStr">
        <is>
          <t>terran_upgrade_vehicleweaponslevel2</t>
        </is>
      </c>
      <c r="C144" t="inlineStr">
        <is>
          <t>Vehicle Weapons Level 2</t>
        </is>
      </c>
      <c r="D144" t="inlineStr"/>
      <c r="E144" s="5" t="n"/>
      <c r="F144" s="5" t="n"/>
      <c r="H144" s="5" t="n">
        <v>1</v>
      </c>
      <c r="I144" s="5" t="n">
        <v>1</v>
      </c>
      <c r="J144" s="5" t="n">
        <v>1</v>
      </c>
      <c r="W144" s="5" t="n">
        <v>5000</v>
      </c>
    </row>
    <row r="145">
      <c r="A145" t="inlineStr">
        <is>
          <t>starcraft</t>
        </is>
      </c>
      <c r="B145" t="inlineStr">
        <is>
          <t>terran_upgrade_yamatocannonandtacticaljumpupgrade</t>
        </is>
      </c>
      <c r="C145" t="inlineStr">
        <is>
          <t>Yamato Cannon and Tactical Jump Upgrade</t>
        </is>
      </c>
      <c r="D145" t="inlineStr"/>
      <c r="E145" s="5" t="n"/>
      <c r="F145" s="5" t="n"/>
      <c r="H145" s="5" t="n">
        <v>1</v>
      </c>
      <c r="I145" s="5" t="n">
        <v>1</v>
      </c>
      <c r="J145" s="5" t="n">
        <v>1</v>
      </c>
      <c r="W145" s="5" t="n">
        <v>2500</v>
      </c>
    </row>
    <row r="146">
      <c r="A146" s="3" t="inlineStr">
        <is>
          <t>PROMOTIONS</t>
        </is>
      </c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</row>
    <row r="147">
      <c r="A147" t="inlineStr">
        <is>
          <t>starcraft</t>
        </is>
      </c>
      <c r="B147" t="inlineStr">
        <is>
          <t>terran_promotion_unlockcyclone</t>
        </is>
      </c>
      <c r="C147" t="inlineStr">
        <is>
          <t>Unlock Cyclone</t>
        </is>
      </c>
      <c r="D147" t="inlineStr"/>
      <c r="E147" s="5" t="n"/>
      <c r="F147" s="5" t="n"/>
      <c r="H147" s="5" t="n">
        <v>1</v>
      </c>
      <c r="I147" s="5" t="n">
        <v>1</v>
      </c>
      <c r="J147" s="5" t="n">
        <v>1</v>
      </c>
      <c r="W147" s="5" t="n"/>
    </row>
    <row r="148">
      <c r="A148" t="inlineStr">
        <is>
          <t>starcraft</t>
        </is>
      </c>
      <c r="B148" t="inlineStr">
        <is>
          <t>terran_promotion_unlockgoliathmk2</t>
        </is>
      </c>
      <c r="C148" t="inlineStr">
        <is>
          <t>Unlock Goliath Mk2</t>
        </is>
      </c>
      <c r="D148" t="inlineStr"/>
      <c r="E148" s="5" t="n"/>
      <c r="F148" s="5" t="n"/>
      <c r="H148" s="5" t="n">
        <v>1</v>
      </c>
      <c r="I148" s="5" t="n">
        <v>1</v>
      </c>
      <c r="J148" s="5" t="n">
        <v>1</v>
      </c>
      <c r="W148" s="5" t="n"/>
    </row>
    <row r="149">
      <c r="A149" t="inlineStr">
        <is>
          <t>starcraft</t>
        </is>
      </c>
      <c r="B149" t="inlineStr">
        <is>
          <t>terran_promotion_unlockharakan</t>
        </is>
      </c>
      <c r="C149" t="inlineStr">
        <is>
          <t>Unlock Harakan</t>
        </is>
      </c>
      <c r="D149" t="inlineStr"/>
      <c r="E149" s="5" t="n"/>
      <c r="F149" s="5" t="n"/>
      <c r="H149" s="5" t="n">
        <v>1</v>
      </c>
      <c r="I149" s="5" t="n">
        <v>1</v>
      </c>
      <c r="J149" s="5" t="n">
        <v>1</v>
      </c>
      <c r="W149" s="5" t="n"/>
    </row>
    <row r="150">
      <c r="A150" t="inlineStr">
        <is>
          <t>starcraft</t>
        </is>
      </c>
      <c r="B150" t="inlineStr">
        <is>
          <t>terran_promotion_unlockmadcap</t>
        </is>
      </c>
      <c r="C150" t="inlineStr">
        <is>
          <t>Unlock Madcap</t>
        </is>
      </c>
      <c r="D150" t="inlineStr"/>
      <c r="E150" s="5" t="n"/>
      <c r="F150" s="5" t="n"/>
      <c r="H150" s="5" t="n">
        <v>1</v>
      </c>
      <c r="I150" s="5" t="n">
        <v>1</v>
      </c>
      <c r="J150" s="5" t="n">
        <v>1</v>
      </c>
      <c r="W150" s="5" t="n"/>
    </row>
    <row r="151">
      <c r="A151" t="inlineStr">
        <is>
          <t>starcraft</t>
        </is>
      </c>
      <c r="B151" t="inlineStr">
        <is>
          <t>terran_promotion_unlockmatador</t>
        </is>
      </c>
      <c r="C151" t="inlineStr">
        <is>
          <t>Unlock Matador</t>
        </is>
      </c>
      <c r="D151" t="inlineStr"/>
      <c r="E151" s="5" t="n"/>
      <c r="F151" s="5" t="n"/>
      <c r="H151" s="5" t="n">
        <v>1</v>
      </c>
      <c r="I151" s="5" t="n">
        <v>1</v>
      </c>
      <c r="J151" s="5" t="n">
        <v>1</v>
      </c>
      <c r="W151" s="5" t="n"/>
    </row>
    <row r="152">
      <c r="A152" t="inlineStr">
        <is>
          <t>starcraft</t>
        </is>
      </c>
      <c r="B152" t="inlineStr">
        <is>
          <t>terran_promotion_unlockphobos</t>
        </is>
      </c>
      <c r="C152" t="inlineStr">
        <is>
          <t>Unlock Phobos</t>
        </is>
      </c>
      <c r="D152" t="inlineStr"/>
      <c r="E152" s="5" t="n"/>
      <c r="F152" s="5" t="n"/>
      <c r="H152" s="5" t="n">
        <v>1</v>
      </c>
      <c r="I152" s="5" t="n">
        <v>1</v>
      </c>
      <c r="J152" s="5" t="n">
        <v>1</v>
      </c>
      <c r="W152" s="5" t="n"/>
    </row>
    <row r="153">
      <c r="A153" t="inlineStr">
        <is>
          <t>starcraft</t>
        </is>
      </c>
      <c r="B153" t="inlineStr">
        <is>
          <t>terran_promotion_unlockpythean</t>
        </is>
      </c>
      <c r="C153" t="inlineStr">
        <is>
          <t>Unlock Pythean</t>
        </is>
      </c>
      <c r="D153" t="inlineStr"/>
      <c r="E153" s="5" t="n"/>
      <c r="F153" s="5" t="n"/>
      <c r="H153" s="5" t="n">
        <v>1</v>
      </c>
      <c r="I153" s="5" t="n">
        <v>1</v>
      </c>
      <c r="J153" s="5" t="n">
        <v>1</v>
      </c>
      <c r="W153" s="5" t="n"/>
    </row>
    <row r="154">
      <c r="A154" t="inlineStr">
        <is>
          <t>starcraft</t>
        </is>
      </c>
      <c r="B154" t="inlineStr">
        <is>
          <t>terran_promotion_unlockraven</t>
        </is>
      </c>
      <c r="C154" t="inlineStr">
        <is>
          <t>Unlock Raven</t>
        </is>
      </c>
      <c r="D154" t="inlineStr"/>
      <c r="E154" s="5" t="n"/>
      <c r="F154" s="5" t="n"/>
      <c r="H154" s="5" t="n">
        <v>1</v>
      </c>
      <c r="I154" s="5" t="n">
        <v>1</v>
      </c>
      <c r="J154" s="5" t="n">
        <v>1</v>
      </c>
      <c r="W154" s="5" t="n"/>
    </row>
    <row r="155">
      <c r="A155" t="inlineStr">
        <is>
          <t>starcraft</t>
        </is>
      </c>
      <c r="B155" t="inlineStr">
        <is>
          <t>terran_promotion_unlockspectreandmedivac</t>
        </is>
      </c>
      <c r="C155" t="inlineStr">
        <is>
          <t>Unlock Spectre and Medivac</t>
        </is>
      </c>
      <c r="D155" t="inlineStr"/>
      <c r="E155" s="5" t="n"/>
      <c r="F155" s="5" t="n"/>
      <c r="H155" s="5" t="n">
        <v>1</v>
      </c>
      <c r="I155" s="5" t="n">
        <v>1</v>
      </c>
      <c r="J155" s="5" t="n">
        <v>1</v>
      </c>
      <c r="W155" s="5" t="n"/>
    </row>
    <row r="156">
      <c r="A156" t="inlineStr">
        <is>
          <t>starcraft</t>
        </is>
      </c>
      <c r="B156" t="inlineStr">
        <is>
          <t>terran_promotion_unlocksundog</t>
        </is>
      </c>
      <c r="C156" t="inlineStr">
        <is>
          <t>Unlock Sundog</t>
        </is>
      </c>
      <c r="D156" t="inlineStr"/>
      <c r="E156" s="5" t="n"/>
      <c r="F156" s="5" t="n"/>
      <c r="H156" s="5" t="n">
        <v>1</v>
      </c>
      <c r="I156" s="5" t="n">
        <v>1</v>
      </c>
      <c r="J156" s="5" t="n">
        <v>1</v>
      </c>
      <c r="W156" s="5" t="n"/>
    </row>
    <row r="157">
      <c r="A157" t="inlineStr">
        <is>
          <t>starcraft</t>
        </is>
      </c>
      <c r="B157" t="inlineStr">
        <is>
          <t>terran_promotion_unlockwarhound</t>
        </is>
      </c>
      <c r="C157" t="inlineStr">
        <is>
          <t>Unlock Warhound</t>
        </is>
      </c>
      <c r="D157" t="inlineStr"/>
      <c r="E157" s="5" t="n"/>
      <c r="F157" s="5" t="n"/>
      <c r="H157" s="5" t="n">
        <v>1</v>
      </c>
      <c r="I157" s="5" t="n">
        <v>1</v>
      </c>
      <c r="J157" s="5" t="n">
        <v>1</v>
      </c>
      <c r="W157" s="5" t="n"/>
    </row>
    <row r="158">
      <c r="A158" t="inlineStr">
        <is>
          <t>starcraft</t>
        </is>
      </c>
      <c r="B158" t="inlineStr">
        <is>
          <t>terran_promotion_unlockwyvern</t>
        </is>
      </c>
      <c r="C158" t="inlineStr">
        <is>
          <t>Unlock Wyvern</t>
        </is>
      </c>
      <c r="D158" t="inlineStr"/>
      <c r="E158" s="5" t="n"/>
      <c r="F158" s="5" t="n"/>
      <c r="H158" s="5" t="n">
        <v>1</v>
      </c>
      <c r="I158" s="5" t="n">
        <v>1</v>
      </c>
      <c r="J158" s="5" t="n">
        <v>1</v>
      </c>
      <c r="W158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159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2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starcraft</t>
        </is>
      </c>
      <c r="B3" t="inlineStr">
        <is>
          <t>zerg_defiler</t>
        </is>
      </c>
      <c r="C3" t="inlineStr">
        <is>
          <t>Defiler</t>
        </is>
      </c>
      <c r="D3" t="inlineStr"/>
      <c r="E3" s="5" t="n">
        <v>80000</v>
      </c>
      <c r="F3" s="5" t="n">
        <v>50</v>
      </c>
      <c r="G3" t="inlineStr">
        <is>
          <t>None</t>
        </is>
      </c>
      <c r="H3" s="5" t="n">
        <v>1</v>
      </c>
      <c r="I3" s="5" t="n">
        <v>1</v>
      </c>
      <c r="J3" s="5" t="n">
        <v>1.25</v>
      </c>
      <c r="O3">
        <f>MAX(O4)</f>
        <v/>
      </c>
      <c r="R3">
        <f>R4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1400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DefilerPlague</t>
        </is>
      </c>
      <c r="C4" s="6" t="inlineStr">
        <is>
          <t>Armament</t>
        </is>
      </c>
      <c r="K4" s="5" t="n">
        <v>30000</v>
      </c>
      <c r="L4" s="5" t="n">
        <v>175</v>
      </c>
      <c r="M4" s="5" t="n">
        <v>1</v>
      </c>
      <c r="N4" s="5" t="n"/>
      <c r="O4" s="5" t="n">
        <v>9000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^HeavyChemicalWeapon</t>
        </is>
      </c>
    </row>
    <row r="5">
      <c r="A5" t="inlineStr">
        <is>
          <t>starcraft</t>
        </is>
      </c>
      <c r="B5" t="inlineStr">
        <is>
          <t>zerg_hydralisk</t>
        </is>
      </c>
      <c r="C5" t="inlineStr">
        <is>
          <t>Hydralisk</t>
        </is>
      </c>
      <c r="D5" t="inlineStr"/>
      <c r="E5" s="5" t="n">
        <v>80000</v>
      </c>
      <c r="F5" s="5" t="n">
        <v>75</v>
      </c>
      <c r="G5" t="inlineStr">
        <is>
          <t>Flak</t>
        </is>
      </c>
      <c r="H5" s="5" t="n">
        <v>1</v>
      </c>
      <c r="I5" s="5" t="n">
        <v>0.5</v>
      </c>
      <c r="J5" s="5" t="n">
        <v>1</v>
      </c>
      <c r="O5">
        <f>MAX(O6)</f>
        <v/>
      </c>
      <c r="R5">
        <f>R6</f>
        <v/>
      </c>
      <c r="S5">
        <f>(E5/100000+F5/100+(O5/1000)*J5/5+R5/200)*200*I5*H5</f>
        <v/>
      </c>
      <c r="T5">
        <f>((E5*F5/25000)+((O5/1000)*J5*R5/2.5))*I5*H5</f>
        <v/>
      </c>
      <c r="U5">
        <f>(E5*F5*(O5/1000)*J5*R5*I5*H5)/12500000</f>
        <v/>
      </c>
      <c r="V5">
        <f>(S5+T5+U5)/3</f>
        <v/>
      </c>
      <c r="W5" s="5" t="n">
        <v>500</v>
      </c>
      <c r="X5">
        <f>IFERROR(V5-W5,"")</f>
        <v/>
      </c>
      <c r="Y5">
        <f>IFERROR(ABS(X5)/MAX(W5,1),"")</f>
        <v/>
      </c>
      <c r="Z5">
        <f>IFERROR((W5-(((E5/100000+F5/100+R5/200)*200*I5*H5)+((E5*F5/25000)*I5*H5))/3)/(((J5/5)*200*I5*H5)+((J5*R5/2.5)*I5*H5)+((E5*F5*J5*R5*I5*H5)/12500000))/3*1000,"")</f>
        <v/>
      </c>
    </row>
    <row r="6">
      <c r="B6" s="6" t="inlineStr">
        <is>
          <t xml:space="preserve">  ↳ HydraSpit</t>
        </is>
      </c>
      <c r="C6" s="6" t="inlineStr">
        <is>
          <t>Armament@PRIMARY</t>
        </is>
      </c>
      <c r="K6" s="5" t="n">
        <v>2000</v>
      </c>
      <c r="L6" s="5" t="n">
        <v>15</v>
      </c>
      <c r="M6" s="5" t="n">
        <v>1</v>
      </c>
      <c r="N6" s="5" t="n"/>
      <c r="O6" s="5" t="n">
        <v>5230</v>
      </c>
      <c r="P6" s="5" t="n">
        <v>1</v>
      </c>
      <c r="Q6">
        <f>L6+IF(M6&gt;1,N(N6)*(M6-1),0)</f>
        <v/>
      </c>
      <c r="R6">
        <f>IFERROR(K6*MAX(M6,1)/Q6*P6,0)</f>
        <v/>
      </c>
      <c r="AA6" s="6" t="inlineStr">
        <is>
          <t>^LightChemicalWeapon, ^LightMissile, ^SmallArms, ^ArrowWeapon</t>
        </is>
      </c>
    </row>
    <row r="7">
      <c r="B7" s="6" t="inlineStr">
        <is>
          <t xml:space="preserve">  ↳ HydraSpit</t>
        </is>
      </c>
      <c r="C7" s="6" t="inlineStr">
        <is>
          <t>Armament@GARRISONED</t>
        </is>
      </c>
      <c r="K7" s="5" t="n">
        <v>2000</v>
      </c>
      <c r="L7" s="5" t="n">
        <v>15</v>
      </c>
      <c r="M7" s="5" t="n">
        <v>1</v>
      </c>
      <c r="N7" s="5" t="n"/>
      <c r="O7" s="5" t="n">
        <v>5230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^LightChemicalWeapon, ^LightMissile, ^SmallArms, ^ArrowWeapon</t>
        </is>
      </c>
    </row>
    <row r="8">
      <c r="A8" t="inlineStr">
        <is>
          <t>starcraft</t>
        </is>
      </c>
      <c r="B8" t="inlineStr">
        <is>
          <t>zerg_infestedterranbomber</t>
        </is>
      </c>
      <c r="C8" t="inlineStr">
        <is>
          <t>Infested Terran Bomber</t>
        </is>
      </c>
      <c r="D8" t="inlineStr"/>
      <c r="E8" s="5" t="n">
        <v>60000</v>
      </c>
      <c r="F8" s="5" t="n">
        <v>90</v>
      </c>
      <c r="G8" t="inlineStr">
        <is>
          <t>Plate</t>
        </is>
      </c>
      <c r="H8" s="5" t="n">
        <v>1</v>
      </c>
      <c r="I8" s="5" t="n">
        <v>1</v>
      </c>
      <c r="J8" s="5" t="n">
        <v>1</v>
      </c>
      <c r="O8">
        <f>MAX(O9)</f>
        <v/>
      </c>
      <c r="R8">
        <f>R9</f>
        <v/>
      </c>
      <c r="S8">
        <f>(E8/100000+F8/100+(O8/1000)*J8/5+R8/200)*200*I8*H8</f>
        <v/>
      </c>
      <c r="T8">
        <f>((E8*F8/25000)+((O8/1000)*J8*R8/2.5))*I8*H8</f>
        <v/>
      </c>
      <c r="U8">
        <f>(E8*F8*(O8/1000)*J8*R8*I8*H8)/12500000</f>
        <v/>
      </c>
      <c r="V8">
        <f>(S8+T8+U8)/3</f>
        <v/>
      </c>
      <c r="W8" s="5" t="n">
        <v>400</v>
      </c>
      <c r="X8">
        <f>IFERROR(V8-W8,"")</f>
        <v/>
      </c>
      <c r="Y8">
        <f>IFERROR(ABS(X8)/MAX(W8,1),"")</f>
        <v/>
      </c>
      <c r="Z8">
        <f>IFERROR((W8-(((E8/100000+F8/100+R8/200)*200*I8*H8)+((E8*F8/25000)*I8*H8))/3)/(((J8/5)*200*I8*H8)+((J8*R8/2.5)*I8*H8)+((E8*F8*J8*R8*I8*H8)/12500000))/3*1000,"")</f>
        <v/>
      </c>
    </row>
    <row r="9">
      <c r="B9" s="6" t="inlineStr">
        <is>
          <t xml:space="preserve">  ↳ DemoTruckTargeting</t>
        </is>
      </c>
      <c r="C9" s="6" t="inlineStr">
        <is>
          <t>Armament@PRIMARY</t>
        </is>
      </c>
      <c r="K9" s="5" t="n"/>
      <c r="L9" s="5" t="n"/>
      <c r="M9" s="5" t="n">
        <v>1</v>
      </c>
      <c r="N9" s="5" t="n"/>
      <c r="O9" s="5" t="n">
        <v>2000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/>
    </row>
    <row r="10">
      <c r="A10" t="inlineStr">
        <is>
          <t>starcraft</t>
        </is>
      </c>
      <c r="B10" t="inlineStr">
        <is>
          <t>zerg_kerrigan</t>
        </is>
      </c>
      <c r="C10" t="inlineStr">
        <is>
          <t>Kerrigan</t>
        </is>
      </c>
      <c r="D10" t="inlineStr"/>
      <c r="E10" s="5" t="n">
        <v>300000</v>
      </c>
      <c r="F10" s="5" t="n">
        <v>75</v>
      </c>
      <c r="G10" t="inlineStr">
        <is>
          <t>Heroic</t>
        </is>
      </c>
      <c r="H10" s="5" t="n">
        <v>0.75</v>
      </c>
      <c r="I10" s="5" t="n">
        <v>1</v>
      </c>
      <c r="J10" s="5" t="n">
        <v>1.25</v>
      </c>
      <c r="O10">
        <f>MAX(O11)</f>
        <v/>
      </c>
      <c r="R10">
        <f>R11</f>
        <v/>
      </c>
      <c r="S10">
        <f>(E10/100000+F10/100+(O10/1000)*J10/5+R10/200)*200*I10*H10</f>
        <v/>
      </c>
      <c r="T10">
        <f>((E10*F10/25000)+((O10/1000)*J10*R10/2.5))*I10*H10</f>
        <v/>
      </c>
      <c r="U10">
        <f>(E10*F10*(O10/1000)*J10*R10*I10*H10)/12500000</f>
        <v/>
      </c>
      <c r="V10">
        <f>(S10+T10+U10)/3</f>
        <v/>
      </c>
      <c r="W10" s="5" t="n">
        <v>4000</v>
      </c>
      <c r="X10">
        <f>IFERROR(V10-W10,"")</f>
        <v/>
      </c>
      <c r="Y10">
        <f>IFERROR(ABS(X10)/MAX(W10,1),"")</f>
        <v/>
      </c>
      <c r="Z10">
        <f>IFERROR((W10-(((E10/100000+F10/100+R10/200)*200*I10*H10)+((E10*F10/25000)*I10*H10))/3)/(((J10/5)*200*I10*H10)+((J10*R10/2.5)*I10*H10)+((E10*F10*J10*R10*I10*H10)/12500000))/3*1000,"")</f>
        <v/>
      </c>
    </row>
    <row r="11">
      <c r="B11" s="6" t="inlineStr">
        <is>
          <t xml:space="preserve">  ↳ zerg_kerrigan</t>
        </is>
      </c>
      <c r="C11" s="6" t="inlineStr">
        <is>
          <t>Armament</t>
        </is>
      </c>
      <c r="K11" s="5" t="n">
        <v>40000</v>
      </c>
      <c r="L11" s="5" t="n">
        <v>20</v>
      </c>
      <c r="M11" s="5" t="n">
        <v>1</v>
      </c>
      <c r="N11" s="5" t="n"/>
      <c r="O11" s="5" t="n">
        <v>2225</v>
      </c>
      <c r="P11" s="5" t="n">
        <v>1</v>
      </c>
      <c r="Q11">
        <f>L11+IF(M11&gt;1,N(N11)*(M11-1),0)</f>
        <v/>
      </c>
      <c r="R11">
        <f>IFERROR(K11*MAX(M11,1)/Q11*P11,0)</f>
        <v/>
      </c>
      <c r="AA11" s="6" t="inlineStr">
        <is>
          <t>^SwordWeapon</t>
        </is>
      </c>
    </row>
    <row r="12">
      <c r="A12" t="inlineStr">
        <is>
          <t>starcraft</t>
        </is>
      </c>
      <c r="B12" t="inlineStr">
        <is>
          <t>zerg_shriek</t>
        </is>
      </c>
      <c r="C12" t="inlineStr">
        <is>
          <t>Shriek</t>
        </is>
      </c>
      <c r="D12" t="inlineStr"/>
      <c r="E12" s="5" t="n">
        <v>14000</v>
      </c>
      <c r="F12" s="5" t="n">
        <v>195</v>
      </c>
      <c r="G12" t="inlineStr">
        <is>
          <t>Scout</t>
        </is>
      </c>
      <c r="H12" s="5" t="n">
        <v>1</v>
      </c>
      <c r="I12" s="5" t="n">
        <v>1</v>
      </c>
      <c r="J12" s="5" t="n">
        <v>2</v>
      </c>
      <c r="O12">
        <f>MAX(O13)</f>
        <v/>
      </c>
      <c r="R12">
        <f>R13</f>
        <v/>
      </c>
      <c r="S12">
        <f>(E12/100000+F12/100+(O12/1000)*J12/5+R12/200)*200*I12*H12</f>
        <v/>
      </c>
      <c r="T12">
        <f>((E12*F12/25000)+((O12/1000)*J12*R12/2.5))*I12*H12</f>
        <v/>
      </c>
      <c r="U12">
        <f>(E12*F12*(O12/1000)*J12*R12*I12*H12)/12500000</f>
        <v/>
      </c>
      <c r="V12">
        <f>(S12+T12+U12)/3</f>
        <v/>
      </c>
      <c r="W12" s="5" t="n">
        <v>500</v>
      </c>
      <c r="X12">
        <f>IFERROR(V12-W12,"")</f>
        <v/>
      </c>
      <c r="Y12">
        <f>IFERROR(ABS(X12)/MAX(W12,1),"")</f>
        <v/>
      </c>
      <c r="Z12">
        <f>IFERROR((W12-(((E12/100000+F12/100+R12/200)*200*I12*H12)+((E12*F12/25000)*I12*H12))/3)/(((J12/5)*200*I12*H12)+((J12*R12/2.5)*I12*H12)+((E12*F12*J12*R12*I12*H12)/12500000))/3*1000,"")</f>
        <v/>
      </c>
    </row>
    <row r="13">
      <c r="B13" s="6" t="inlineStr">
        <is>
          <t xml:space="preserve">  ↳ ShriekStinger</t>
        </is>
      </c>
      <c r="C13" s="6" t="inlineStr">
        <is>
          <t>Armament</t>
        </is>
      </c>
      <c r="K13" s="5" t="n">
        <v>4000</v>
      </c>
      <c r="L13" s="5" t="n">
        <v>11</v>
      </c>
      <c r="M13" s="5" t="n">
        <v>1</v>
      </c>
      <c r="N13" s="5" t="n"/>
      <c r="O13" s="5" t="n">
        <v>1150</v>
      </c>
      <c r="P13" s="5" t="n">
        <v>1</v>
      </c>
      <c r="Q13">
        <f>L13+IF(M13&gt;1,N(N13)*(M13-1),0)</f>
        <v/>
      </c>
      <c r="R13">
        <f>IFERROR(K13*MAX(M13,1)/Q13*P13,0)</f>
        <v/>
      </c>
      <c r="AA13" s="6" t="inlineStr">
        <is>
          <t>^SwordWeapon</t>
        </is>
      </c>
    </row>
    <row r="14">
      <c r="A14" t="inlineStr">
        <is>
          <t>starcraft</t>
        </is>
      </c>
      <c r="B14" t="inlineStr">
        <is>
          <t>zerg_spithid</t>
        </is>
      </c>
      <c r="C14" t="inlineStr">
        <is>
          <t>Spithid</t>
        </is>
      </c>
      <c r="D14" t="inlineStr"/>
      <c r="E14" s="5" t="n">
        <v>40000</v>
      </c>
      <c r="F14" s="5" t="n">
        <v>110</v>
      </c>
      <c r="G14" t="inlineStr">
        <is>
          <t>None</t>
        </is>
      </c>
      <c r="H14" s="5" t="n">
        <v>1</v>
      </c>
      <c r="I14" s="5" t="n">
        <v>0.5</v>
      </c>
      <c r="J14" s="5" t="n">
        <v>1</v>
      </c>
      <c r="O14">
        <f>MAX(O15)</f>
        <v/>
      </c>
      <c r="R14">
        <f>R15</f>
        <v/>
      </c>
      <c r="S14">
        <f>(E14/100000+F14/100+(O14/1000)*J14/5+R14/200)*200*I14*H14</f>
        <v/>
      </c>
      <c r="T14">
        <f>((E14*F14/25000)+((O14/1000)*J14*R14/2.5))*I14*H14</f>
        <v/>
      </c>
      <c r="U14">
        <f>(E14*F14*(O14/1000)*J14*R14*I14*H14)/12500000</f>
        <v/>
      </c>
      <c r="V14">
        <f>(S14+T14+U14)/3</f>
        <v/>
      </c>
      <c r="W14" s="5" t="n">
        <v>300</v>
      </c>
      <c r="X14">
        <f>IFERROR(V14-W14,"")</f>
        <v/>
      </c>
      <c r="Y14">
        <f>IFERROR(ABS(X14)/MAX(W14,1),"")</f>
        <v/>
      </c>
      <c r="Z14">
        <f>IFERROR((W14-(((E14/100000+F14/100+R14/200)*200*I14*H14)+((E14*F14/25000)*I14*H14))/3)/(((J14/5)*200*I14*H14)+((J14*R14/2.5)*I14*H14)+((E14*F14*J14*R14*I14*H14)/12500000))/3*1000,"")</f>
        <v/>
      </c>
    </row>
    <row r="15">
      <c r="B15" s="6" t="inlineStr">
        <is>
          <t xml:space="preserve">  ↳ SpithidSpit</t>
        </is>
      </c>
      <c r="C15" s="6" t="inlineStr">
        <is>
          <t>Armament@PRIMARY</t>
        </is>
      </c>
      <c r="K15" s="5" t="n">
        <v>2000</v>
      </c>
      <c r="L15" s="5" t="n">
        <v>15</v>
      </c>
      <c r="M15" s="5" t="n">
        <v>1</v>
      </c>
      <c r="N15" s="5" t="n"/>
      <c r="O15" s="5" t="n">
        <v>3855</v>
      </c>
      <c r="P15" s="5" t="n">
        <v>1</v>
      </c>
      <c r="Q15">
        <f>L15+IF(M15&gt;1,N(N15)*(M15-1),0)</f>
        <v/>
      </c>
      <c r="R15">
        <f>IFERROR(K15*MAX(M15,1)/Q15*P15,0)</f>
        <v/>
      </c>
      <c r="AA15" s="6" t="inlineStr">
        <is>
          <t>^LightMissile, ^SmallArms, ^ArrowWeapon</t>
        </is>
      </c>
    </row>
    <row r="16">
      <c r="B16" s="6" t="inlineStr">
        <is>
          <t xml:space="preserve">  ↳ SpithidSpit</t>
        </is>
      </c>
      <c r="C16" s="6" t="inlineStr">
        <is>
          <t>Armament@GARRISONED</t>
        </is>
      </c>
      <c r="K16" s="5" t="n">
        <v>2000</v>
      </c>
      <c r="L16" s="5" t="n">
        <v>15</v>
      </c>
      <c r="M16" s="5" t="n">
        <v>1</v>
      </c>
      <c r="N16" s="5" t="n"/>
      <c r="O16" s="5" t="n">
        <v>3855</v>
      </c>
      <c r="P16" s="5" t="n">
        <v>1</v>
      </c>
      <c r="Q16">
        <f>L16+IF(M16&gt;1,N(N16)*(M16-1),0)</f>
        <v/>
      </c>
      <c r="R16">
        <f>IFERROR(K16*MAX(M16,1)/Q16*P16,0)</f>
        <v/>
      </c>
      <c r="AA16" s="6" t="inlineStr">
        <is>
          <t>^LightMissile, ^SmallArms, ^ArrowWeapon</t>
        </is>
      </c>
    </row>
    <row r="17">
      <c r="A17" t="inlineStr">
        <is>
          <t>starcraft</t>
        </is>
      </c>
      <c r="B17" t="inlineStr">
        <is>
          <t>zerg_swarmling</t>
        </is>
      </c>
      <c r="C17" t="inlineStr">
        <is>
          <t>Swarmling</t>
        </is>
      </c>
      <c r="D17" t="inlineStr"/>
      <c r="E17" s="5" t="n">
        <v>40000</v>
      </c>
      <c r="F17" s="5" t="n">
        <v>80</v>
      </c>
      <c r="G17" t="inlineStr">
        <is>
          <t>Scout</t>
        </is>
      </c>
      <c r="H17" s="5" t="n">
        <v>1</v>
      </c>
      <c r="I17" s="5" t="n">
        <v>1</v>
      </c>
      <c r="J17" s="5" t="n">
        <v>1.25</v>
      </c>
      <c r="O17">
        <f>MAX(O18)</f>
        <v/>
      </c>
      <c r="R17">
        <f>R18</f>
        <v/>
      </c>
      <c r="S17">
        <f>(E17/100000+F17/100+(O17/1000)*J17/5+R17/200)*200*I17*H17</f>
        <v/>
      </c>
      <c r="T17">
        <f>((E17*F17/25000)+((O17/1000)*J17*R17/2.5))*I17*H17</f>
        <v/>
      </c>
      <c r="U17">
        <f>(E17*F17*(O17/1000)*J17*R17*I17*H17)/12500000</f>
        <v/>
      </c>
      <c r="V17">
        <f>(S17+T17+U17)/3</f>
        <v/>
      </c>
      <c r="W17" s="5" t="n">
        <v>800</v>
      </c>
      <c r="X17">
        <f>IFERROR(V17-W17,"")</f>
        <v/>
      </c>
      <c r="Y17">
        <f>IFERROR(ABS(X17)/MAX(W17,1),"")</f>
        <v/>
      </c>
      <c r="Z17">
        <f>IFERROR((W17-(((E17/100000+F17/100+R17/200)*200*I17*H17)+((E17*F17/25000)*I17*H17))/3)/(((J17/5)*200*I17*H17)+((J17*R17/2.5)*I17*H17)+((E17*F17*J17*R17*I17*H17)/12500000))/3*1000,"")</f>
        <v/>
      </c>
    </row>
    <row r="18">
      <c r="B18" s="6" t="inlineStr">
        <is>
          <t xml:space="preserve">  ↳ SwarmlingShoot</t>
        </is>
      </c>
      <c r="C18" s="6" t="inlineStr">
        <is>
          <t>Armament</t>
        </is>
      </c>
      <c r="K18" s="5" t="n">
        <v>2000</v>
      </c>
      <c r="L18" s="5" t="n">
        <v>80</v>
      </c>
      <c r="M18" s="5" t="n">
        <v>1</v>
      </c>
      <c r="N18" s="5" t="n"/>
      <c r="O18" s="5" t="n">
        <v>8561</v>
      </c>
      <c r="P18" s="5" t="n">
        <v>1</v>
      </c>
      <c r="Q18">
        <f>L18+IF(M18&gt;1,N(N18)*(M18-1),0)</f>
        <v/>
      </c>
      <c r="R18">
        <f>IFERROR(K18*MAX(M18,1)/Q18*P18,0)</f>
        <v/>
      </c>
      <c r="AA18" s="6" t="inlineStr">
        <is>
          <t>^MediumChemicalWeapon, ^MediumFlameWeapon, ^Grenade, ^ShrapnelWeapon, ^HeavyBomb, ^MediumMissile, ^Chaingun, ^FlakWeapon</t>
        </is>
      </c>
    </row>
    <row r="19">
      <c r="A19" t="inlineStr">
        <is>
          <t>starcraft</t>
        </is>
      </c>
      <c r="B19" t="inlineStr">
        <is>
          <t>zerg_talon</t>
        </is>
      </c>
      <c r="C19" t="inlineStr">
        <is>
          <t>Talon</t>
        </is>
      </c>
      <c r="D19" t="inlineStr"/>
      <c r="E19" s="5" t="n">
        <v>32000</v>
      </c>
      <c r="F19" s="5" t="n">
        <v>160</v>
      </c>
      <c r="G19" t="inlineStr">
        <is>
          <t>Plate</t>
        </is>
      </c>
      <c r="H19" s="5" t="n">
        <v>1</v>
      </c>
      <c r="I19" s="5" t="n">
        <v>0.75</v>
      </c>
      <c r="J19" s="5" t="n">
        <v>1</v>
      </c>
      <c r="O19">
        <f>MAX(O20)</f>
        <v/>
      </c>
      <c r="R19">
        <f>R20</f>
        <v/>
      </c>
      <c r="S19">
        <f>(E19/100000+F19/100+(O19/1000)*J19/5+R19/200)*200*I19*H19</f>
        <v/>
      </c>
      <c r="T19">
        <f>((E19*F19/25000)+((O19/1000)*J19*R19/2.5))*I19*H19</f>
        <v/>
      </c>
      <c r="U19">
        <f>(E19*F19*(O19/1000)*J19*R19*I19*H19)/12500000</f>
        <v/>
      </c>
      <c r="V19">
        <f>(S19+T19+U19)/3</f>
        <v/>
      </c>
      <c r="W19" s="5" t="n">
        <v>300</v>
      </c>
      <c r="X19">
        <f>IFERROR(V19-W19,"")</f>
        <v/>
      </c>
      <c r="Y19">
        <f>IFERROR(ABS(X19)/MAX(W19,1),"")</f>
        <v/>
      </c>
      <c r="Z19">
        <f>IFERROR((W19-(((E19/100000+F19/100+R19/200)*200*I19*H19)+((E19*F19/25000)*I19*H19))/3)/(((J19/5)*200*I19*H19)+((J19*R19/2.5)*I19*H19)+((E19*F19*J19*R19*I19*H19)/12500000))/3*1000,"")</f>
        <v/>
      </c>
    </row>
    <row r="20">
      <c r="B20" s="6" t="inlineStr">
        <is>
          <t xml:space="preserve">  ↳ TalonClaw</t>
        </is>
      </c>
      <c r="C20" s="6" t="inlineStr">
        <is>
          <t>Armament</t>
        </is>
      </c>
      <c r="K20" s="5" t="n">
        <v>6000</v>
      </c>
      <c r="L20" s="5" t="n">
        <v>15</v>
      </c>
      <c r="M20" s="5" t="n">
        <v>1</v>
      </c>
      <c r="N20" s="5" t="n"/>
      <c r="O20" s="5" t="n">
        <v>1680</v>
      </c>
      <c r="P20" s="5" t="n">
        <v>1</v>
      </c>
      <c r="Q20">
        <f>L20+IF(M20&gt;1,N(N20)*(M20-1),0)</f>
        <v/>
      </c>
      <c r="R20">
        <f>IFERROR(K20*MAX(M20,1)/Q20*P20,0)</f>
        <v/>
      </c>
      <c r="AA20" s="6" t="inlineStr">
        <is>
          <t>^SwordWeapon</t>
        </is>
      </c>
    </row>
    <row r="21">
      <c r="A21" t="inlineStr">
        <is>
          <t>starcraft</t>
        </is>
      </c>
      <c r="B21" t="inlineStr">
        <is>
          <t>zerg_ultralisk</t>
        </is>
      </c>
      <c r="C21" t="inlineStr">
        <is>
          <t>Ultralisk</t>
        </is>
      </c>
      <c r="D21" t="inlineStr"/>
      <c r="E21" s="5" t="n">
        <v>400000</v>
      </c>
      <c r="F21" s="5" t="n">
        <v>80</v>
      </c>
      <c r="G21" t="inlineStr">
        <is>
          <t>Heavy</t>
        </is>
      </c>
      <c r="H21" s="5" t="n">
        <v>0.75</v>
      </c>
      <c r="I21" s="5" t="n">
        <v>1</v>
      </c>
      <c r="J21" s="5" t="n">
        <v>1</v>
      </c>
      <c r="O21">
        <f>MAX(O22)</f>
        <v/>
      </c>
      <c r="R21">
        <f>R22</f>
        <v/>
      </c>
      <c r="S21">
        <f>(E21/100000+F21/100+(O21/1000)*J21/5+R21/200)*200*I21*H21</f>
        <v/>
      </c>
      <c r="T21">
        <f>((E21*F21/25000)+((O21/1000)*J21*R21/2.5))*I21*H21</f>
        <v/>
      </c>
      <c r="U21">
        <f>(E21*F21*(O21/1000)*J21*R21*I21*H21)/12500000</f>
        <v/>
      </c>
      <c r="V21">
        <f>(S21+T21+U21)/3</f>
        <v/>
      </c>
      <c r="W21" s="5" t="n">
        <v>4400</v>
      </c>
      <c r="X21">
        <f>IFERROR(V21-W21,"")</f>
        <v/>
      </c>
      <c r="Y21">
        <f>IFERROR(ABS(X21)/MAX(W21,1),"")</f>
        <v/>
      </c>
      <c r="Z21">
        <f>IFERROR((W21-(((E21/100000+F21/100+R21/200)*200*I21*H21)+((E21*F21/25000)*I21*H21))/3)/(((J21/5)*200*I21*H21)+((J21*R21/2.5)*I21*H21)+((E21*F21*J21*R21*I21*H21)/12500000))/3*1000,"")</f>
        <v/>
      </c>
    </row>
    <row r="22">
      <c r="B22" s="6" t="inlineStr">
        <is>
          <t xml:space="preserve">  ↳ UltraliskHusk</t>
        </is>
      </c>
      <c r="C22" s="6" t="inlineStr">
        <is>
          <t>Armament</t>
        </is>
      </c>
      <c r="K22" s="5" t="n">
        <v>40000</v>
      </c>
      <c r="L22" s="5" t="n">
        <v>15</v>
      </c>
      <c r="M22" s="5" t="n">
        <v>1</v>
      </c>
      <c r="N22" s="5" t="n"/>
      <c r="O22" s="5" t="n">
        <v>1600</v>
      </c>
      <c r="P22" s="5" t="n">
        <v>1</v>
      </c>
      <c r="Q22">
        <f>L22+IF(M22&gt;1,N(N22)*(M22-1),0)</f>
        <v/>
      </c>
      <c r="R22">
        <f>IFERROR(K22*MAX(M22,1)/Q22*P22,0)</f>
        <v/>
      </c>
      <c r="AA22" s="6" t="inlineStr">
        <is>
          <t>^SwordWeapon</t>
        </is>
      </c>
    </row>
    <row r="23">
      <c r="A23" t="inlineStr">
        <is>
          <t>starcraft</t>
        </is>
      </c>
      <c r="B23" t="inlineStr">
        <is>
          <t>zerg_zergling</t>
        </is>
      </c>
      <c r="C23" t="inlineStr">
        <is>
          <t>Zergling</t>
        </is>
      </c>
      <c r="D23" t="inlineStr"/>
      <c r="E23" s="5" t="n">
        <v>11000</v>
      </c>
      <c r="F23" s="5" t="n">
        <v>110</v>
      </c>
      <c r="G23" t="inlineStr">
        <is>
          <t>Plate</t>
        </is>
      </c>
      <c r="H23" s="5" t="n">
        <v>1</v>
      </c>
      <c r="I23" s="5" t="n">
        <v>0.75</v>
      </c>
      <c r="J23" s="5" t="n">
        <v>1</v>
      </c>
      <c r="O23">
        <f>MAX(O24)</f>
        <v/>
      </c>
      <c r="R23">
        <f>R24</f>
        <v/>
      </c>
      <c r="S23">
        <f>(E23/100000+F23/100+(O23/1000)*J23/5+R23/200)*200*I23*H23</f>
        <v/>
      </c>
      <c r="T23">
        <f>((E23*F23/25000)+((O23/1000)*J23*R23/2.5))*I23*H23</f>
        <v/>
      </c>
      <c r="U23">
        <f>(E23*F23*(O23/1000)*J23*R23*I23*H23)/12500000</f>
        <v/>
      </c>
      <c r="V23">
        <f>(S23+T23+U23)/3</f>
        <v/>
      </c>
      <c r="W23" s="5" t="n">
        <v>200</v>
      </c>
      <c r="X23">
        <f>IFERROR(V23-W23,"")</f>
        <v/>
      </c>
      <c r="Y23">
        <f>IFERROR(ABS(X23)/MAX(W23,1),"")</f>
        <v/>
      </c>
      <c r="Z23">
        <f>IFERROR((W23-(((E23/100000+F23/100+R23/200)*200*I23*H23)+((E23*F23/25000)*I23*H23))/3)/(((J23/5)*200*I23*H23)+((J23*R23/2.5)*I23*H23)+((E23*F23*J23*R23*I23*H23)/12500000))/3*1000,"")</f>
        <v/>
      </c>
    </row>
    <row r="24">
      <c r="B24" s="6" t="inlineStr">
        <is>
          <t xml:space="preserve">  ↳ ZerglingClaw</t>
        </is>
      </c>
      <c r="C24" s="6" t="inlineStr">
        <is>
          <t>Armament</t>
        </is>
      </c>
      <c r="K24" s="5" t="n">
        <v>2000</v>
      </c>
      <c r="L24" s="5" t="n">
        <v>11</v>
      </c>
      <c r="M24" s="5" t="n">
        <v>1</v>
      </c>
      <c r="N24" s="5" t="n"/>
      <c r="O24" s="5" t="n">
        <v>1350</v>
      </c>
      <c r="P24" s="5" t="n">
        <v>1</v>
      </c>
      <c r="Q24">
        <f>L24+IF(M24&gt;1,N(N24)*(M24-1),0)</f>
        <v/>
      </c>
      <c r="R24">
        <f>IFERROR(K24*MAX(M24,1)/Q24*P24,0)</f>
        <v/>
      </c>
      <c r="AA24" s="6" t="inlineStr">
        <is>
          <t>^SwordWeapon</t>
        </is>
      </c>
    </row>
    <row r="25">
      <c r="A25" s="3" t="inlineStr">
        <is>
          <t>VEHICLES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>
      <c r="A26" t="inlineStr">
        <is>
          <t>starcraft</t>
        </is>
      </c>
      <c r="B26" t="inlineStr">
        <is>
          <t>zerg_drone</t>
        </is>
      </c>
      <c r="C26" t="inlineStr">
        <is>
          <t>Zerg Drone</t>
        </is>
      </c>
      <c r="D26" t="inlineStr"/>
      <c r="E26" s="5" t="n">
        <v>45000</v>
      </c>
      <c r="F26" s="5" t="n">
        <v>100</v>
      </c>
      <c r="G26" t="inlineStr">
        <is>
          <t>Light</t>
        </is>
      </c>
      <c r="H26" s="5" t="n">
        <v>1</v>
      </c>
      <c r="I26" s="5" t="n">
        <v>1</v>
      </c>
      <c r="J26" s="5" t="n">
        <v>1</v>
      </c>
      <c r="O26">
        <f>MAX(O27)</f>
        <v/>
      </c>
      <c r="R26">
        <f>R27</f>
        <v/>
      </c>
      <c r="S26">
        <f>(E26/100000+F26/100+(O26/1000)*J26/5+R26/200)*200*I26*H26</f>
        <v/>
      </c>
      <c r="T26">
        <f>((E26*F26/25000)+((O26/1000)*J26*R26/2.5))*I26*H26</f>
        <v/>
      </c>
      <c r="U26">
        <f>(E26*F26*(O26/1000)*J26*R26*I26*H26)/12500000</f>
        <v/>
      </c>
      <c r="V26">
        <f>(S26+T26+U26)/3</f>
        <v/>
      </c>
      <c r="W26" s="5" t="n">
        <v>500</v>
      </c>
      <c r="X26">
        <f>IFERROR(V26-W26,"")</f>
        <v/>
      </c>
      <c r="Y26">
        <f>IFERROR(ABS(X26)/MAX(W26,1),"")</f>
        <v/>
      </c>
      <c r="Z26">
        <f>IFERROR((W26-(((E26/100000+F26/100+R26/200)*200*I26*H26)+((E26*F26/25000)*I26*H26))/3)/(((J26/5)*200*I26*H26)+((J26*R26/2.5)*I26*H26)+((E26*F26*J26*R26*I26*H26)/12500000))/3*1000,"")</f>
        <v/>
      </c>
    </row>
    <row r="27">
      <c r="B27" s="6" t="inlineStr">
        <is>
          <t xml:space="preserve">  ↳ DroneAttack</t>
        </is>
      </c>
      <c r="C27" s="6" t="inlineStr">
        <is>
          <t>Armament</t>
        </is>
      </c>
      <c r="K27" s="5" t="n">
        <v>10000</v>
      </c>
      <c r="L27" s="5" t="n">
        <v>25</v>
      </c>
      <c r="M27" s="5" t="n">
        <v>1</v>
      </c>
      <c r="N27" s="5" t="n"/>
      <c r="O27" s="5" t="n">
        <v>1500</v>
      </c>
      <c r="P27" s="5" t="n">
        <v>1</v>
      </c>
      <c r="Q27">
        <f>L27+IF(M27&gt;1,N(N27)*(M27-1),0)</f>
        <v/>
      </c>
      <c r="R27">
        <f>IFERROR(K27*MAX(M27,1)/Q27*P27,0)</f>
        <v/>
      </c>
      <c r="AA27" s="6" t="inlineStr">
        <is>
          <t>^WorkerAttack</t>
        </is>
      </c>
    </row>
    <row r="28">
      <c r="A28" t="inlineStr">
        <is>
          <t>starcraft</t>
        </is>
      </c>
      <c r="B28" t="inlineStr">
        <is>
          <t>zerg_goremaw</t>
        </is>
      </c>
      <c r="C28" t="inlineStr">
        <is>
          <t>Goremaw</t>
        </is>
      </c>
      <c r="D28" t="inlineStr"/>
      <c r="E28" s="5" t="n">
        <v>150000</v>
      </c>
      <c r="F28" s="5" t="n">
        <v>150</v>
      </c>
      <c r="G28" t="inlineStr">
        <is>
          <t>Medium</t>
        </is>
      </c>
      <c r="H28" s="5" t="n">
        <v>0.75</v>
      </c>
      <c r="I28" s="5" t="n">
        <v>1</v>
      </c>
      <c r="J28" s="5" t="n">
        <v>1.25</v>
      </c>
      <c r="O28">
        <f>MAX(O29)</f>
        <v/>
      </c>
      <c r="R28">
        <f>R29</f>
        <v/>
      </c>
      <c r="S28">
        <f>(E28/100000+F28/100+(O28/1000)*J28/5+R28/200)*200*I28*H28</f>
        <v/>
      </c>
      <c r="T28">
        <f>((E28*F28/25000)+((O28/1000)*J28*R28/2.5))*I28*H28</f>
        <v/>
      </c>
      <c r="U28">
        <f>(E28*F28*(O28/1000)*J28*R28*I28*H28)/12500000</f>
        <v/>
      </c>
      <c r="V28">
        <f>(S28+T28+U28)/3</f>
        <v/>
      </c>
      <c r="W28" s="5" t="n">
        <v>1500</v>
      </c>
      <c r="X28">
        <f>IFERROR(V28-W28,"")</f>
        <v/>
      </c>
      <c r="Y28">
        <f>IFERROR(ABS(X28)/MAX(W28,1),"")</f>
        <v/>
      </c>
      <c r="Z28">
        <f>IFERROR((W28-(((E28/100000+F28/100+R28/200)*200*I28*H28)+((E28*F28/25000)*I28*H28))/3)/(((J28/5)*200*I28*H28)+((J28*R28/2.5)*I28*H28)+((E28*F28*J28*R28*I28*H28)/12500000))/3*1000,"")</f>
        <v/>
      </c>
    </row>
    <row r="29">
      <c r="B29" s="6" t="inlineStr">
        <is>
          <t xml:space="preserve">  ↳ GoremawClaw</t>
        </is>
      </c>
      <c r="C29" s="6" t="inlineStr">
        <is>
          <t>Armament</t>
        </is>
      </c>
      <c r="K29" s="5" t="n">
        <v>30000</v>
      </c>
      <c r="L29" s="5" t="n">
        <v>30</v>
      </c>
      <c r="M29" s="5" t="n">
        <v>1</v>
      </c>
      <c r="N29" s="5" t="n"/>
      <c r="O29" s="5" t="n">
        <v>1250</v>
      </c>
      <c r="P29" s="5" t="n">
        <v>1</v>
      </c>
      <c r="Q29">
        <f>L29+IF(M29&gt;1,N(N29)*(M29-1),0)</f>
        <v/>
      </c>
      <c r="R29">
        <f>IFERROR(K29*MAX(M29,1)/Q29*P29,0)</f>
        <v/>
      </c>
      <c r="AA29" s="6" t="inlineStr">
        <is>
          <t>^SwordWeapon</t>
        </is>
      </c>
    </row>
    <row r="30">
      <c r="A30" t="inlineStr">
        <is>
          <t>starcraft</t>
        </is>
      </c>
      <c r="B30" t="inlineStr">
        <is>
          <t>zerg_hatcherydrone</t>
        </is>
      </c>
      <c r="C30" t="inlineStr">
        <is>
          <t>Zerg Hatchery Drone</t>
        </is>
      </c>
      <c r="D30" t="inlineStr"/>
      <c r="E30" s="5" t="n">
        <v>300000</v>
      </c>
      <c r="F30" s="5" t="n">
        <v>75</v>
      </c>
      <c r="G30" t="inlineStr">
        <is>
          <t>Medium</t>
        </is>
      </c>
      <c r="H30" s="5" t="n">
        <v>1</v>
      </c>
      <c r="I30" s="5" t="n">
        <v>1</v>
      </c>
      <c r="J30" s="5" t="n">
        <v>1</v>
      </c>
      <c r="W30" s="5" t="n">
        <v>5000</v>
      </c>
    </row>
    <row r="31">
      <c r="A31" t="inlineStr">
        <is>
          <t>starcraft</t>
        </is>
      </c>
      <c r="B31" t="inlineStr">
        <is>
          <t>zerg_hermit</t>
        </is>
      </c>
      <c r="C31" t="inlineStr">
        <is>
          <t>Hermit</t>
        </is>
      </c>
      <c r="D31" t="inlineStr"/>
      <c r="E31" s="5" t="n">
        <v>375000</v>
      </c>
      <c r="F31" s="5" t="n">
        <v>50</v>
      </c>
      <c r="G31" t="inlineStr">
        <is>
          <t>Superheavy</t>
        </is>
      </c>
      <c r="H31" s="5" t="n">
        <v>0.75</v>
      </c>
      <c r="I31" s="5" t="n">
        <v>0.4</v>
      </c>
      <c r="J31" s="5" t="n">
        <v>1</v>
      </c>
      <c r="O31">
        <f>MAX(O32)</f>
        <v/>
      </c>
      <c r="R31">
        <f>R32</f>
        <v/>
      </c>
      <c r="S31">
        <f>(E31/100000+F31/100+(O31/1000)*J31/5+R31/200)*200*I31*H31</f>
        <v/>
      </c>
      <c r="T31">
        <f>((E31*F31/25000)+((O31/1000)*J31*R31/2.5))*I31*H31</f>
        <v/>
      </c>
      <c r="U31">
        <f>(E31*F31*(O31/1000)*J31*R31*I31*H31)/12500000</f>
        <v/>
      </c>
      <c r="V31">
        <f>(S31+T31+U31)/3</f>
        <v/>
      </c>
      <c r="W31" s="5" t="n">
        <v>6000</v>
      </c>
      <c r="X31">
        <f>IFERROR(V31-W31,"")</f>
        <v/>
      </c>
      <c r="Y31">
        <f>IFERROR(ABS(X31)/MAX(W31,1),"")</f>
        <v/>
      </c>
      <c r="Z31">
        <f>IFERROR((W31-(((E31/100000+F31/100+R31/200)*200*I31*H31)+((E31*F31/25000)*I31*H31))/3)/(((J31/5)*200*I31*H31)+((J31*R31/2.5)*I31*H31)+((E31*F31*J31*R31*I31*H31)/12500000))/3*1000,"")</f>
        <v/>
      </c>
    </row>
    <row r="32">
      <c r="B32" s="6" t="inlineStr">
        <is>
          <t xml:space="preserve">  ↳ HermitShoot</t>
        </is>
      </c>
      <c r="C32" s="6" t="inlineStr">
        <is>
          <t>Armament</t>
        </is>
      </c>
      <c r="K32" s="5" t="n">
        <v>2000</v>
      </c>
      <c r="L32" s="5" t="n">
        <v>30</v>
      </c>
      <c r="M32" s="5" t="n">
        <v>5</v>
      </c>
      <c r="N32" s="5" t="n">
        <v>0</v>
      </c>
      <c r="O32" s="5" t="n">
        <v>7120</v>
      </c>
      <c r="P32" s="5" t="n">
        <v>1</v>
      </c>
      <c r="Q32">
        <f>L32+IF(M32&gt;1,N(N32)*(M32-1),0)</f>
        <v/>
      </c>
      <c r="R32">
        <f>IFERROR(K32*MAX(M32,1)/Q32*P32,0)</f>
        <v/>
      </c>
      <c r="AA32" s="6" t="inlineStr">
        <is>
          <t>^Grenade, ^ShrapnelWeapon, ^HeavyBomb, ^MediumMissile, ^Chaingun, ^FlakWeapon</t>
        </is>
      </c>
    </row>
    <row r="33">
      <c r="A33" t="inlineStr">
        <is>
          <t>starcraft</t>
        </is>
      </c>
      <c r="B33" t="inlineStr">
        <is>
          <t>zerg_lurker</t>
        </is>
      </c>
      <c r="C33" t="inlineStr">
        <is>
          <t>Lurker</t>
        </is>
      </c>
      <c r="D33" t="inlineStr"/>
      <c r="E33" s="5" t="n">
        <v>125000</v>
      </c>
      <c r="F33" s="5" t="n">
        <v>90</v>
      </c>
      <c r="G33" t="inlineStr">
        <is>
          <t>Heavy</t>
        </is>
      </c>
      <c r="H33" s="5" t="n">
        <v>1</v>
      </c>
      <c r="I33" s="5" t="n">
        <v>1</v>
      </c>
      <c r="J33" s="5" t="n">
        <v>1.25</v>
      </c>
      <c r="O33">
        <f>MAX(O34,O35)</f>
        <v/>
      </c>
      <c r="R33">
        <f>R34+R35</f>
        <v/>
      </c>
      <c r="S33">
        <f>(E33/100000+F33/100+(O33/1000)*J33/5+R33/200)*200*I33*H33</f>
        <v/>
      </c>
      <c r="T33">
        <f>((E33*F33/25000)+((O33/1000)*J33*R33/2.5))*I33*H33</f>
        <v/>
      </c>
      <c r="U33">
        <f>(E33*F33*(O33/1000)*J33*R33*I33*H33)/12500000</f>
        <v/>
      </c>
      <c r="V33">
        <f>(S33+T33+U33)/3</f>
        <v/>
      </c>
      <c r="W33" s="5" t="n">
        <v>1300</v>
      </c>
      <c r="X33">
        <f>IFERROR(V33-W33,"")</f>
        <v/>
      </c>
      <c r="Y33">
        <f>IFERROR(ABS(X33)/MAX(W33,1),"")</f>
        <v/>
      </c>
      <c r="Z33">
        <f>IFERROR((W33-(((E33/100000+F33/100+R33/200)*200*I33*H33)+((E33*F33/25000)*I33*H33))/3)/(((J33/5)*200*I33*H33)+((J33*R33/2.5)*I33*H33)+((E33*F33*J33*R33*I33*H33)/12500000))/3*1000,"")</f>
        <v/>
      </c>
    </row>
    <row r="34">
      <c r="B34" s="6" t="inlineStr">
        <is>
          <t xml:space="preserve">  ↳ LurkerTargeting</t>
        </is>
      </c>
      <c r="C34" s="6" t="inlineStr">
        <is>
          <t>Armament@Dummy</t>
        </is>
      </c>
      <c r="K34" s="5" t="n"/>
      <c r="L34" s="5" t="n">
        <v>33</v>
      </c>
      <c r="M34" s="5" t="n">
        <v>1</v>
      </c>
      <c r="N34" s="5" t="n"/>
      <c r="O34" s="5" t="n">
        <v>6666</v>
      </c>
      <c r="P34" s="5" t="n">
        <v>1</v>
      </c>
      <c r="Q34">
        <f>L34+IF(M34&gt;1,N(N34)*(M34-1),0)</f>
        <v/>
      </c>
      <c r="R34">
        <f>IFERROR(K34*MAX(M34,1)/Q34*P34,0)</f>
        <v/>
      </c>
      <c r="AA34" s="6" t="inlineStr"/>
    </row>
    <row r="35">
      <c r="B35" s="6" t="inlineStr">
        <is>
          <t xml:space="preserve">  ↳ LurkerSpines</t>
        </is>
      </c>
      <c r="C35" s="6" t="inlineStr">
        <is>
          <t>Armament@Deployed</t>
        </is>
      </c>
      <c r="K35" s="5" t="n"/>
      <c r="L35" s="5" t="n">
        <v>66</v>
      </c>
      <c r="M35" s="5" t="n">
        <v>1</v>
      </c>
      <c r="N35" s="5" t="n"/>
      <c r="O35" s="5" t="n">
        <v>6666</v>
      </c>
      <c r="P35" s="5" t="n">
        <v>1</v>
      </c>
      <c r="Q35">
        <f>L35+IF(M35&gt;1,N(N35)*(M35-1),0)</f>
        <v/>
      </c>
      <c r="R35">
        <f>IFERROR(K35*MAX(M35,1)/Q35*P35,0)</f>
        <v/>
      </c>
      <c r="AA35" s="6" t="inlineStr"/>
    </row>
    <row r="36">
      <c r="A36" t="inlineStr">
        <is>
          <t>starcraft</t>
        </is>
      </c>
      <c r="B36" t="inlineStr">
        <is>
          <t>zerg_sporemaw</t>
        </is>
      </c>
      <c r="C36" t="inlineStr">
        <is>
          <t>Sporemaw</t>
        </is>
      </c>
      <c r="D36" t="inlineStr"/>
      <c r="E36" s="5" t="n">
        <v>25000</v>
      </c>
      <c r="F36" s="5" t="n">
        <v>80</v>
      </c>
      <c r="G36" t="inlineStr">
        <is>
          <t>Light</t>
        </is>
      </c>
      <c r="H36" s="5" t="n">
        <v>1</v>
      </c>
      <c r="I36" s="5" t="n">
        <v>1</v>
      </c>
      <c r="J36" s="5" t="n">
        <v>1</v>
      </c>
      <c r="O36">
        <f>MAX(O37)</f>
        <v/>
      </c>
      <c r="R36">
        <f>R37</f>
        <v/>
      </c>
      <c r="S36">
        <f>(E36/100000+F36/100+(O36/1000)*J36/5+R36/200)*200*I36*H36</f>
        <v/>
      </c>
      <c r="T36">
        <f>((E36*F36/25000)+((O36/1000)*J36*R36/2.5))*I36*H36</f>
        <v/>
      </c>
      <c r="U36">
        <f>(E36*F36*(O36/1000)*J36*R36*I36*H36)/12500000</f>
        <v/>
      </c>
      <c r="V36">
        <f>(S36+T36+U36)/3</f>
        <v/>
      </c>
      <c r="W36" s="5" t="n">
        <v>1000</v>
      </c>
      <c r="X36">
        <f>IFERROR(V36-W36,"")</f>
        <v/>
      </c>
      <c r="Y36">
        <f>IFERROR(ABS(X36)/MAX(W36,1),"")</f>
        <v/>
      </c>
      <c r="Z36">
        <f>IFERROR((W36-(((E36/100000+F36/100+R36/200)*200*I36*H36)+((E36*F36/25000)*I36*H36))/3)/(((J36/5)*200*I36*H36)+((J36*R36/2.5)*I36*H36)+((E36*F36*J36*R36*I36*H36)/12500000))/3*1000,"")</f>
        <v/>
      </c>
    </row>
    <row r="37">
      <c r="B37" s="6" t="inlineStr">
        <is>
          <t xml:space="preserve">  ↳ SporemawShoot</t>
        </is>
      </c>
      <c r="C37" s="6" t="inlineStr">
        <is>
          <t>Armament@PRIMARY</t>
        </is>
      </c>
      <c r="K37" s="5" t="n">
        <v>2000</v>
      </c>
      <c r="L37" s="5" t="n">
        <v>40</v>
      </c>
      <c r="M37" s="5" t="n">
        <v>1</v>
      </c>
      <c r="N37" s="5" t="n"/>
      <c r="O37" s="5" t="n">
        <v>7740</v>
      </c>
      <c r="P37" s="5" t="n">
        <v>1</v>
      </c>
      <c r="Q37">
        <f>L37+IF(M37&gt;1,N(N37)*(M37-1),0)</f>
        <v/>
      </c>
      <c r="R37">
        <f>IFERROR(K37*MAX(M37,1)/Q37*P37,0)</f>
        <v/>
      </c>
      <c r="AA37" s="6" t="inlineStr">
        <is>
          <t>^TankDestroyerCannon, ^MediumCannon, ^HeavyCannon, ^Grenade, ^ShrapnelWeapon, ^HeavyBomb, ^MediumMissile, ^Chaingun, ^FlakWeapon</t>
        </is>
      </c>
    </row>
    <row r="38">
      <c r="B38" s="6" t="inlineStr">
        <is>
          <t xml:space="preserve">  ↳ SporemawShoot</t>
        </is>
      </c>
      <c r="C38" s="6" t="inlineStr">
        <is>
          <t>Armament@GARRISONED</t>
        </is>
      </c>
      <c r="K38" s="5" t="n">
        <v>2000</v>
      </c>
      <c r="L38" s="5" t="n">
        <v>40</v>
      </c>
      <c r="M38" s="5" t="n">
        <v>1</v>
      </c>
      <c r="N38" s="5" t="n"/>
      <c r="O38" s="5" t="n">
        <v>7740</v>
      </c>
      <c r="P38" s="5" t="n">
        <v>1</v>
      </c>
      <c r="Q38">
        <f>L38+IF(M38&gt;1,N(N38)*(M38-1),0)</f>
        <v/>
      </c>
      <c r="R38">
        <f>IFERROR(K38*MAX(M38,1)/Q38*P38,0)</f>
        <v/>
      </c>
      <c r="AA38" s="6" t="inlineStr">
        <is>
          <t>^TankDestroyerCannon, ^MediumCannon, ^HeavyCannon, ^Grenade, ^ShrapnelWeapon, ^HeavyBomb, ^MediumMissile, ^Chaingun, ^FlakWeapon</t>
        </is>
      </c>
    </row>
    <row r="39">
      <c r="A39" s="3" t="inlineStr">
        <is>
          <t>AIRCRAFT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>
      <c r="A40" t="inlineStr">
        <is>
          <t>starcraft</t>
        </is>
      </c>
      <c r="B40" t="inlineStr">
        <is>
          <t>zerg_behemoth</t>
        </is>
      </c>
      <c r="C40" t="inlineStr">
        <is>
          <t>Behemoth</t>
        </is>
      </c>
      <c r="D40" t="inlineStr"/>
      <c r="E40" s="5" t="n">
        <v>600000</v>
      </c>
      <c r="F40" s="5" t="n">
        <v>30</v>
      </c>
      <c r="G40" t="inlineStr">
        <is>
          <t>Spaceship</t>
        </is>
      </c>
      <c r="H40" s="5" t="n">
        <v>0.75</v>
      </c>
      <c r="I40" s="5" t="n">
        <v>1</v>
      </c>
      <c r="J40" s="5" t="n">
        <v>1.25</v>
      </c>
      <c r="O40">
        <f>MAX(O41)</f>
        <v/>
      </c>
      <c r="R40">
        <f>R41</f>
        <v/>
      </c>
      <c r="S40">
        <f>(E40/100000+F40/100+(O40/1000)*J40/5+R40/200)*200*I40*H40</f>
        <v/>
      </c>
      <c r="T40">
        <f>((E40*F40/25000)+((O40/1000)*J40*R40/2.5))*I40*H40</f>
        <v/>
      </c>
      <c r="U40">
        <f>(E40*F40*(O40/1000)*J40*R40*I40*H40)/12500000</f>
        <v/>
      </c>
      <c r="V40">
        <f>(S40+T40+U40)/3</f>
        <v/>
      </c>
      <c r="W40" s="5" t="n">
        <v>7200</v>
      </c>
      <c r="X40">
        <f>IFERROR(V40-W40,"")</f>
        <v/>
      </c>
      <c r="Y40">
        <f>IFERROR(ABS(X40)/MAX(W40,1),"")</f>
        <v/>
      </c>
      <c r="Z40">
        <f>IFERROR((W40-(((E40/100000+F40/100+R40/200)*200*I40*H40)+((E40*F40/25000)*I40*H40))/3)/(((J40/5)*200*I40*H40)+((J40*R40/2.5)*I40*H40)+((E40*F40*J40*R40*I40*H40)/12500000))/3*1000,"")</f>
        <v/>
      </c>
    </row>
    <row r="41">
      <c r="B41" s="6" t="inlineStr">
        <is>
          <t xml:space="preserve">  ↳ BehemothShoot</t>
        </is>
      </c>
      <c r="C41" s="6" t="inlineStr">
        <is>
          <t>Armament</t>
        </is>
      </c>
      <c r="K41" s="5" t="n">
        <v>2000</v>
      </c>
      <c r="L41" s="5" t="n">
        <v>60</v>
      </c>
      <c r="M41" s="5" t="n">
        <v>1</v>
      </c>
      <c r="N41" s="5" t="n"/>
      <c r="O41" s="5" t="n">
        <v>5230</v>
      </c>
      <c r="P41" s="5" t="n">
        <v>1</v>
      </c>
      <c r="Q41">
        <f>L41+IF(M41&gt;1,N(N41)*(M41-1),0)</f>
        <v/>
      </c>
      <c r="R41">
        <f>IFERROR(K41*MAX(M41,1)/Q41*P41,0)</f>
        <v/>
      </c>
      <c r="AA41" s="6" t="inlineStr">
        <is>
          <t>^LightFlameWeapon, ^MediumChemicalWeapon, ^HeavyMissile, ^Grenade, ^ShrapnelWeapon, ^HeavyBomb</t>
        </is>
      </c>
    </row>
    <row r="42">
      <c r="A42" t="inlineStr">
        <is>
          <t>starcraft</t>
        </is>
      </c>
      <c r="B42" t="inlineStr">
        <is>
          <t>zerg_broodweaver</t>
        </is>
      </c>
      <c r="C42" t="inlineStr">
        <is>
          <t>Broodweaver</t>
        </is>
      </c>
      <c r="D42" t="inlineStr"/>
      <c r="E42" s="5" t="n">
        <v>50000</v>
      </c>
      <c r="F42" s="5" t="n">
        <v>45</v>
      </c>
      <c r="G42" t="inlineStr">
        <is>
          <t>Helicopter</t>
        </is>
      </c>
      <c r="H42" s="5" t="n">
        <v>1</v>
      </c>
      <c r="I42" s="5" t="n">
        <v>1</v>
      </c>
      <c r="J42" s="5" t="n">
        <v>2</v>
      </c>
      <c r="O42">
        <f>MAX(O43)</f>
        <v/>
      </c>
      <c r="R42">
        <f>R43</f>
        <v/>
      </c>
      <c r="S42">
        <f>(E42/100000+F42/100+(O42/1000)*J42/5+R42/200)*200*I42*H42</f>
        <v/>
      </c>
      <c r="T42">
        <f>((E42*F42/25000)+((O42/1000)*J42*R42/2.5))*I42*H42</f>
        <v/>
      </c>
      <c r="U42">
        <f>(E42*F42*(O42/1000)*J42*R42*I42*H42)/12500000</f>
        <v/>
      </c>
      <c r="V42">
        <f>(S42+T42+U42)/3</f>
        <v/>
      </c>
      <c r="W42" s="5" t="n">
        <v>2000</v>
      </c>
      <c r="X42">
        <f>IFERROR(V42-W42,"")</f>
        <v/>
      </c>
      <c r="Y42">
        <f>IFERROR(ABS(X42)/MAX(W42,1),"")</f>
        <v/>
      </c>
      <c r="Z42">
        <f>IFERROR((W42-(((E42/100000+F42/100+R42/200)*200*I42*H42)+((E42*F42/25000)*I42*H42))/3)/(((J42/5)*200*I42*H42)+((J42*R42/2.5)*I42*H42)+((E42*F42*J42*R42*I42*H42)/12500000))/3*1000,"")</f>
        <v/>
      </c>
    </row>
    <row r="43">
      <c r="B43" s="6" t="inlineStr">
        <is>
          <t xml:space="preserve">  ↳ BroodweaverLeech</t>
        </is>
      </c>
      <c r="C43" s="6" t="inlineStr">
        <is>
          <t>Armament</t>
        </is>
      </c>
      <c r="K43" s="5" t="n">
        <v>-1</v>
      </c>
      <c r="L43" s="5" t="n">
        <v>60</v>
      </c>
      <c r="M43" s="5" t="n">
        <v>10</v>
      </c>
      <c r="N43" s="5" t="n">
        <v>1</v>
      </c>
      <c r="O43" s="5" t="n">
        <v>4500</v>
      </c>
      <c r="P43" s="5" t="n">
        <v>1</v>
      </c>
      <c r="Q43">
        <f>L43+IF(M43&gt;1,N(N43)*(M43-1),0)</f>
        <v/>
      </c>
      <c r="R43">
        <f>IFERROR(K43*MAX(M43,1)/Q43*P43,0)</f>
        <v/>
      </c>
      <c r="AA43" s="6" t="inlineStr">
        <is>
          <t>^HealingWeapon</t>
        </is>
      </c>
    </row>
    <row r="44">
      <c r="A44" t="inlineStr">
        <is>
          <t>starcraft</t>
        </is>
      </c>
      <c r="B44" t="inlineStr">
        <is>
          <t>zerg_corruptor</t>
        </is>
      </c>
      <c r="C44" t="inlineStr">
        <is>
          <t>Corruptor</t>
        </is>
      </c>
      <c r="D44" t="inlineStr"/>
      <c r="E44" s="5" t="n">
        <v>100000</v>
      </c>
      <c r="F44" s="5" t="n">
        <v>100</v>
      </c>
      <c r="G44" t="inlineStr">
        <is>
          <t>Helicopter</t>
        </is>
      </c>
      <c r="H44" s="5" t="n">
        <v>1</v>
      </c>
      <c r="I44" s="5" t="n">
        <v>1</v>
      </c>
      <c r="J44" s="5" t="n">
        <v>2</v>
      </c>
      <c r="O44">
        <f>MAX(O45)</f>
        <v/>
      </c>
      <c r="R44">
        <f>R45</f>
        <v/>
      </c>
      <c r="S44">
        <f>(E44/100000+F44/100+(O44/1000)*J44/5+R44/200)*200*I44*H44</f>
        <v/>
      </c>
      <c r="T44">
        <f>((E44*F44/25000)+((O44/1000)*J44*R44/2.5))*I44*H44</f>
        <v/>
      </c>
      <c r="U44">
        <f>(E44*F44*(O44/1000)*J44*R44*I44*H44)/12500000</f>
        <v/>
      </c>
      <c r="V44">
        <f>(S44+T44+U44)/3</f>
        <v/>
      </c>
      <c r="W44" s="5" t="n">
        <v>1500</v>
      </c>
      <c r="X44">
        <f>IFERROR(V44-W44,"")</f>
        <v/>
      </c>
      <c r="Y44">
        <f>IFERROR(ABS(X44)/MAX(W44,1),"")</f>
        <v/>
      </c>
      <c r="Z44">
        <f>IFERROR((W44-(((E44/100000+F44/100+R44/200)*200*I44*H44)+((E44*F44/25000)*I44*H44))/3)/(((J44/5)*200*I44*H44)+((J44*R44/2.5)*I44*H44)+((E44*F44*J44*R44*I44*H44)/12500000))/3*1000,"")</f>
        <v/>
      </c>
    </row>
    <row r="45">
      <c r="B45" s="6" t="inlineStr">
        <is>
          <t xml:space="preserve">  ↳ CorruptorSpore</t>
        </is>
      </c>
      <c r="C45" s="6" t="inlineStr">
        <is>
          <t>Armament</t>
        </is>
      </c>
      <c r="K45" s="5" t="n">
        <v>10000</v>
      </c>
      <c r="L45" s="5" t="n">
        <v>50</v>
      </c>
      <c r="M45" s="5" t="n">
        <v>1</v>
      </c>
      <c r="N45" s="5" t="n"/>
      <c r="O45" s="5" t="n">
        <v>6250</v>
      </c>
      <c r="P45" s="5" t="n">
        <v>1</v>
      </c>
      <c r="Q45">
        <f>L45+IF(M45&gt;1,N(N45)*(M45-1),0)</f>
        <v/>
      </c>
      <c r="R45">
        <f>IFERROR(K45*MAX(M45,1)/Q45*P45,0)</f>
        <v/>
      </c>
      <c r="AA45" s="6" t="inlineStr">
        <is>
          <t>^MediumChemicalWeapon</t>
        </is>
      </c>
    </row>
    <row r="46">
      <c r="A46" t="inlineStr">
        <is>
          <t>starcraft</t>
        </is>
      </c>
      <c r="B46" t="inlineStr">
        <is>
          <t>zerg_devourer</t>
        </is>
      </c>
      <c r="C46" t="inlineStr">
        <is>
          <t>Devourer</t>
        </is>
      </c>
      <c r="D46" t="inlineStr"/>
      <c r="E46" s="5" t="n">
        <v>250000</v>
      </c>
      <c r="F46" s="5" t="n">
        <v>90</v>
      </c>
      <c r="G46" t="inlineStr">
        <is>
          <t>Helicopter</t>
        </is>
      </c>
      <c r="H46" s="5" t="n">
        <v>1</v>
      </c>
      <c r="I46" s="5" t="n">
        <v>1</v>
      </c>
      <c r="J46" s="5" t="n">
        <v>2</v>
      </c>
      <c r="O46">
        <f>MAX(O47)</f>
        <v/>
      </c>
      <c r="R46">
        <f>R47</f>
        <v/>
      </c>
      <c r="S46">
        <f>(E46/100000+F46/100+(O46/1000)*J46/5+R46/200)*200*I46*H46</f>
        <v/>
      </c>
      <c r="T46">
        <f>((E46*F46/25000)+((O46/1000)*J46*R46/2.5))*I46*H46</f>
        <v/>
      </c>
      <c r="U46">
        <f>(E46*F46*(O46/1000)*J46*R46*I46*H46)/12500000</f>
        <v/>
      </c>
      <c r="V46">
        <f>(S46+T46+U46)/3</f>
        <v/>
      </c>
      <c r="W46" s="5" t="n">
        <v>2000</v>
      </c>
      <c r="X46">
        <f>IFERROR(V46-W46,"")</f>
        <v/>
      </c>
      <c r="Y46">
        <f>IFERROR(ABS(X46)/MAX(W46,1),"")</f>
        <v/>
      </c>
      <c r="Z46">
        <f>IFERROR((W46-(((E46/100000+F46/100+R46/200)*200*I46*H46)+((E46*F46/25000)*I46*H46))/3)/(((J46/5)*200*I46*H46)+((J46*R46/2.5)*I46*H46)+((E46*F46*J46*R46*I46*H46)/12500000))/3*1000,"")</f>
        <v/>
      </c>
    </row>
    <row r="47">
      <c r="B47" s="6" t="inlineStr">
        <is>
          <t xml:space="preserve">  ↳ SCDevourerAA</t>
        </is>
      </c>
      <c r="C47" s="6" t="inlineStr">
        <is>
          <t>Armament</t>
        </is>
      </c>
      <c r="K47" s="5" t="n">
        <v>20000</v>
      </c>
      <c r="L47" s="5" t="n">
        <v>100</v>
      </c>
      <c r="M47" s="5" t="n">
        <v>1</v>
      </c>
      <c r="N47" s="5" t="n"/>
      <c r="O47" s="5" t="n">
        <v>4444</v>
      </c>
      <c r="P47" s="5" t="n">
        <v>1</v>
      </c>
      <c r="Q47">
        <f>L47+IF(M47&gt;1,N(N47)*(M47-1),0)</f>
        <v/>
      </c>
      <c r="R47">
        <f>IFERROR(K47*MAX(M47,1)/Q47*P47,0)</f>
        <v/>
      </c>
      <c r="AA47" s="6" t="inlineStr">
        <is>
          <t>^SwordWeapon, ^MediumChemicalWeapon, ^SmallArms, ^ArrowWeapon</t>
        </is>
      </c>
    </row>
    <row r="48">
      <c r="A48" t="inlineStr">
        <is>
          <t>starcraft</t>
        </is>
      </c>
      <c r="B48" t="inlineStr">
        <is>
          <t>zerg_dreadshroud</t>
        </is>
      </c>
      <c r="C48" t="inlineStr">
        <is>
          <t>Dreadshroud</t>
        </is>
      </c>
      <c r="D48" t="inlineStr"/>
      <c r="E48" s="5" t="n">
        <v>60000</v>
      </c>
      <c r="F48" s="5" t="n">
        <v>120</v>
      </c>
      <c r="G48" t="inlineStr">
        <is>
          <t>Helicopter</t>
        </is>
      </c>
      <c r="H48" s="5" t="n">
        <v>1</v>
      </c>
      <c r="I48" s="5" t="n">
        <v>1</v>
      </c>
      <c r="J48" s="5" t="n">
        <v>2</v>
      </c>
      <c r="O48">
        <f>MAX(O49)</f>
        <v/>
      </c>
      <c r="R48">
        <f>R49</f>
        <v/>
      </c>
      <c r="S48">
        <f>(E48/100000+F48/100+(O48/1000)*J48/5+R48/200)*200*I48*H48</f>
        <v/>
      </c>
      <c r="T48">
        <f>((E48*F48/25000)+((O48/1000)*J48*R48/2.5))*I48*H48</f>
        <v/>
      </c>
      <c r="U48">
        <f>(E48*F48*(O48/1000)*J48*R48*I48*H48)/12500000</f>
        <v/>
      </c>
      <c r="V48">
        <f>(S48+T48+U48)/3</f>
        <v/>
      </c>
      <c r="W48" s="5" t="n">
        <v>1200</v>
      </c>
      <c r="X48">
        <f>IFERROR(V48-W48,"")</f>
        <v/>
      </c>
      <c r="Y48">
        <f>IFERROR(ABS(X48)/MAX(W48,1),"")</f>
        <v/>
      </c>
      <c r="Z48">
        <f>IFERROR((W48-(((E48/100000+F48/100+R48/200)*200*I48*H48)+((E48*F48/25000)*I48*H48))/3)/(((J48/5)*200*I48*H48)+((J48*R48/2.5)*I48*H48)+((E48*F48*J48*R48*I48*H48)/12500000))/3*1000,"")</f>
        <v/>
      </c>
    </row>
    <row r="49">
      <c r="B49" s="6" t="inlineStr">
        <is>
          <t xml:space="preserve">  ↳ DreadshroudSpore</t>
        </is>
      </c>
      <c r="C49" s="6" t="inlineStr">
        <is>
          <t>Armament</t>
        </is>
      </c>
      <c r="K49" s="5" t="n">
        <v>2000</v>
      </c>
      <c r="L49" s="5" t="n">
        <v>60</v>
      </c>
      <c r="M49" s="5" t="n">
        <v>1</v>
      </c>
      <c r="N49" s="5" t="n"/>
      <c r="O49" s="5" t="n">
        <v>5850</v>
      </c>
      <c r="P49" s="5" t="n">
        <v>1</v>
      </c>
      <c r="Q49">
        <f>L49+IF(M49&gt;1,N(N49)*(M49-1),0)</f>
        <v/>
      </c>
      <c r="R49">
        <f>IFERROR(K49*MAX(M49,1)/Q49*P49,0)</f>
        <v/>
      </c>
      <c r="AA49" s="6" t="inlineStr">
        <is>
          <t>^LightFlameWeapon, ^MediumMissile, ^ShrapnelWeapon, ^FlakWeapon, ^MediumChemicalWeapon, ^LaserWeapon</t>
        </is>
      </c>
    </row>
    <row r="50">
      <c r="A50" t="inlineStr">
        <is>
          <t>starcraft</t>
        </is>
      </c>
      <c r="B50" t="inlineStr">
        <is>
          <t>zerg_gorekraken</t>
        </is>
      </c>
      <c r="C50" t="inlineStr">
        <is>
          <t>Gorekraken</t>
        </is>
      </c>
      <c r="D50" t="inlineStr"/>
      <c r="E50" s="5" t="n">
        <v>350000</v>
      </c>
      <c r="F50" s="5" t="n">
        <v>70</v>
      </c>
      <c r="G50" t="inlineStr">
        <is>
          <t>Helicopter</t>
        </is>
      </c>
      <c r="H50" s="5" t="n">
        <v>1</v>
      </c>
      <c r="I50" s="5" t="n">
        <v>1</v>
      </c>
      <c r="J50" s="5" t="n">
        <v>1</v>
      </c>
      <c r="O50">
        <f>MAX(O51)</f>
        <v/>
      </c>
      <c r="R50">
        <f>R51</f>
        <v/>
      </c>
      <c r="S50">
        <f>(E50/100000+F50/100+(O50/1000)*J50/5+R50/200)*200*I50*H50</f>
        <v/>
      </c>
      <c r="T50">
        <f>((E50*F50/25000)+((O50/1000)*J50*R50/2.5))*I50*H50</f>
        <v/>
      </c>
      <c r="U50">
        <f>(E50*F50*(O50/1000)*J50*R50*I50*H50)/12500000</f>
        <v/>
      </c>
      <c r="V50">
        <f>(S50+T50+U50)/3</f>
        <v/>
      </c>
      <c r="W50" s="5" t="n">
        <v>2000</v>
      </c>
      <c r="X50">
        <f>IFERROR(V50-W50,"")</f>
        <v/>
      </c>
      <c r="Y50">
        <f>IFERROR(ABS(X50)/MAX(W50,1),"")</f>
        <v/>
      </c>
      <c r="Z50">
        <f>IFERROR((W50-(((E50/100000+F50/100+R50/200)*200*I50*H50)+((E50*F50/25000)*I50*H50))/3)/(((J50/5)*200*I50*H50)+((J50*R50/2.5)*I50*H50)+((E50*F50*J50*R50*I50*H50)/12500000))/3*1000,"")</f>
        <v/>
      </c>
    </row>
    <row r="51">
      <c r="B51" s="6" t="inlineStr">
        <is>
          <t xml:space="preserve">  ↳ GorekrakenClaw</t>
        </is>
      </c>
      <c r="C51" s="6" t="inlineStr">
        <is>
          <t>Armament</t>
        </is>
      </c>
      <c r="K51" s="5" t="n">
        <v>14000</v>
      </c>
      <c r="L51" s="5" t="n">
        <v>15</v>
      </c>
      <c r="M51" s="5" t="n">
        <v>1</v>
      </c>
      <c r="N51" s="5" t="n"/>
      <c r="O51" s="5" t="n">
        <v>1448</v>
      </c>
      <c r="P51" s="5" t="n">
        <v>1</v>
      </c>
      <c r="Q51">
        <f>L51+IF(M51&gt;1,N(N51)*(M51-1),0)</f>
        <v/>
      </c>
      <c r="R51">
        <f>IFERROR(K51*MAX(M51,1)/Q51*P51,0)</f>
        <v/>
      </c>
      <c r="AA51" s="6" t="inlineStr">
        <is>
          <t>^SwordWeapon</t>
        </is>
      </c>
    </row>
    <row r="52">
      <c r="A52" t="inlineStr">
        <is>
          <t>starcraft</t>
        </is>
      </c>
      <c r="B52" t="inlineStr">
        <is>
          <t>zerg_guardian</t>
        </is>
      </c>
      <c r="C52" t="inlineStr">
        <is>
          <t>Guardian</t>
        </is>
      </c>
      <c r="D52" t="inlineStr"/>
      <c r="E52" s="5" t="n">
        <v>150000</v>
      </c>
      <c r="F52" s="5" t="n">
        <v>50</v>
      </c>
      <c r="G52" t="inlineStr">
        <is>
          <t>Helicopter</t>
        </is>
      </c>
      <c r="H52" s="5" t="n">
        <v>1</v>
      </c>
      <c r="I52" s="5" t="n">
        <v>1</v>
      </c>
      <c r="J52" s="5" t="n">
        <v>1.25</v>
      </c>
      <c r="O52">
        <f>MAX(O53)</f>
        <v/>
      </c>
      <c r="R52">
        <f>R53</f>
        <v/>
      </c>
      <c r="S52">
        <f>(E52/100000+F52/100+(O52/1000)*J52/5+R52/200)*200*I52*H52</f>
        <v/>
      </c>
      <c r="T52">
        <f>((E52*F52/25000)+((O52/1000)*J52*R52/2.5))*I52*H52</f>
        <v/>
      </c>
      <c r="U52">
        <f>(E52*F52*(O52/1000)*J52*R52*I52*H52)/12500000</f>
        <v/>
      </c>
      <c r="V52">
        <f>(S52+T52+U52)/3</f>
        <v/>
      </c>
      <c r="W52" s="5" t="n">
        <v>2200</v>
      </c>
      <c r="X52">
        <f>IFERROR(V52-W52,"")</f>
        <v/>
      </c>
      <c r="Y52">
        <f>IFERROR(ABS(X52)/MAX(W52,1),"")</f>
        <v/>
      </c>
      <c r="Z52">
        <f>IFERROR((W52-(((E52/100000+F52/100+R52/200)*200*I52*H52)+((E52*F52/25000)*I52*H52))/3)/(((J52/5)*200*I52*H52)+((J52*R52/2.5)*I52*H52)+((E52*F52*J52*R52*I52*H52)/12500000))/3*1000,"")</f>
        <v/>
      </c>
    </row>
    <row r="53">
      <c r="B53" s="6" t="inlineStr">
        <is>
          <t xml:space="preserve">  ↳ GuardianShoot</t>
        </is>
      </c>
      <c r="C53" s="6" t="inlineStr">
        <is>
          <t>Armament</t>
        </is>
      </c>
      <c r="K53" s="5" t="n">
        <v>8000</v>
      </c>
      <c r="L53" s="5" t="n">
        <v>60</v>
      </c>
      <c r="M53" s="5" t="n">
        <v>1</v>
      </c>
      <c r="N53" s="5" t="n"/>
      <c r="O53" s="5" t="n">
        <v>10000</v>
      </c>
      <c r="P53" s="5" t="n">
        <v>1</v>
      </c>
      <c r="Q53">
        <f>L53+IF(M53&gt;1,N(N53)*(M53-1),0)</f>
        <v/>
      </c>
      <c r="R53">
        <f>IFERROR(K53*MAX(M53,1)/Q53*P53,0)</f>
        <v/>
      </c>
      <c r="AA53" s="6" t="inlineStr">
        <is>
          <t>^Grenade, ^ShrapnelWeapon, ^HeavyBomb</t>
        </is>
      </c>
    </row>
    <row r="54">
      <c r="A54" t="inlineStr">
        <is>
          <t>starcraft</t>
        </is>
      </c>
      <c r="B54" t="inlineStr">
        <is>
          <t>zerg_mutalisk</t>
        </is>
      </c>
      <c r="C54" t="inlineStr">
        <is>
          <t>Mutalisk</t>
        </is>
      </c>
      <c r="D54" t="inlineStr"/>
      <c r="E54" s="5" t="n">
        <v>40000</v>
      </c>
      <c r="F54" s="5" t="n">
        <v>160</v>
      </c>
      <c r="G54" t="inlineStr">
        <is>
          <t>Helicopter</t>
        </is>
      </c>
      <c r="H54" s="5" t="n">
        <v>1</v>
      </c>
      <c r="I54" s="5" t="n">
        <v>1</v>
      </c>
      <c r="J54" s="5" t="n">
        <v>1.25</v>
      </c>
      <c r="O54">
        <f>MAX(O55)</f>
        <v/>
      </c>
      <c r="R54">
        <f>R55</f>
        <v/>
      </c>
      <c r="S54">
        <f>(E54/100000+F54/100+(O54/1000)*J54/5+R54/200)*200*I54*H54</f>
        <v/>
      </c>
      <c r="T54">
        <f>((E54*F54/25000)+((O54/1000)*J54*R54/2.5))*I54*H54</f>
        <v/>
      </c>
      <c r="U54">
        <f>(E54*F54*(O54/1000)*J54*R54*I54*H54)/12500000</f>
        <v/>
      </c>
      <c r="V54">
        <f>(S54+T54+U54)/3</f>
        <v/>
      </c>
      <c r="W54" s="5" t="n">
        <v>1000</v>
      </c>
      <c r="X54">
        <f>IFERROR(V54-W54,"")</f>
        <v/>
      </c>
      <c r="Y54">
        <f>IFERROR(ABS(X54)/MAX(W54,1),"")</f>
        <v/>
      </c>
      <c r="Z54">
        <f>IFERROR((W54-(((E54/100000+F54/100+R54/200)*200*I54*H54)+((E54*F54/25000)*I54*H54))/3)/(((J54/5)*200*I54*H54)+((J54*R54/2.5)*I54*H54)+((E54*F54*J54*R54*I54*H54)/12500000))/3*1000,"")</f>
        <v/>
      </c>
    </row>
    <row r="55">
      <c r="B55" s="6" t="inlineStr">
        <is>
          <t xml:space="preserve">  ↳ MutaliskSpore</t>
        </is>
      </c>
      <c r="C55" s="6" t="inlineStr">
        <is>
          <t>Armament</t>
        </is>
      </c>
      <c r="K55" s="5" t="n">
        <v>8000</v>
      </c>
      <c r="L55" s="5" t="n">
        <v>20</v>
      </c>
      <c r="M55" s="5" t="n">
        <v>1</v>
      </c>
      <c r="N55" s="5" t="n"/>
      <c r="O55" s="5" t="n">
        <v>4444</v>
      </c>
      <c r="P55" s="5" t="n">
        <v>1</v>
      </c>
      <c r="Q55">
        <f>L55+IF(M55&gt;1,N(N55)*(M55-1),0)</f>
        <v/>
      </c>
      <c r="R55">
        <f>IFERROR(K55*MAX(M55,1)/Q55*P55,0)</f>
        <v/>
      </c>
      <c r="AA55" s="6" t="inlineStr">
        <is>
          <t>^SwordWeapon, ^MediumChemicalWeapon, ^SmallArms, ^ArrowWeapon</t>
        </is>
      </c>
    </row>
    <row r="56">
      <c r="A56" t="inlineStr">
        <is>
          <t>starcraft</t>
        </is>
      </c>
      <c r="B56" t="inlineStr">
        <is>
          <t>zerg_overlord</t>
        </is>
      </c>
      <c r="C56" t="inlineStr">
        <is>
          <t>Zerg Overlord</t>
        </is>
      </c>
      <c r="D56" t="inlineStr"/>
      <c r="E56" s="5" t="n">
        <v>25000</v>
      </c>
      <c r="F56" s="5" t="n">
        <v>30</v>
      </c>
      <c r="G56" t="inlineStr">
        <is>
          <t>Helicopter</t>
        </is>
      </c>
      <c r="H56" s="5" t="n">
        <v>1</v>
      </c>
      <c r="I56" s="5" t="n">
        <v>1</v>
      </c>
      <c r="J56" s="5" t="n">
        <v>1</v>
      </c>
      <c r="W56" s="5" t="n">
        <v>500</v>
      </c>
    </row>
    <row r="57">
      <c r="A57" t="inlineStr">
        <is>
          <t>starcraft</t>
        </is>
      </c>
      <c r="B57" t="inlineStr">
        <is>
          <t>zerg_queen</t>
        </is>
      </c>
      <c r="C57" t="inlineStr">
        <is>
          <t>Queen</t>
        </is>
      </c>
      <c r="D57" t="inlineStr"/>
      <c r="E57" s="5" t="n">
        <v>125000</v>
      </c>
      <c r="F57" s="5" t="n">
        <v>100</v>
      </c>
      <c r="G57" t="inlineStr">
        <is>
          <t>Helicopter</t>
        </is>
      </c>
      <c r="H57" s="5" t="n">
        <v>1</v>
      </c>
      <c r="I57" s="5" t="n">
        <v>1</v>
      </c>
      <c r="J57" s="5" t="n">
        <v>1.25</v>
      </c>
      <c r="O57">
        <f>MAX(O58)</f>
        <v/>
      </c>
      <c r="R57">
        <f>R58</f>
        <v/>
      </c>
      <c r="S57">
        <f>(E57/100000+F57/100+(O57/1000)*J57/5+R57/200)*200*I57*H57</f>
        <v/>
      </c>
      <c r="T57">
        <f>((E57*F57/25000)+((O57/1000)*J57*R57/2.5))*I57*H57</f>
        <v/>
      </c>
      <c r="U57">
        <f>(E57*F57*(O57/1000)*J57*R57*I57*H57)/12500000</f>
        <v/>
      </c>
      <c r="V57">
        <f>(S57+T57+U57)/3</f>
        <v/>
      </c>
      <c r="W57" s="5" t="n">
        <v>1200</v>
      </c>
      <c r="X57">
        <f>IFERROR(V57-W57,"")</f>
        <v/>
      </c>
      <c r="Y57">
        <f>IFERROR(ABS(X57)/MAX(W57,1),"")</f>
        <v/>
      </c>
      <c r="Z57">
        <f>IFERROR((W57-(((E57/100000+F57/100+R57/200)*200*I57*H57)+((E57*F57/25000)*I57*H57))/3)/(((J57/5)*200*I57*H57)+((J57*R57/2.5)*I57*H57)+((E57*F57*J57*R57*I57*H57)/12500000))/3*1000,"")</f>
        <v/>
      </c>
    </row>
    <row r="58">
      <c r="B58" s="6" t="inlineStr">
        <is>
          <t xml:space="preserve">  ↳ QueenSpine</t>
        </is>
      </c>
      <c r="C58" s="6" t="inlineStr">
        <is>
          <t>Armament@Spines</t>
        </is>
      </c>
      <c r="K58" s="5" t="n">
        <v>10000</v>
      </c>
      <c r="L58" s="5" t="n">
        <v>78</v>
      </c>
      <c r="M58" s="5" t="n">
        <v>1</v>
      </c>
      <c r="N58" s="5" t="n"/>
      <c r="O58" s="5" t="n">
        <v>5480</v>
      </c>
      <c r="P58" s="5" t="n">
        <v>1</v>
      </c>
      <c r="Q58">
        <f>L58+IF(M58&gt;1,N(N58)*(M58-1),0)</f>
        <v/>
      </c>
      <c r="R58">
        <f>IFERROR(K58*MAX(M58,1)/Q58*P58,0)</f>
        <v/>
      </c>
      <c r="AA58" s="6" t="inlineStr">
        <is>
          <t>^MediumChemicalWeapon, ^ArrowWeapon</t>
        </is>
      </c>
    </row>
    <row r="59">
      <c r="A59" t="inlineStr">
        <is>
          <t>starcraft</t>
        </is>
      </c>
      <c r="B59" t="inlineStr">
        <is>
          <t>zerg_scourge</t>
        </is>
      </c>
      <c r="C59" t="inlineStr">
        <is>
          <t>Scourge</t>
        </is>
      </c>
      <c r="D59" t="inlineStr"/>
      <c r="E59" s="5" t="n">
        <v>25000</v>
      </c>
      <c r="F59" s="5" t="n">
        <v>200</v>
      </c>
      <c r="G59" t="inlineStr">
        <is>
          <t>Fighter</t>
        </is>
      </c>
      <c r="H59" s="5" t="n">
        <v>1</v>
      </c>
      <c r="I59" s="5" t="n">
        <v>1</v>
      </c>
      <c r="J59" s="5" t="n">
        <v>1</v>
      </c>
      <c r="O59">
        <f>MAX(O60)</f>
        <v/>
      </c>
      <c r="R59">
        <f>R60</f>
        <v/>
      </c>
      <c r="S59">
        <f>(E59/100000+F59/100+(O59/1000)*J59/5+R59/200)*200*I59*H59</f>
        <v/>
      </c>
      <c r="T59">
        <f>((E59*F59/25000)+((O59/1000)*J59*R59/2.5))*I59*H59</f>
        <v/>
      </c>
      <c r="U59">
        <f>(E59*F59*(O59/1000)*J59*R59*I59*H59)/12500000</f>
        <v/>
      </c>
      <c r="V59">
        <f>(S59+T59+U59)/3</f>
        <v/>
      </c>
      <c r="W59" s="5" t="n">
        <v>700</v>
      </c>
      <c r="X59">
        <f>IFERROR(V59-W59,"")</f>
        <v/>
      </c>
      <c r="Y59">
        <f>IFERROR(ABS(X59)/MAX(W59,1),"")</f>
        <v/>
      </c>
      <c r="Z59">
        <f>IFERROR((W59-(((E59/100000+F59/100+R59/200)*200*I59*H59)+((E59*F59/25000)*I59*H59))/3)/(((J59/5)*200*I59*H59)+((J59*R59/2.5)*I59*H59)+((E59*F59*J59*R59*I59*H59)/12500000))/3*1000,"")</f>
        <v/>
      </c>
    </row>
    <row r="60">
      <c r="B60" s="6" t="inlineStr">
        <is>
          <t xml:space="preserve">  ↳ ScourgeExplosion</t>
        </is>
      </c>
      <c r="C60" s="6" t="inlineStr">
        <is>
          <t>Armament@PRIMARY</t>
        </is>
      </c>
      <c r="K60" s="5" t="n">
        <v>50000</v>
      </c>
      <c r="L60" s="5" t="n">
        <v>25</v>
      </c>
      <c r="M60" s="5" t="n">
        <v>1</v>
      </c>
      <c r="N60" s="5" t="n"/>
      <c r="O60" s="5" t="n">
        <v>2000</v>
      </c>
      <c r="P60" s="5" t="n">
        <v>1</v>
      </c>
      <c r="Q60">
        <f>L60+IF(M60&gt;1,N(N60)*(M60-1),0)</f>
        <v/>
      </c>
      <c r="R60">
        <f>IFERROR(K60*MAX(M60,1)/Q60*P60,0)</f>
        <v/>
      </c>
      <c r="AA60" s="6" t="inlineStr">
        <is>
          <t>^HeavyBomb, ^ShrapnelWeapon, ^RA2Grenade</t>
        </is>
      </c>
    </row>
    <row r="61">
      <c r="A61" s="3" t="inlineStr">
        <is>
          <t>DEFENSES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>
      <c r="A62" t="inlineStr">
        <is>
          <t>starcraft</t>
        </is>
      </c>
      <c r="B62" t="inlineStr">
        <is>
          <t>zerg_creepcolony</t>
        </is>
      </c>
      <c r="C62" t="inlineStr">
        <is>
          <t>Creep Colony</t>
        </is>
      </c>
      <c r="D62" t="inlineStr"/>
      <c r="E62" s="5" t="n">
        <v>80000</v>
      </c>
      <c r="F62" s="5" t="n">
        <v>100</v>
      </c>
      <c r="G62" t="inlineStr">
        <is>
          <t>Wood</t>
        </is>
      </c>
      <c r="H62" s="5" t="n">
        <v>1</v>
      </c>
      <c r="I62" s="5" t="n">
        <v>1</v>
      </c>
      <c r="J62" s="5" t="n">
        <v>1</v>
      </c>
      <c r="O62">
        <f>MAX(O63,O64)</f>
        <v/>
      </c>
      <c r="R62">
        <f>R63+R64</f>
        <v/>
      </c>
      <c r="S62">
        <f>(E62/100000+F62/100+(O62/1000)*J62/5+R62/200)*200*I62*H62</f>
        <v/>
      </c>
      <c r="T62">
        <f>((E62*F62/25000)+((O62/1000)*J62*R62/2.5))*I62*H62</f>
        <v/>
      </c>
      <c r="U62">
        <f>(E62*F62*(O62/1000)*J62*R62*I62*H62)/12500000</f>
        <v/>
      </c>
      <c r="V62">
        <f>(S62+T62+U62)/3</f>
        <v/>
      </c>
      <c r="W62" s="5" t="n">
        <v>1000</v>
      </c>
      <c r="X62">
        <f>IFERROR(V62-W62,"")</f>
        <v/>
      </c>
      <c r="Y62">
        <f>IFERROR(ABS(X62)/MAX(W62,1),"")</f>
        <v/>
      </c>
      <c r="Z62">
        <f>IFERROR((W62-(((E62/100000+F62/100+R62/200)*200*I62*H62)+((E62*F62/25000)*I62*H62))/3)/(((J62/5)*200*I62*H62)+((J62*R62/2.5)*I62*H62)+((E62*F62*J62*R62*I62*H62)/12500000))/3*1000,"")</f>
        <v/>
      </c>
    </row>
    <row r="63">
      <c r="B63" s="6" t="inlineStr">
        <is>
          <t xml:space="preserve">  ↳ Tentacle</t>
        </is>
      </c>
      <c r="C63" s="6" t="inlineStr">
        <is>
          <t>Armament@sunken</t>
        </is>
      </c>
      <c r="K63" s="5" t="n">
        <v>6000</v>
      </c>
      <c r="L63" s="5" t="n">
        <v>32</v>
      </c>
      <c r="M63" s="5" t="n">
        <v>1</v>
      </c>
      <c r="N63" s="5" t="n"/>
      <c r="O63" s="5" t="n">
        <v>7680</v>
      </c>
      <c r="P63" s="5" t="n">
        <v>1</v>
      </c>
      <c r="Q63">
        <f>L63+IF(M63&gt;1,N(N63)*(M63-1),0)</f>
        <v/>
      </c>
      <c r="R63">
        <f>IFERROR(K63*MAX(M63,1)/Q63*P63,0)</f>
        <v/>
      </c>
      <c r="AA63" s="6" t="inlineStr">
        <is>
          <t>^RailgunWeapon, ^Chaingun, ^HeavyCannon, ^SwordWeapon</t>
        </is>
      </c>
    </row>
    <row r="64">
      <c r="B64" s="6" t="inlineStr">
        <is>
          <t xml:space="preserve">  ↳ Spore</t>
        </is>
      </c>
      <c r="C64" s="6" t="inlineStr">
        <is>
          <t>Armament@spore</t>
        </is>
      </c>
      <c r="K64" s="5" t="n">
        <v>12000</v>
      </c>
      <c r="L64" s="5" t="n">
        <v>34</v>
      </c>
      <c r="M64" s="5" t="n">
        <v>1</v>
      </c>
      <c r="N64" s="5" t="n"/>
      <c r="O64" s="5" t="n">
        <v>10160</v>
      </c>
      <c r="P64" s="5" t="n">
        <v>1</v>
      </c>
      <c r="Q64">
        <f>L64+IF(M64&gt;1,N(N64)*(M64-1),0)</f>
        <v/>
      </c>
      <c r="R64">
        <f>IFERROR(K64*MAX(M64,1)/Q64*P64,0)</f>
        <v/>
      </c>
      <c r="AA64" s="6" t="inlineStr">
        <is>
          <t>^MediumMissile, ^Chaingun, ^FlakWeapon</t>
        </is>
      </c>
    </row>
    <row r="65">
      <c r="A65" t="inlineStr">
        <is>
          <t>starcraft</t>
        </is>
      </c>
      <c r="B65" t="inlineStr">
        <is>
          <t>zerg_creepcolony_2</t>
        </is>
      </c>
      <c r="C65" t="inlineStr">
        <is>
          <t>Creep Colony</t>
        </is>
      </c>
      <c r="D65" t="inlineStr"/>
      <c r="E65" s="5" t="n">
        <v>80000</v>
      </c>
      <c r="F65" s="5" t="n">
        <v>100</v>
      </c>
      <c r="G65" t="inlineStr">
        <is>
          <t>Wood</t>
        </is>
      </c>
      <c r="H65" s="5" t="n">
        <v>1</v>
      </c>
      <c r="I65" s="5" t="n">
        <v>1</v>
      </c>
      <c r="J65" s="5" t="n">
        <v>1</v>
      </c>
      <c r="O65">
        <f>MAX(O66,O67)</f>
        <v/>
      </c>
      <c r="R65">
        <f>R66+R67</f>
        <v/>
      </c>
      <c r="S65">
        <f>(E65/100000+F65/100+(O65/1000)*J65/5+R65/200)*200*I65*H65</f>
        <v/>
      </c>
      <c r="T65">
        <f>((E65*F65/25000)+((O65/1000)*J65*R65/2.5))*I65*H65</f>
        <v/>
      </c>
      <c r="U65">
        <f>(E65*F65*(O65/1000)*J65*R65*I65*H65)/12500000</f>
        <v/>
      </c>
      <c r="V65">
        <f>(S65+T65+U65)/3</f>
        <v/>
      </c>
      <c r="W65" s="5" t="n">
        <v>1000</v>
      </c>
      <c r="X65">
        <f>IFERROR(V65-W65,"")</f>
        <v/>
      </c>
      <c r="Y65">
        <f>IFERROR(ABS(X65)/MAX(W65,1),"")</f>
        <v/>
      </c>
      <c r="Z65">
        <f>IFERROR((W65-(((E65/100000+F65/100+R65/200)*200*I65*H65)+((E65*F65/25000)*I65*H65))/3)/(((J65/5)*200*I65*H65)+((J65*R65/2.5)*I65*H65)+((E65*F65*J65*R65*I65*H65)/12500000))/3*1000,"")</f>
        <v/>
      </c>
    </row>
    <row r="66">
      <c r="B66" s="6" t="inlineStr">
        <is>
          <t xml:space="preserve">  ↳ Tentacle</t>
        </is>
      </c>
      <c r="C66" s="6" t="inlineStr">
        <is>
          <t>Armament@sunken</t>
        </is>
      </c>
      <c r="K66" s="5" t="n">
        <v>6000</v>
      </c>
      <c r="L66" s="5" t="n">
        <v>32</v>
      </c>
      <c r="M66" s="5" t="n">
        <v>1</v>
      </c>
      <c r="N66" s="5" t="n"/>
      <c r="O66" s="5" t="n">
        <v>7680</v>
      </c>
      <c r="P66" s="5" t="n">
        <v>1</v>
      </c>
      <c r="Q66">
        <f>L66+IF(M66&gt;1,N(N66)*(M66-1),0)</f>
        <v/>
      </c>
      <c r="R66">
        <f>IFERROR(K66*MAX(M66,1)/Q66*P66,0)</f>
        <v/>
      </c>
      <c r="AA66" s="6" t="inlineStr">
        <is>
          <t>^RailgunWeapon, ^Chaingun, ^HeavyCannon, ^SwordWeapon</t>
        </is>
      </c>
    </row>
    <row r="67">
      <c r="B67" s="6" t="inlineStr">
        <is>
          <t xml:space="preserve">  ↳ Spore</t>
        </is>
      </c>
      <c r="C67" s="6" t="inlineStr">
        <is>
          <t>Armament@spore</t>
        </is>
      </c>
      <c r="K67" s="5" t="n">
        <v>12000</v>
      </c>
      <c r="L67" s="5" t="n">
        <v>34</v>
      </c>
      <c r="M67" s="5" t="n">
        <v>1</v>
      </c>
      <c r="N67" s="5" t="n"/>
      <c r="O67" s="5" t="n">
        <v>10160</v>
      </c>
      <c r="P67" s="5" t="n">
        <v>1</v>
      </c>
      <c r="Q67">
        <f>L67+IF(M67&gt;1,N(N67)*(M67-1),0)</f>
        <v/>
      </c>
      <c r="R67">
        <f>IFERROR(K67*MAX(M67,1)/Q67*P67,0)</f>
        <v/>
      </c>
      <c r="AA67" s="6" t="inlineStr">
        <is>
          <t>^MediumMissile, ^Chaingun, ^FlakWeapon</t>
        </is>
      </c>
    </row>
    <row r="68">
      <c r="A68" t="inlineStr">
        <is>
          <t>starcraft</t>
        </is>
      </c>
      <c r="B68" t="inlineStr">
        <is>
          <t>zerg_sporecolony</t>
        </is>
      </c>
      <c r="C68" t="inlineStr">
        <is>
          <t>Spore Colony</t>
        </is>
      </c>
      <c r="D68" t="inlineStr"/>
      <c r="E68" s="5" t="n">
        <v>80000</v>
      </c>
      <c r="F68" s="5" t="n">
        <v>100</v>
      </c>
      <c r="G68" t="inlineStr">
        <is>
          <t>Wood</t>
        </is>
      </c>
      <c r="H68" s="5" t="n">
        <v>1</v>
      </c>
      <c r="I68" s="5" t="n">
        <v>1</v>
      </c>
      <c r="J68" s="5" t="n">
        <v>1</v>
      </c>
      <c r="O68">
        <f>MAX(O69,O70)</f>
        <v/>
      </c>
      <c r="R68">
        <f>R69+R70</f>
        <v/>
      </c>
      <c r="S68">
        <f>(E68/100000+F68/100+(O68/1000)*J68/5+R68/200)*200*I68*H68</f>
        <v/>
      </c>
      <c r="T68">
        <f>((E68*F68/25000)+((O68/1000)*J68*R68/2.5))*I68*H68</f>
        <v/>
      </c>
      <c r="U68">
        <f>(E68*F68*(O68/1000)*J68*R68*I68*H68)/12500000</f>
        <v/>
      </c>
      <c r="V68">
        <f>(S68+T68+U68)/3</f>
        <v/>
      </c>
      <c r="W68" s="5" t="n">
        <v>1250</v>
      </c>
      <c r="X68">
        <f>IFERROR(V68-W68,"")</f>
        <v/>
      </c>
      <c r="Y68">
        <f>IFERROR(ABS(X68)/MAX(W68,1),"")</f>
        <v/>
      </c>
      <c r="Z68">
        <f>IFERROR((W68-(((E68/100000+F68/100+R68/200)*200*I68*H68)+((E68*F68/25000)*I68*H68))/3)/(((J68/5)*200*I68*H68)+((J68*R68/2.5)*I68*H68)+((E68*F68*J68*R68*I68*H68)/12500000))/3*1000,"")</f>
        <v/>
      </c>
    </row>
    <row r="69">
      <c r="B69" s="6" t="inlineStr">
        <is>
          <t xml:space="preserve">  ↳ Tentacle</t>
        </is>
      </c>
      <c r="C69" s="6" t="inlineStr">
        <is>
          <t>Armament@sunken</t>
        </is>
      </c>
      <c r="K69" s="5" t="n">
        <v>6000</v>
      </c>
      <c r="L69" s="5" t="n">
        <v>32</v>
      </c>
      <c r="M69" s="5" t="n">
        <v>1</v>
      </c>
      <c r="N69" s="5" t="n"/>
      <c r="O69" s="5" t="n">
        <v>7680</v>
      </c>
      <c r="P69" s="5" t="n">
        <v>1</v>
      </c>
      <c r="Q69">
        <f>L69+IF(M69&gt;1,N(N69)*(M69-1),0)</f>
        <v/>
      </c>
      <c r="R69">
        <f>IFERROR(K69*MAX(M69,1)/Q69*P69,0)</f>
        <v/>
      </c>
      <c r="AA69" s="6" t="inlineStr">
        <is>
          <t>^RailgunWeapon, ^Chaingun, ^HeavyCannon, ^SwordWeapon</t>
        </is>
      </c>
    </row>
    <row r="70">
      <c r="B70" s="6" t="inlineStr">
        <is>
          <t xml:space="preserve">  ↳ Spore</t>
        </is>
      </c>
      <c r="C70" s="6" t="inlineStr">
        <is>
          <t>Armament@spore</t>
        </is>
      </c>
      <c r="K70" s="5" t="n">
        <v>12000</v>
      </c>
      <c r="L70" s="5" t="n">
        <v>34</v>
      </c>
      <c r="M70" s="5" t="n">
        <v>1</v>
      </c>
      <c r="N70" s="5" t="n"/>
      <c r="O70" s="5" t="n">
        <v>10160</v>
      </c>
      <c r="P70" s="5" t="n">
        <v>1</v>
      </c>
      <c r="Q70">
        <f>L70+IF(M70&gt;1,N(N70)*(M70-1),0)</f>
        <v/>
      </c>
      <c r="R70">
        <f>IFERROR(K70*MAX(M70,1)/Q70*P70,0)</f>
        <v/>
      </c>
      <c r="AA70" s="6" t="inlineStr">
        <is>
          <t>^MediumMissile, ^Chaingun, ^FlakWeapon</t>
        </is>
      </c>
    </row>
    <row r="71">
      <c r="A71" t="inlineStr">
        <is>
          <t>starcraft</t>
        </is>
      </c>
      <c r="B71" t="inlineStr">
        <is>
          <t>zerg_sunkencolony_2</t>
        </is>
      </c>
      <c r="C71" t="inlineStr">
        <is>
          <t>Sunken Colony</t>
        </is>
      </c>
      <c r="D71" t="inlineStr"/>
      <c r="E71" s="5" t="n">
        <v>80000</v>
      </c>
      <c r="F71" s="5" t="n">
        <v>100</v>
      </c>
      <c r="G71" t="inlineStr">
        <is>
          <t>Wood</t>
        </is>
      </c>
      <c r="H71" s="5" t="n">
        <v>1</v>
      </c>
      <c r="I71" s="5" t="n">
        <v>1</v>
      </c>
      <c r="J71" s="5" t="n">
        <v>1</v>
      </c>
      <c r="O71">
        <f>MAX(O72,O73)</f>
        <v/>
      </c>
      <c r="R71">
        <f>R72+R73</f>
        <v/>
      </c>
      <c r="S71">
        <f>(E71/100000+F71/100+(O71/1000)*J71/5+R71/200)*200*I71*H71</f>
        <v/>
      </c>
      <c r="T71">
        <f>((E71*F71/25000)+((O71/1000)*J71*R71/2.5))*I71*H71</f>
        <v/>
      </c>
      <c r="U71">
        <f>(E71*F71*(O71/1000)*J71*R71*I71*H71)/12500000</f>
        <v/>
      </c>
      <c r="V71">
        <f>(S71+T71+U71)/3</f>
        <v/>
      </c>
      <c r="W71" s="5" t="n">
        <v>1250</v>
      </c>
      <c r="X71">
        <f>IFERROR(V71-W71,"")</f>
        <v/>
      </c>
      <c r="Y71">
        <f>IFERROR(ABS(X71)/MAX(W71,1),"")</f>
        <v/>
      </c>
      <c r="Z71">
        <f>IFERROR((W71-(((E71/100000+F71/100+R71/200)*200*I71*H71)+((E71*F71/25000)*I71*H71))/3)/(((J71/5)*200*I71*H71)+((J71*R71/2.5)*I71*H71)+((E71*F71*J71*R71*I71*H71)/12500000))/3*1000,"")</f>
        <v/>
      </c>
    </row>
    <row r="72">
      <c r="B72" s="6" t="inlineStr">
        <is>
          <t xml:space="preserve">  ↳ Tentacle</t>
        </is>
      </c>
      <c r="C72" s="6" t="inlineStr">
        <is>
          <t>Armament@sunken</t>
        </is>
      </c>
      <c r="K72" s="5" t="n">
        <v>6000</v>
      </c>
      <c r="L72" s="5" t="n">
        <v>32</v>
      </c>
      <c r="M72" s="5" t="n">
        <v>1</v>
      </c>
      <c r="N72" s="5" t="n"/>
      <c r="O72" s="5" t="n">
        <v>7680</v>
      </c>
      <c r="P72" s="5" t="n">
        <v>1</v>
      </c>
      <c r="Q72">
        <f>L72+IF(M72&gt;1,N(N72)*(M72-1),0)</f>
        <v/>
      </c>
      <c r="R72">
        <f>IFERROR(K72*MAX(M72,1)/Q72*P72,0)</f>
        <v/>
      </c>
      <c r="AA72" s="6" t="inlineStr">
        <is>
          <t>^RailgunWeapon, ^Chaingun, ^HeavyCannon, ^SwordWeapon</t>
        </is>
      </c>
    </row>
    <row r="73">
      <c r="B73" s="6" t="inlineStr">
        <is>
          <t xml:space="preserve">  ↳ Spore</t>
        </is>
      </c>
      <c r="C73" s="6" t="inlineStr">
        <is>
          <t>Armament@spore</t>
        </is>
      </c>
      <c r="K73" s="5" t="n">
        <v>12000</v>
      </c>
      <c r="L73" s="5" t="n">
        <v>34</v>
      </c>
      <c r="M73" s="5" t="n">
        <v>1</v>
      </c>
      <c r="N73" s="5" t="n"/>
      <c r="O73" s="5" t="n">
        <v>10160</v>
      </c>
      <c r="P73" s="5" t="n">
        <v>1</v>
      </c>
      <c r="Q73">
        <f>L73+IF(M73&gt;1,N(N73)*(M73-1),0)</f>
        <v/>
      </c>
      <c r="R73">
        <f>IFERROR(K73*MAX(M73,1)/Q73*P73,0)</f>
        <v/>
      </c>
      <c r="AA73" s="6" t="inlineStr">
        <is>
          <t>^MediumMissile, ^Chaingun, ^FlakWeapon</t>
        </is>
      </c>
    </row>
    <row r="74">
      <c r="A74" s="3" t="inlineStr">
        <is>
          <t>BUILDINGS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</row>
    <row r="75">
      <c r="A75" t="inlineStr">
        <is>
          <t>starcraft</t>
        </is>
      </c>
      <c r="B75" t="inlineStr">
        <is>
          <t>zerg_defilermound</t>
        </is>
      </c>
      <c r="C75" t="inlineStr">
        <is>
          <t>Defiler Mound</t>
        </is>
      </c>
      <c r="D75" t="inlineStr"/>
      <c r="E75" s="5" t="n">
        <v>200000</v>
      </c>
      <c r="F75" s="5" t="n"/>
      <c r="G75" t="inlineStr">
        <is>
          <t>Wood</t>
        </is>
      </c>
      <c r="H75" s="5" t="n">
        <v>1</v>
      </c>
      <c r="I75" s="5" t="n">
        <v>1</v>
      </c>
      <c r="J75" s="5" t="n">
        <v>1</v>
      </c>
      <c r="W75" s="5" t="n">
        <v>2000</v>
      </c>
    </row>
    <row r="76">
      <c r="A76" t="inlineStr">
        <is>
          <t>starcraft</t>
        </is>
      </c>
      <c r="B76" t="inlineStr">
        <is>
          <t>zerg_evolutionchamber</t>
        </is>
      </c>
      <c r="C76" t="inlineStr">
        <is>
          <t>Evolution Chamber</t>
        </is>
      </c>
      <c r="D76" t="inlineStr"/>
      <c r="E76" s="5" t="n">
        <v>200000</v>
      </c>
      <c r="F76" s="5" t="n"/>
      <c r="G76" t="inlineStr">
        <is>
          <t>Wood</t>
        </is>
      </c>
      <c r="H76" s="5" t="n">
        <v>1</v>
      </c>
      <c r="I76" s="5" t="n">
        <v>1</v>
      </c>
      <c r="J76" s="5" t="n">
        <v>1</v>
      </c>
      <c r="W76" s="5" t="n">
        <v>2000</v>
      </c>
    </row>
    <row r="77">
      <c r="A77" t="inlineStr">
        <is>
          <t>starcraft</t>
        </is>
      </c>
      <c r="B77" t="inlineStr">
        <is>
          <t>zerg_extractor</t>
        </is>
      </c>
      <c r="C77" t="inlineStr">
        <is>
          <t>Extractor</t>
        </is>
      </c>
      <c r="D77" t="inlineStr"/>
      <c r="E77" s="5" t="n">
        <v>300000</v>
      </c>
      <c r="F77" s="5" t="n"/>
      <c r="G77" t="inlineStr">
        <is>
          <t>Concrete</t>
        </is>
      </c>
      <c r="H77" s="5" t="n">
        <v>1</v>
      </c>
      <c r="I77" s="5" t="n">
        <v>1</v>
      </c>
      <c r="J77" s="5" t="n">
        <v>1</v>
      </c>
      <c r="W77" s="5" t="n">
        <v>3000</v>
      </c>
    </row>
    <row r="78">
      <c r="A78" t="inlineStr">
        <is>
          <t>starcraft</t>
        </is>
      </c>
      <c r="B78" t="inlineStr">
        <is>
          <t>zerg_greaterspire</t>
        </is>
      </c>
      <c r="C78" t="inlineStr">
        <is>
          <t>Greater Spire</t>
        </is>
      </c>
      <c r="D78" t="inlineStr"/>
      <c r="E78" s="5" t="n"/>
      <c r="F78" s="5" t="n"/>
      <c r="H78" s="5" t="n">
        <v>1</v>
      </c>
      <c r="I78" s="5" t="n">
        <v>1</v>
      </c>
      <c r="J78" s="5" t="n">
        <v>1</v>
      </c>
      <c r="W78" s="5" t="n">
        <v>1500</v>
      </c>
    </row>
    <row r="79">
      <c r="A79" t="inlineStr">
        <is>
          <t>starcraft</t>
        </is>
      </c>
      <c r="B79" t="inlineStr">
        <is>
          <t>zerg_hatchery</t>
        </is>
      </c>
      <c r="C79" t="inlineStr">
        <is>
          <t>Hatchery</t>
        </is>
      </c>
      <c r="D79" t="inlineStr"/>
      <c r="E79" s="5" t="n">
        <v>1000000</v>
      </c>
      <c r="F79" s="5" t="n"/>
      <c r="G79" t="inlineStr">
        <is>
          <t>Concrete</t>
        </is>
      </c>
      <c r="H79" s="5" t="n">
        <v>1</v>
      </c>
      <c r="I79" s="5" t="n">
        <v>1</v>
      </c>
      <c r="J79" s="5" t="n">
        <v>1</v>
      </c>
      <c r="W79" s="5" t="n">
        <v>5000</v>
      </c>
    </row>
    <row r="80">
      <c r="A80" t="inlineStr">
        <is>
          <t>starcraft</t>
        </is>
      </c>
      <c r="B80" t="inlineStr">
        <is>
          <t>zerg_hive</t>
        </is>
      </c>
      <c r="C80" t="inlineStr">
        <is>
          <t>Hive</t>
        </is>
      </c>
      <c r="D80" t="inlineStr"/>
      <c r="E80" s="5" t="n"/>
      <c r="F80" s="5" t="n"/>
      <c r="H80" s="5" t="n">
        <v>1</v>
      </c>
      <c r="I80" s="5" t="n">
        <v>1</v>
      </c>
      <c r="J80" s="5" t="n">
        <v>1</v>
      </c>
      <c r="W80" s="5" t="n">
        <v>2000</v>
      </c>
    </row>
    <row r="81">
      <c r="A81" t="inlineStr">
        <is>
          <t>starcraft</t>
        </is>
      </c>
      <c r="B81" t="inlineStr">
        <is>
          <t>zerg_hydraliskden</t>
        </is>
      </c>
      <c r="C81" t="inlineStr">
        <is>
          <t>Hydralisk Den</t>
        </is>
      </c>
      <c r="D81" t="inlineStr"/>
      <c r="E81" s="5" t="n">
        <v>150000</v>
      </c>
      <c r="F81" s="5" t="n"/>
      <c r="G81" t="inlineStr">
        <is>
          <t>Wood</t>
        </is>
      </c>
      <c r="H81" s="5" t="n">
        <v>1</v>
      </c>
      <c r="I81" s="5" t="n">
        <v>1</v>
      </c>
      <c r="J81" s="5" t="n">
        <v>1</v>
      </c>
      <c r="W81" s="5" t="n">
        <v>1500</v>
      </c>
    </row>
    <row r="82">
      <c r="A82" t="inlineStr">
        <is>
          <t>starcraft</t>
        </is>
      </c>
      <c r="B82" t="inlineStr">
        <is>
          <t>zerg_infestedcommandcenter</t>
        </is>
      </c>
      <c r="C82" t="inlineStr">
        <is>
          <t>Infested Command Center</t>
        </is>
      </c>
      <c r="D82" t="inlineStr"/>
      <c r="E82" s="5" t="n">
        <v>400000</v>
      </c>
      <c r="F82" s="5" t="n"/>
      <c r="G82" t="inlineStr">
        <is>
          <t>Concrete</t>
        </is>
      </c>
      <c r="H82" s="5" t="n">
        <v>1</v>
      </c>
      <c r="I82" s="5" t="n">
        <v>1</v>
      </c>
      <c r="J82" s="5" t="n">
        <v>1</v>
      </c>
      <c r="W82" s="5" t="n">
        <v>2000</v>
      </c>
    </row>
    <row r="83">
      <c r="A83" t="inlineStr">
        <is>
          <t>starcraft</t>
        </is>
      </c>
      <c r="B83" t="inlineStr">
        <is>
          <t>zerg_lair</t>
        </is>
      </c>
      <c r="C83" t="inlineStr">
        <is>
          <t>Lair</t>
        </is>
      </c>
      <c r="D83" t="inlineStr"/>
      <c r="E83" s="5" t="n"/>
      <c r="F83" s="5" t="n"/>
      <c r="H83" s="5" t="n">
        <v>1</v>
      </c>
      <c r="I83" s="5" t="n">
        <v>1</v>
      </c>
      <c r="J83" s="5" t="n">
        <v>1</v>
      </c>
      <c r="W83" s="5" t="n">
        <v>1400</v>
      </c>
    </row>
    <row r="84">
      <c r="A84" t="inlineStr">
        <is>
          <t>starcraft</t>
        </is>
      </c>
      <c r="B84" t="inlineStr">
        <is>
          <t>zerg_nyduscanal</t>
        </is>
      </c>
      <c r="C84" t="inlineStr">
        <is>
          <t>Nydus Canal</t>
        </is>
      </c>
      <c r="D84" t="inlineStr"/>
      <c r="E84" s="5" t="n">
        <v>25000</v>
      </c>
      <c r="F84" s="5" t="n"/>
      <c r="G84" t="inlineStr">
        <is>
          <t>Wood</t>
        </is>
      </c>
      <c r="H84" s="5" t="n">
        <v>1</v>
      </c>
      <c r="I84" s="5" t="n">
        <v>1</v>
      </c>
      <c r="J84" s="5" t="n">
        <v>1</v>
      </c>
      <c r="W84" s="5" t="n">
        <v>800</v>
      </c>
    </row>
    <row r="85">
      <c r="A85" t="inlineStr">
        <is>
          <t>starcraft</t>
        </is>
      </c>
      <c r="B85" t="inlineStr">
        <is>
          <t>zerg_overmind</t>
        </is>
      </c>
      <c r="C85" t="inlineStr">
        <is>
          <t>Overmind</t>
        </is>
      </c>
      <c r="D85" t="inlineStr"/>
      <c r="E85" s="5" t="n">
        <v>500000</v>
      </c>
      <c r="F85" s="5" t="n"/>
      <c r="G85" t="inlineStr">
        <is>
          <t>Concrete</t>
        </is>
      </c>
      <c r="H85" s="5" t="n">
        <v>1</v>
      </c>
      <c r="I85" s="5" t="n">
        <v>1</v>
      </c>
      <c r="J85" s="5" t="n">
        <v>1</v>
      </c>
      <c r="W85" s="5" t="n">
        <v>5000</v>
      </c>
    </row>
    <row r="86">
      <c r="A86" t="inlineStr">
        <is>
          <t>starcraft</t>
        </is>
      </c>
      <c r="B86" t="inlineStr">
        <is>
          <t>zerg_queensnest</t>
        </is>
      </c>
      <c r="C86" t="inlineStr">
        <is>
          <t>Queen's Nest</t>
        </is>
      </c>
      <c r="D86" t="inlineStr"/>
      <c r="E86" s="5" t="n">
        <v>150000</v>
      </c>
      <c r="F86" s="5" t="n"/>
      <c r="G86" t="inlineStr">
        <is>
          <t>Wood</t>
        </is>
      </c>
      <c r="H86" s="5" t="n">
        <v>1</v>
      </c>
      <c r="I86" s="5" t="n">
        <v>1</v>
      </c>
      <c r="J86" s="5" t="n">
        <v>1</v>
      </c>
      <c r="W86" s="5" t="n">
        <v>1500</v>
      </c>
    </row>
    <row r="87">
      <c r="A87" t="inlineStr">
        <is>
          <t>starcraft</t>
        </is>
      </c>
      <c r="B87" t="inlineStr">
        <is>
          <t>zerg_spawningpool</t>
        </is>
      </c>
      <c r="C87" t="inlineStr">
        <is>
          <t>Spawning Pool</t>
        </is>
      </c>
      <c r="D87" t="inlineStr"/>
      <c r="E87" s="5" t="n">
        <v>125000</v>
      </c>
      <c r="F87" s="5" t="n"/>
      <c r="G87" t="inlineStr">
        <is>
          <t>Wood</t>
        </is>
      </c>
      <c r="H87" s="5" t="n">
        <v>1</v>
      </c>
      <c r="I87" s="5" t="n">
        <v>1</v>
      </c>
      <c r="J87" s="5" t="n">
        <v>1</v>
      </c>
      <c r="W87" s="5" t="n">
        <v>1250</v>
      </c>
    </row>
    <row r="88">
      <c r="A88" t="inlineStr">
        <is>
          <t>starcraft</t>
        </is>
      </c>
      <c r="B88" t="inlineStr">
        <is>
          <t>zerg_spire</t>
        </is>
      </c>
      <c r="C88" t="inlineStr">
        <is>
          <t>Spire</t>
        </is>
      </c>
      <c r="D88" t="inlineStr"/>
      <c r="E88" s="5" t="n">
        <v>150000</v>
      </c>
      <c r="F88" s="5" t="n"/>
      <c r="G88" t="inlineStr">
        <is>
          <t>Wood</t>
        </is>
      </c>
      <c r="H88" s="5" t="n">
        <v>1</v>
      </c>
      <c r="I88" s="5" t="n">
        <v>1</v>
      </c>
      <c r="J88" s="5" t="n">
        <v>1</v>
      </c>
      <c r="W88" s="5" t="n">
        <v>1500</v>
      </c>
    </row>
    <row r="89">
      <c r="A89" t="inlineStr">
        <is>
          <t>starcraft</t>
        </is>
      </c>
      <c r="B89" t="inlineStr">
        <is>
          <t>zerg_sporecolony_2</t>
        </is>
      </c>
      <c r="C89" t="inlineStr">
        <is>
          <t>Spore Colony</t>
        </is>
      </c>
      <c r="D89" t="inlineStr"/>
      <c r="E89" s="5" t="n"/>
      <c r="F89" s="5" t="n"/>
      <c r="H89" s="5" t="n">
        <v>1</v>
      </c>
      <c r="I89" s="5" t="n">
        <v>1</v>
      </c>
      <c r="J89" s="5" t="n">
        <v>1</v>
      </c>
      <c r="W89" s="5" t="n">
        <v>500</v>
      </c>
    </row>
    <row r="90">
      <c r="A90" t="inlineStr">
        <is>
          <t>starcraft</t>
        </is>
      </c>
      <c r="B90" t="inlineStr">
        <is>
          <t>zerg_sunkencolony</t>
        </is>
      </c>
      <c r="C90" t="inlineStr">
        <is>
          <t>Sunken Colony</t>
        </is>
      </c>
      <c r="D90" t="inlineStr"/>
      <c r="E90" s="5" t="n"/>
      <c r="F90" s="5" t="n"/>
      <c r="H90" s="5" t="n">
        <v>1</v>
      </c>
      <c r="I90" s="5" t="n">
        <v>1</v>
      </c>
      <c r="J90" s="5" t="n">
        <v>1</v>
      </c>
      <c r="W90" s="5" t="n">
        <v>500</v>
      </c>
    </row>
    <row r="91">
      <c r="A91" t="inlineStr">
        <is>
          <t>starcraft</t>
        </is>
      </c>
      <c r="B91" t="inlineStr">
        <is>
          <t>zerg_ultraliskcavern</t>
        </is>
      </c>
      <c r="C91" t="inlineStr">
        <is>
          <t>Ultralisk Cavern</t>
        </is>
      </c>
      <c r="D91" t="inlineStr"/>
      <c r="E91" s="5" t="n">
        <v>200000</v>
      </c>
      <c r="F91" s="5" t="n"/>
      <c r="G91" t="inlineStr">
        <is>
          <t>Wood</t>
        </is>
      </c>
      <c r="H91" s="5" t="n">
        <v>1</v>
      </c>
      <c r="I91" s="5" t="n">
        <v>1</v>
      </c>
      <c r="J91" s="5" t="n">
        <v>1</v>
      </c>
      <c r="W91" s="5" t="n">
        <v>2000</v>
      </c>
    </row>
    <row r="92">
      <c r="A92" t="inlineStr">
        <is>
          <t>starcraft</t>
        </is>
      </c>
      <c r="B92" t="inlineStr">
        <is>
          <t>zerg_vespenegascollector</t>
        </is>
      </c>
      <c r="C92" t="inlineStr">
        <is>
          <t>Vespene Gas Collector</t>
        </is>
      </c>
      <c r="D92" t="inlineStr"/>
      <c r="E92" s="5" t="n"/>
      <c r="F92" s="5" t="n"/>
      <c r="H92" s="5" t="n">
        <v>1</v>
      </c>
      <c r="I92" s="5" t="n">
        <v>1</v>
      </c>
      <c r="J92" s="5" t="n">
        <v>1</v>
      </c>
      <c r="W92" s="5" t="n">
        <v>2500</v>
      </c>
    </row>
    <row r="93">
      <c r="A93" s="3" t="inlineStr">
        <is>
          <t>UPGRADES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</row>
    <row r="94">
      <c r="A94" t="inlineStr">
        <is>
          <t>starcraft</t>
        </is>
      </c>
      <c r="B94" t="inlineStr">
        <is>
          <t>zerg_upgrade_adrenalglands</t>
        </is>
      </c>
      <c r="C94" t="inlineStr">
        <is>
          <t>Adrenal Glands</t>
        </is>
      </c>
      <c r="D94" t="inlineStr"/>
      <c r="E94" s="5" t="n"/>
      <c r="F94" s="5" t="n"/>
      <c r="H94" s="5" t="n">
        <v>1</v>
      </c>
      <c r="I94" s="5" t="n">
        <v>1</v>
      </c>
      <c r="J94" s="5" t="n">
        <v>1</v>
      </c>
      <c r="W94" s="5" t="n">
        <v>2500</v>
      </c>
    </row>
    <row r="95">
      <c r="A95" t="inlineStr">
        <is>
          <t>starcraft</t>
        </is>
      </c>
      <c r="B95" t="inlineStr">
        <is>
          <t>zerg_upgrade_carapacelevel1</t>
        </is>
      </c>
      <c r="C95" t="inlineStr">
        <is>
          <t>Carapace Level 1</t>
        </is>
      </c>
      <c r="D95" t="inlineStr"/>
      <c r="E95" s="5" t="n"/>
      <c r="F95" s="5" t="n"/>
      <c r="H95" s="5" t="n">
        <v>1</v>
      </c>
      <c r="I95" s="5" t="n">
        <v>1</v>
      </c>
      <c r="J95" s="5" t="n">
        <v>1</v>
      </c>
      <c r="W95" s="5" t="n">
        <v>2500</v>
      </c>
    </row>
    <row r="96">
      <c r="A96" t="inlineStr">
        <is>
          <t>starcraft</t>
        </is>
      </c>
      <c r="B96" t="inlineStr">
        <is>
          <t>zerg_upgrade_carapacelevel2</t>
        </is>
      </c>
      <c r="C96" t="inlineStr">
        <is>
          <t>Carapace Level 2</t>
        </is>
      </c>
      <c r="D96" t="inlineStr"/>
      <c r="E96" s="5" t="n"/>
      <c r="F96" s="5" t="n"/>
      <c r="H96" s="5" t="n">
        <v>1</v>
      </c>
      <c r="I96" s="5" t="n">
        <v>1</v>
      </c>
      <c r="J96" s="5" t="n">
        <v>1</v>
      </c>
      <c r="W96" s="5" t="n">
        <v>5000</v>
      </c>
    </row>
    <row r="97">
      <c r="A97" t="inlineStr">
        <is>
          <t>starcraft</t>
        </is>
      </c>
      <c r="B97" t="inlineStr">
        <is>
          <t>zerg_upgrade_flyerattackslevel1</t>
        </is>
      </c>
      <c r="C97" t="inlineStr">
        <is>
          <t>Flyer Attacks Level 1</t>
        </is>
      </c>
      <c r="D97" t="inlineStr"/>
      <c r="E97" s="5" t="n"/>
      <c r="F97" s="5" t="n"/>
      <c r="H97" s="5" t="n">
        <v>1</v>
      </c>
      <c r="I97" s="5" t="n">
        <v>1</v>
      </c>
      <c r="J97" s="5" t="n">
        <v>1</v>
      </c>
      <c r="W97" s="5" t="n">
        <v>2500</v>
      </c>
    </row>
    <row r="98">
      <c r="A98" t="inlineStr">
        <is>
          <t>starcraft</t>
        </is>
      </c>
      <c r="B98" t="inlineStr">
        <is>
          <t>zerg_upgrade_flyerattackslevel2</t>
        </is>
      </c>
      <c r="C98" t="inlineStr">
        <is>
          <t>Flyer Attacks Level 2</t>
        </is>
      </c>
      <c r="D98" t="inlineStr"/>
      <c r="E98" s="5" t="n"/>
      <c r="F98" s="5" t="n"/>
      <c r="H98" s="5" t="n">
        <v>1</v>
      </c>
      <c r="I98" s="5" t="n">
        <v>1</v>
      </c>
      <c r="J98" s="5" t="n">
        <v>1</v>
      </c>
      <c r="W98" s="5" t="n">
        <v>5000</v>
      </c>
    </row>
    <row r="99">
      <c r="A99" t="inlineStr">
        <is>
          <t>starcraft</t>
        </is>
      </c>
      <c r="B99" t="inlineStr">
        <is>
          <t>zerg_upgrade_flyercarapacelevel1</t>
        </is>
      </c>
      <c r="C99" t="inlineStr">
        <is>
          <t>Flyer Carapace Level 1</t>
        </is>
      </c>
      <c r="D99" t="inlineStr"/>
      <c r="E99" s="5" t="n"/>
      <c r="F99" s="5" t="n"/>
      <c r="H99" s="5" t="n">
        <v>1</v>
      </c>
      <c r="I99" s="5" t="n">
        <v>1</v>
      </c>
      <c r="J99" s="5" t="n">
        <v>1</v>
      </c>
      <c r="W99" s="5" t="n">
        <v>2500</v>
      </c>
    </row>
    <row r="100">
      <c r="A100" t="inlineStr">
        <is>
          <t>starcraft</t>
        </is>
      </c>
      <c r="B100" t="inlineStr">
        <is>
          <t>zerg_upgrade_flyercarapacelevel2</t>
        </is>
      </c>
      <c r="C100" t="inlineStr">
        <is>
          <t>Flyer Carapace Level 2</t>
        </is>
      </c>
      <c r="D100" t="inlineStr"/>
      <c r="E100" s="5" t="n"/>
      <c r="F100" s="5" t="n"/>
      <c r="H100" s="5" t="n">
        <v>1</v>
      </c>
      <c r="I100" s="5" t="n">
        <v>1</v>
      </c>
      <c r="J100" s="5" t="n">
        <v>1</v>
      </c>
      <c r="W100" s="5" t="n">
        <v>5000</v>
      </c>
    </row>
    <row r="101">
      <c r="A101" t="inlineStr">
        <is>
          <t>starcraft</t>
        </is>
      </c>
      <c r="B101" t="inlineStr">
        <is>
          <t>zerg_upgrade_groovedspines</t>
        </is>
      </c>
      <c r="C101" t="inlineStr">
        <is>
          <t>Grooved Spines</t>
        </is>
      </c>
      <c r="D101" t="inlineStr"/>
      <c r="E101" s="5" t="n"/>
      <c r="F101" s="5" t="n"/>
      <c r="H101" s="5" t="n">
        <v>1</v>
      </c>
      <c r="I101" s="5" t="n">
        <v>1</v>
      </c>
      <c r="J101" s="5" t="n">
        <v>1</v>
      </c>
      <c r="W101" s="5" t="n">
        <v>2500</v>
      </c>
    </row>
    <row r="102">
      <c r="A102" t="inlineStr">
        <is>
          <t>starcraft</t>
        </is>
      </c>
      <c r="B102" t="inlineStr">
        <is>
          <t>zerg_upgrade_meleeattackslevel1</t>
        </is>
      </c>
      <c r="C102" t="inlineStr">
        <is>
          <t>Melee Attacks Level 1</t>
        </is>
      </c>
      <c r="D102" t="inlineStr"/>
      <c r="E102" s="5" t="n"/>
      <c r="F102" s="5" t="n"/>
      <c r="H102" s="5" t="n">
        <v>1</v>
      </c>
      <c r="I102" s="5" t="n">
        <v>1</v>
      </c>
      <c r="J102" s="5" t="n">
        <v>1</v>
      </c>
      <c r="W102" s="5" t="n">
        <v>2500</v>
      </c>
    </row>
    <row r="103">
      <c r="A103" t="inlineStr">
        <is>
          <t>starcraft</t>
        </is>
      </c>
      <c r="B103" t="inlineStr">
        <is>
          <t>zerg_upgrade_meleeattackslevel2</t>
        </is>
      </c>
      <c r="C103" t="inlineStr">
        <is>
          <t>Melee Attacks Level 2</t>
        </is>
      </c>
      <c r="D103" t="inlineStr"/>
      <c r="E103" s="5" t="n"/>
      <c r="F103" s="5" t="n"/>
      <c r="H103" s="5" t="n">
        <v>1</v>
      </c>
      <c r="I103" s="5" t="n">
        <v>1</v>
      </c>
      <c r="J103" s="5" t="n">
        <v>1</v>
      </c>
      <c r="W103" s="5" t="n">
        <v>5000</v>
      </c>
    </row>
    <row r="104">
      <c r="A104" t="inlineStr">
        <is>
          <t>starcraft</t>
        </is>
      </c>
      <c r="B104" t="inlineStr">
        <is>
          <t>zerg_upgrade_metabolicboost</t>
        </is>
      </c>
      <c r="C104" t="inlineStr">
        <is>
          <t>Metabolic Boost</t>
        </is>
      </c>
      <c r="D104" t="inlineStr"/>
      <c r="E104" s="5" t="n"/>
      <c r="F104" s="5" t="n"/>
      <c r="H104" s="5" t="n">
        <v>1</v>
      </c>
      <c r="I104" s="5" t="n">
        <v>1</v>
      </c>
      <c r="J104" s="5" t="n">
        <v>1</v>
      </c>
      <c r="W104" s="5" t="n">
        <v>2500</v>
      </c>
    </row>
    <row r="105">
      <c r="A105" t="inlineStr">
        <is>
          <t>starcraft</t>
        </is>
      </c>
      <c r="B105" t="inlineStr">
        <is>
          <t>zerg_upgrade_missileattackslevel1</t>
        </is>
      </c>
      <c r="C105" t="inlineStr">
        <is>
          <t>Missile Attacks Level 1</t>
        </is>
      </c>
      <c r="D105" t="inlineStr"/>
      <c r="E105" s="5" t="n"/>
      <c r="F105" s="5" t="n"/>
      <c r="H105" s="5" t="n">
        <v>1</v>
      </c>
      <c r="I105" s="5" t="n">
        <v>1</v>
      </c>
      <c r="J105" s="5" t="n">
        <v>1</v>
      </c>
      <c r="W105" s="5" t="n">
        <v>2500</v>
      </c>
    </row>
    <row r="106">
      <c r="A106" t="inlineStr">
        <is>
          <t>starcraft</t>
        </is>
      </c>
      <c r="B106" t="inlineStr">
        <is>
          <t>zerg_upgrade_missileattackslevel2</t>
        </is>
      </c>
      <c r="C106" t="inlineStr">
        <is>
          <t>Missile Attacks Level 2</t>
        </is>
      </c>
      <c r="D106" t="inlineStr"/>
      <c r="E106" s="5" t="n"/>
      <c r="F106" s="5" t="n"/>
      <c r="H106" s="5" t="n">
        <v>1</v>
      </c>
      <c r="I106" s="5" t="n">
        <v>1</v>
      </c>
      <c r="J106" s="5" t="n">
        <v>1</v>
      </c>
      <c r="W106" s="5" t="n">
        <v>5000</v>
      </c>
    </row>
    <row r="107">
      <c r="A107" t="inlineStr">
        <is>
          <t>starcraft</t>
        </is>
      </c>
      <c r="B107" t="inlineStr">
        <is>
          <t>zerg_upgrade_pneumatizedcarapace</t>
        </is>
      </c>
      <c r="C107" t="inlineStr">
        <is>
          <t>Pneumatized Carapace</t>
        </is>
      </c>
      <c r="D107" t="inlineStr"/>
      <c r="E107" s="5" t="n"/>
      <c r="F107" s="5" t="n"/>
      <c r="H107" s="5" t="n">
        <v>1</v>
      </c>
      <c r="I107" s="5" t="n">
        <v>1</v>
      </c>
      <c r="J107" s="5" t="n">
        <v>1</v>
      </c>
      <c r="W107" s="5" t="n">
        <v>2500</v>
      </c>
    </row>
    <row r="108">
      <c r="A108" s="3" t="inlineStr">
        <is>
          <t>PROMOTIONS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</row>
    <row r="109">
      <c r="A109" t="inlineStr">
        <is>
          <t>starcraft</t>
        </is>
      </c>
      <c r="B109" t="inlineStr">
        <is>
          <t>zerg_promotion_unlockbehemoth</t>
        </is>
      </c>
      <c r="C109" t="inlineStr">
        <is>
          <t>Unlock Behemoth</t>
        </is>
      </c>
      <c r="D109" t="inlineStr"/>
      <c r="E109" s="5" t="n"/>
      <c r="F109" s="5" t="n"/>
      <c r="H109" s="5" t="n">
        <v>1</v>
      </c>
      <c r="I109" s="5" t="n">
        <v>1</v>
      </c>
      <c r="J109" s="5" t="n">
        <v>1</v>
      </c>
      <c r="W109" s="5" t="n"/>
    </row>
    <row r="110">
      <c r="A110" t="inlineStr">
        <is>
          <t>starcraft</t>
        </is>
      </c>
      <c r="B110" t="inlineStr">
        <is>
          <t>zerg_promotion_unlockbroodweaver</t>
        </is>
      </c>
      <c r="C110" t="inlineStr">
        <is>
          <t>Unlock Broodweaver</t>
        </is>
      </c>
      <c r="D110" t="inlineStr"/>
      <c r="E110" s="5" t="n"/>
      <c r="F110" s="5" t="n"/>
      <c r="H110" s="5" t="n">
        <v>1</v>
      </c>
      <c r="I110" s="5" t="n">
        <v>1</v>
      </c>
      <c r="J110" s="5" t="n">
        <v>1</v>
      </c>
      <c r="W110" s="5" t="n"/>
    </row>
    <row r="111">
      <c r="A111" t="inlineStr">
        <is>
          <t>starcraft</t>
        </is>
      </c>
      <c r="B111" t="inlineStr">
        <is>
          <t>zerg_promotion_unlockcorruptor</t>
        </is>
      </c>
      <c r="C111" t="inlineStr">
        <is>
          <t>Unlock Corruptor</t>
        </is>
      </c>
      <c r="D111" t="inlineStr"/>
      <c r="E111" s="5" t="n"/>
      <c r="F111" s="5" t="n"/>
      <c r="H111" s="5" t="n">
        <v>1</v>
      </c>
      <c r="I111" s="5" t="n">
        <v>1</v>
      </c>
      <c r="J111" s="5" t="n">
        <v>1</v>
      </c>
      <c r="W111" s="5" t="n"/>
    </row>
    <row r="112">
      <c r="A112" t="inlineStr">
        <is>
          <t>starcraft</t>
        </is>
      </c>
      <c r="B112" t="inlineStr">
        <is>
          <t>zerg_promotion_unlockdreadshroud</t>
        </is>
      </c>
      <c r="C112" t="inlineStr">
        <is>
          <t>Unlock Dreadshroud</t>
        </is>
      </c>
      <c r="D112" t="inlineStr"/>
      <c r="E112" s="5" t="n"/>
      <c r="F112" s="5" t="n"/>
      <c r="H112" s="5" t="n">
        <v>1</v>
      </c>
      <c r="I112" s="5" t="n">
        <v>1</v>
      </c>
      <c r="J112" s="5" t="n">
        <v>1</v>
      </c>
      <c r="W112" s="5" t="n"/>
    </row>
    <row r="113">
      <c r="A113" t="inlineStr">
        <is>
          <t>starcraft</t>
        </is>
      </c>
      <c r="B113" t="inlineStr">
        <is>
          <t>zerg_promotion_unlockgorekraken</t>
        </is>
      </c>
      <c r="C113" t="inlineStr">
        <is>
          <t>Unlock Gorekraken</t>
        </is>
      </c>
      <c r="D113" t="inlineStr"/>
      <c r="E113" s="5" t="n"/>
      <c r="F113" s="5" t="n"/>
      <c r="H113" s="5" t="n">
        <v>1</v>
      </c>
      <c r="I113" s="5" t="n">
        <v>1</v>
      </c>
      <c r="J113" s="5" t="n">
        <v>1</v>
      </c>
      <c r="W113" s="5" t="n"/>
    </row>
    <row r="114">
      <c r="A114" t="inlineStr">
        <is>
          <t>starcraft</t>
        </is>
      </c>
      <c r="B114" t="inlineStr">
        <is>
          <t>zerg_promotion_unlockgoremaw</t>
        </is>
      </c>
      <c r="C114" t="inlineStr">
        <is>
          <t>Unlock Goremaw</t>
        </is>
      </c>
      <c r="D114" t="inlineStr"/>
      <c r="E114" s="5" t="n"/>
      <c r="F114" s="5" t="n"/>
      <c r="H114" s="5" t="n">
        <v>1</v>
      </c>
      <c r="I114" s="5" t="n">
        <v>1</v>
      </c>
      <c r="J114" s="5" t="n">
        <v>1</v>
      </c>
      <c r="W114" s="5" t="n"/>
    </row>
    <row r="115">
      <c r="A115" t="inlineStr">
        <is>
          <t>starcraft</t>
        </is>
      </c>
      <c r="B115" t="inlineStr">
        <is>
          <t>zerg_promotion_unlockhermit</t>
        </is>
      </c>
      <c r="C115" t="inlineStr">
        <is>
          <t>Unlock Hermit</t>
        </is>
      </c>
      <c r="D115" t="inlineStr"/>
      <c r="E115" s="5" t="n"/>
      <c r="F115" s="5" t="n"/>
      <c r="H115" s="5" t="n">
        <v>1</v>
      </c>
      <c r="I115" s="5" t="n">
        <v>1</v>
      </c>
      <c r="J115" s="5" t="n">
        <v>1</v>
      </c>
      <c r="W115" s="5" t="n"/>
    </row>
    <row r="116">
      <c r="A116" t="inlineStr">
        <is>
          <t>starcraft</t>
        </is>
      </c>
      <c r="B116" t="inlineStr">
        <is>
          <t>zerg_promotion_unlockshriek</t>
        </is>
      </c>
      <c r="C116" t="inlineStr">
        <is>
          <t>Unlock Shriek</t>
        </is>
      </c>
      <c r="D116" t="inlineStr"/>
      <c r="E116" s="5" t="n"/>
      <c r="F116" s="5" t="n"/>
      <c r="H116" s="5" t="n">
        <v>1</v>
      </c>
      <c r="I116" s="5" t="n">
        <v>1</v>
      </c>
      <c r="J116" s="5" t="n">
        <v>1</v>
      </c>
      <c r="W116" s="5" t="n"/>
    </row>
    <row r="117">
      <c r="A117" t="inlineStr">
        <is>
          <t>starcraft</t>
        </is>
      </c>
      <c r="B117" t="inlineStr">
        <is>
          <t>zerg_promotion_unlockspithid</t>
        </is>
      </c>
      <c r="C117" t="inlineStr">
        <is>
          <t>Unlock Spithid</t>
        </is>
      </c>
      <c r="D117" t="inlineStr"/>
      <c r="E117" s="5" t="n"/>
      <c r="F117" s="5" t="n"/>
      <c r="H117" s="5" t="n">
        <v>1</v>
      </c>
      <c r="I117" s="5" t="n">
        <v>1</v>
      </c>
      <c r="J117" s="5" t="n">
        <v>1</v>
      </c>
      <c r="W117" s="5" t="n"/>
    </row>
    <row r="118">
      <c r="A118" t="inlineStr">
        <is>
          <t>starcraft</t>
        </is>
      </c>
      <c r="B118" t="inlineStr">
        <is>
          <t>zerg_promotion_unlocksporemaw</t>
        </is>
      </c>
      <c r="C118" t="inlineStr">
        <is>
          <t>Unlock Sporemaw</t>
        </is>
      </c>
      <c r="D118" t="inlineStr"/>
      <c r="E118" s="5" t="n"/>
      <c r="F118" s="5" t="n"/>
      <c r="H118" s="5" t="n">
        <v>1</v>
      </c>
      <c r="I118" s="5" t="n">
        <v>1</v>
      </c>
      <c r="J118" s="5" t="n">
        <v>1</v>
      </c>
      <c r="W118" s="5" t="n"/>
    </row>
    <row r="119">
      <c r="A119" t="inlineStr">
        <is>
          <t>starcraft</t>
        </is>
      </c>
      <c r="B119" t="inlineStr">
        <is>
          <t>zerg_promotion_unlockswarmling</t>
        </is>
      </c>
      <c r="C119" t="inlineStr">
        <is>
          <t>Unlock Swarmling</t>
        </is>
      </c>
      <c r="D119" t="inlineStr"/>
      <c r="E119" s="5" t="n"/>
      <c r="F119" s="5" t="n"/>
      <c r="H119" s="5" t="n">
        <v>1</v>
      </c>
      <c r="I119" s="5" t="n">
        <v>1</v>
      </c>
      <c r="J119" s="5" t="n">
        <v>1</v>
      </c>
      <c r="W119" s="5" t="n"/>
    </row>
    <row r="120">
      <c r="A120" t="inlineStr">
        <is>
          <t>starcraft</t>
        </is>
      </c>
      <c r="B120" t="inlineStr">
        <is>
          <t>zerg_promotion_unlocktalon</t>
        </is>
      </c>
      <c r="C120" t="inlineStr">
        <is>
          <t>Unlock Talon</t>
        </is>
      </c>
      <c r="D120" t="inlineStr"/>
      <c r="E120" s="5" t="n"/>
      <c r="F120" s="5" t="n"/>
      <c r="H120" s="5" t="n">
        <v>1</v>
      </c>
      <c r="I120" s="5" t="n">
        <v>1</v>
      </c>
      <c r="J120" s="5" t="n">
        <v>1</v>
      </c>
      <c r="W120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121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9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tiberiandawn</t>
        </is>
      </c>
      <c r="B3" t="inlineStr">
        <is>
          <t>E1</t>
        </is>
      </c>
      <c r="C3" t="inlineStr">
        <is>
          <t>GDI Minigunner</t>
        </is>
      </c>
      <c r="D3" t="inlineStr"/>
      <c r="E3" s="5" t="n">
        <v>32000</v>
      </c>
      <c r="F3" s="5" t="n">
        <v>63</v>
      </c>
      <c r="G3" t="inlineStr">
        <is>
          <t>None</t>
        </is>
      </c>
      <c r="H3" s="5" t="n">
        <v>1</v>
      </c>
      <c r="I3" s="5" t="n">
        <v>1</v>
      </c>
      <c r="J3" s="5" t="n">
        <v>1</v>
      </c>
      <c r="O3">
        <f>MAX(O4,O6)</f>
        <v/>
      </c>
      <c r="R3">
        <f>R4+R6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100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td_gdi_minigunner_minigun</t>
        </is>
      </c>
      <c r="C4" s="6" t="inlineStr">
        <is>
          <t>Armament@PRIMARY</t>
        </is>
      </c>
      <c r="K4" s="5" t="n">
        <v>2000</v>
      </c>
      <c r="L4" s="5" t="n">
        <v>45</v>
      </c>
      <c r="M4" s="5" t="n">
        <v>4</v>
      </c>
      <c r="N4" s="5" t="n">
        <v>3</v>
      </c>
      <c r="O4" s="5" t="n">
        <v>4600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^SmallArms</t>
        </is>
      </c>
    </row>
    <row r="5">
      <c r="B5" s="6" t="inlineStr">
        <is>
          <t xml:space="preserve">  ↳ td_gdi_minigunner_minigun</t>
        </is>
      </c>
      <c r="C5" s="6" t="inlineStr">
        <is>
          <t>Armament@GARRISONED</t>
        </is>
      </c>
      <c r="K5" s="5" t="n">
        <v>2000</v>
      </c>
      <c r="L5" s="5" t="n">
        <v>45</v>
      </c>
      <c r="M5" s="5" t="n">
        <v>4</v>
      </c>
      <c r="N5" s="5" t="n">
        <v>3</v>
      </c>
      <c r="O5" s="5" t="n">
        <v>4600</v>
      </c>
      <c r="P5" s="5" t="n">
        <v>1</v>
      </c>
      <c r="Q5">
        <f>L5+IF(M5&gt;1,N(N5)*(M5-1),0)</f>
        <v/>
      </c>
      <c r="R5">
        <f>IFERROR(K5*MAX(M5,1)/Q5*P5,0)</f>
        <v/>
      </c>
      <c r="AA5" s="6" t="inlineStr">
        <is>
          <t>^SmallArms</t>
        </is>
      </c>
    </row>
    <row r="6">
      <c r="B6" s="6" t="inlineStr">
        <is>
          <t xml:space="preserve">  ↳ td_gdi_minigunner_minigun_ap</t>
        </is>
      </c>
      <c r="C6" s="6" t="inlineStr">
        <is>
          <t>Armament@Upgrade</t>
        </is>
      </c>
      <c r="K6" s="5" t="n">
        <v>4000</v>
      </c>
      <c r="L6" s="5" t="n">
        <v>45</v>
      </c>
      <c r="M6" s="5" t="n">
        <v>4</v>
      </c>
      <c r="N6" s="5" t="n">
        <v>3</v>
      </c>
      <c r="O6" s="5" t="n">
        <v>4600</v>
      </c>
      <c r="P6" s="5" t="n">
        <v>1</v>
      </c>
      <c r="Q6">
        <f>L6+IF(M6&gt;1,N(N6)*(M6-1),0)</f>
        <v/>
      </c>
      <c r="R6">
        <f>IFERROR(K6*MAX(M6,1)/Q6*P6,0)</f>
        <v/>
      </c>
      <c r="AA6" s="6" t="inlineStr">
        <is>
          <t>^Chaingun</t>
        </is>
      </c>
    </row>
    <row r="7">
      <c r="B7" s="6" t="inlineStr">
        <is>
          <t xml:space="preserve">  ↳ td_gdi_minigunner_minigun_ap</t>
        </is>
      </c>
      <c r="C7" s="6" t="inlineStr">
        <is>
          <t>Armament@UpgradeGARRISONED</t>
        </is>
      </c>
      <c r="K7" s="5" t="n">
        <v>4000</v>
      </c>
      <c r="L7" s="5" t="n">
        <v>45</v>
      </c>
      <c r="M7" s="5" t="n">
        <v>4</v>
      </c>
      <c r="N7" s="5" t="n">
        <v>3</v>
      </c>
      <c r="O7" s="5" t="n">
        <v>4600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^Chaingun</t>
        </is>
      </c>
    </row>
    <row r="8">
      <c r="A8" t="inlineStr">
        <is>
          <t>tiberiandawn</t>
        </is>
      </c>
      <c r="B8" t="inlineStr">
        <is>
          <t>E3</t>
        </is>
      </c>
      <c r="C8" t="inlineStr">
        <is>
          <t>GDI Rocket Soldier</t>
        </is>
      </c>
      <c r="D8" t="inlineStr"/>
      <c r="E8" s="5" t="n">
        <v>9000</v>
      </c>
      <c r="F8" s="5" t="n">
        <v>50</v>
      </c>
      <c r="G8" t="inlineStr">
        <is>
          <t>Flak</t>
        </is>
      </c>
      <c r="H8" s="5" t="n">
        <v>1</v>
      </c>
      <c r="I8" s="5" t="n">
        <v>1</v>
      </c>
      <c r="J8" s="5" t="n">
        <v>1</v>
      </c>
      <c r="O8">
        <f>MAX(O9,O11)</f>
        <v/>
      </c>
      <c r="R8">
        <f>R9+R11</f>
        <v/>
      </c>
      <c r="S8">
        <f>(E8/100000+F8/100+(O8/1000)*J8/5+R8/200)*200*I8*H8</f>
        <v/>
      </c>
      <c r="T8">
        <f>((E8*F8/25000)+((O8/1000)*J8*R8/2.5))*I8*H8</f>
        <v/>
      </c>
      <c r="U8">
        <f>(E8*F8*(O8/1000)*J8*R8*I8*H8)/12500000</f>
        <v/>
      </c>
      <c r="V8">
        <f>(S8+T8+U8)/3</f>
        <v/>
      </c>
      <c r="W8" s="5" t="n">
        <v>200</v>
      </c>
      <c r="X8">
        <f>IFERROR(V8-W8,"")</f>
        <v/>
      </c>
      <c r="Y8">
        <f>IFERROR(ABS(X8)/MAX(W8,1),"")</f>
        <v/>
      </c>
      <c r="Z8">
        <f>IFERROR((W8-(((E8/100000+F8/100+R8/200)*200*I8*H8)+((E8*F8/25000)*I8*H8))/3)/(((J8/5)*200*I8*H8)+((J8*R8/2.5)*I8*H8)+((E8*F8*J8*R8*I8*H8)/12500000))/3*1000,"")</f>
        <v/>
      </c>
    </row>
    <row r="9">
      <c r="B9" s="6" t="inlineStr">
        <is>
          <t xml:space="preserve">  ↳ Rockets</t>
        </is>
      </c>
      <c r="C9" s="6" t="inlineStr">
        <is>
          <t>Armament@PRIMARY</t>
        </is>
      </c>
      <c r="K9" s="5" t="n">
        <v>18000</v>
      </c>
      <c r="L9" s="5" t="n">
        <v>63</v>
      </c>
      <c r="M9" s="5" t="n">
        <v>1</v>
      </c>
      <c r="N9" s="5" t="n"/>
      <c r="O9" s="5" t="n">
        <v>6368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>
        <is>
          <t>^LightMissile</t>
        </is>
      </c>
    </row>
    <row r="10">
      <c r="B10" s="6" t="inlineStr">
        <is>
          <t xml:space="preserve">  ↳ Rockets</t>
        </is>
      </c>
      <c r="C10" s="6" t="inlineStr">
        <is>
          <t>Armament@GARRISONED</t>
        </is>
      </c>
      <c r="K10" s="5" t="n">
        <v>18000</v>
      </c>
      <c r="L10" s="5" t="n">
        <v>63</v>
      </c>
      <c r="M10" s="5" t="n">
        <v>1</v>
      </c>
      <c r="N10" s="5" t="n"/>
      <c r="O10" s="5" t="n">
        <v>6368</v>
      </c>
      <c r="P10" s="5" t="n">
        <v>1</v>
      </c>
      <c r="Q10">
        <f>L10+IF(M10&gt;1,N(N10)*(M10-1),0)</f>
        <v/>
      </c>
      <c r="R10">
        <f>IFERROR(K10*MAX(M10,1)/Q10*P10,0)</f>
        <v/>
      </c>
      <c r="AA10" s="6" t="inlineStr">
        <is>
          <t>^LightMissile</t>
        </is>
      </c>
    </row>
    <row r="11">
      <c r="B11" s="6" t="inlineStr">
        <is>
          <t xml:space="preserve">  ↳ RocketsAMT</t>
        </is>
      </c>
      <c r="C11" s="6" t="inlineStr">
        <is>
          <t>Armament@AdvancedMissileTargeting</t>
        </is>
      </c>
      <c r="K11" s="5" t="n">
        <v>18000</v>
      </c>
      <c r="L11" s="5" t="n">
        <v>63</v>
      </c>
      <c r="M11" s="5" t="n">
        <v>1</v>
      </c>
      <c r="N11" s="5" t="n"/>
      <c r="O11" s="5" t="n">
        <v>6368</v>
      </c>
      <c r="P11" s="5" t="n">
        <v>1</v>
      </c>
      <c r="Q11">
        <f>L11+IF(M11&gt;1,N(N11)*(M11-1),0)</f>
        <v/>
      </c>
      <c r="R11">
        <f>IFERROR(K11*MAX(M11,1)/Q11*P11,0)</f>
        <v/>
      </c>
      <c r="AA11" s="6" t="inlineStr">
        <is>
          <t>^LightMissile, ^AMTProjectile</t>
        </is>
      </c>
    </row>
    <row r="12">
      <c r="B12" s="6" t="inlineStr">
        <is>
          <t xml:space="preserve">  ↳ RocketsAMT</t>
        </is>
      </c>
      <c r="C12" s="6" t="inlineStr">
        <is>
          <t>Armament@AdvancedMissileTargetingGARRISONED</t>
        </is>
      </c>
      <c r="K12" s="5" t="n">
        <v>18000</v>
      </c>
      <c r="L12" s="5" t="n">
        <v>63</v>
      </c>
      <c r="M12" s="5" t="n">
        <v>1</v>
      </c>
      <c r="N12" s="5" t="n"/>
      <c r="O12" s="5" t="n">
        <v>6368</v>
      </c>
      <c r="P12" s="5" t="n">
        <v>1</v>
      </c>
      <c r="Q12">
        <f>L12+IF(M12&gt;1,N(N12)*(M12-1),0)</f>
        <v/>
      </c>
      <c r="R12">
        <f>IFERROR(K12*MAX(M12,1)/Q12*P12,0)</f>
        <v/>
      </c>
      <c r="AA12" s="6" t="inlineStr">
        <is>
          <t>^LightMissile, ^AMTProjectile</t>
        </is>
      </c>
    </row>
    <row r="13">
      <c r="A13" t="inlineStr">
        <is>
          <t>tiberiandawn</t>
        </is>
      </c>
      <c r="B13" t="inlineStr">
        <is>
          <t>td_gdi_commando</t>
        </is>
      </c>
      <c r="C13" t="inlineStr">
        <is>
          <t>GDI Commando</t>
        </is>
      </c>
      <c r="D13" t="inlineStr"/>
      <c r="E13" s="5" t="n">
        <v>80000</v>
      </c>
      <c r="F13" s="5" t="n">
        <v>65</v>
      </c>
      <c r="G13" t="inlineStr">
        <is>
          <t>Heroic</t>
        </is>
      </c>
      <c r="H13" s="5" t="n">
        <v>1</v>
      </c>
      <c r="I13" s="5" t="n">
        <v>1</v>
      </c>
      <c r="J13" s="5" t="n">
        <v>1</v>
      </c>
      <c r="O13">
        <f>MAX(O14,O15,O16,O18)</f>
        <v/>
      </c>
      <c r="R13">
        <f>R14+R15+R16+R18</f>
        <v/>
      </c>
      <c r="S13">
        <f>(E13/100000+F13/100+(O13/1000)*J13/5+R13/200)*200*I13*H13</f>
        <v/>
      </c>
      <c r="T13">
        <f>((E13*F13/25000)+((O13/1000)*J13*R13/2.5))*I13*H13</f>
        <v/>
      </c>
      <c r="U13">
        <f>(E13*F13*(O13/1000)*J13*R13*I13*H13)/12500000</f>
        <v/>
      </c>
      <c r="V13">
        <f>(S13+T13+U13)/3</f>
        <v/>
      </c>
      <c r="W13" s="5" t="n">
        <v>3000</v>
      </c>
      <c r="X13">
        <f>IFERROR(V13-W13,"")</f>
        <v/>
      </c>
      <c r="Y13">
        <f>IFERROR(ABS(X13)/MAX(W13,1),"")</f>
        <v/>
      </c>
      <c r="Z13">
        <f>IFERROR((W13-(((E13/100000+F13/100+R13/200)*200*I13*H13)+((E13*F13/25000)*I13*H13))/3)/(((J13/5)*200*I13*H13)+((J13*R13/2.5)*I13*H13)+((E13*F13*J13*R13*I13*H13)/12500000))/3*1000,"")</f>
        <v/>
      </c>
    </row>
    <row r="14">
      <c r="B14" s="6" t="inlineStr">
        <is>
          <t xml:space="preserve">  ↳ TanyaAttach</t>
        </is>
      </c>
      <c r="C14" s="6" t="inlineStr">
        <is>
          <t>Armament@c4</t>
        </is>
      </c>
      <c r="K14" s="5" t="n"/>
      <c r="L14" s="5" t="n">
        <v>20</v>
      </c>
      <c r="M14" s="5" t="n">
        <v>1</v>
      </c>
      <c r="N14" s="5" t="n"/>
      <c r="O14" s="5" t="n">
        <v>2000</v>
      </c>
      <c r="P14" s="5" t="n">
        <v>1</v>
      </c>
      <c r="Q14">
        <f>L14+IF(M14&gt;1,N(N14)*(M14-1),0)</f>
        <v/>
      </c>
      <c r="R14">
        <f>IFERROR(K14*MAX(M14,1)/Q14*P14,0)</f>
        <v/>
      </c>
      <c r="AA14" s="6" t="inlineStr">
        <is>
          <t>IvanAttach</t>
        </is>
      </c>
    </row>
    <row r="15">
      <c r="B15" s="6" t="inlineStr">
        <is>
          <t xml:space="preserve">  ↳ GenericC4</t>
        </is>
      </c>
      <c r="C15" s="6" t="inlineStr">
        <is>
          <t>Armament@c4building</t>
        </is>
      </c>
      <c r="K15" s="5" t="n"/>
      <c r="L15" s="5" t="n">
        <v>20</v>
      </c>
      <c r="M15" s="5" t="n">
        <v>1</v>
      </c>
      <c r="N15" s="5" t="n"/>
      <c r="O15" s="5" t="n">
        <v>2000</v>
      </c>
      <c r="P15" s="5" t="n">
        <v>1</v>
      </c>
      <c r="Q15">
        <f>L15+IF(M15&gt;1,N(N15)*(M15-1),0)</f>
        <v/>
      </c>
      <c r="R15">
        <f>IFERROR(K15*MAX(M15,1)/Q15*P15,0)</f>
        <v/>
      </c>
      <c r="AA15" s="6" t="inlineStr"/>
    </row>
    <row r="16">
      <c r="B16" s="6" t="inlineStr">
        <is>
          <t xml:space="preserve">  ↳ td_gdi_commando_sniper</t>
        </is>
      </c>
      <c r="C16" s="6" t="inlineStr">
        <is>
          <t>Armament</t>
        </is>
      </c>
      <c r="K16" s="5" t="n">
        <v>40000</v>
      </c>
      <c r="L16" s="5" t="n">
        <v>25</v>
      </c>
      <c r="M16" s="5" t="n">
        <v>1</v>
      </c>
      <c r="N16" s="5" t="n"/>
      <c r="O16" s="5" t="n">
        <v>8086</v>
      </c>
      <c r="P16" s="5" t="n">
        <v>1</v>
      </c>
      <c r="Q16">
        <f>L16+IF(M16&gt;1,N(N16)*(M16-1),0)</f>
        <v/>
      </c>
      <c r="R16">
        <f>IFERROR(K16*MAX(M16,1)/Q16*P16,0)</f>
        <v/>
      </c>
      <c r="AA16" s="6" t="inlineStr">
        <is>
          <t>^SniperWeapon</t>
        </is>
      </c>
    </row>
    <row r="17">
      <c r="B17" s="6" t="inlineStr">
        <is>
          <t xml:space="preserve">  ↳ td_gdi_commando_sniper</t>
        </is>
      </c>
      <c r="C17" s="6" t="inlineStr">
        <is>
          <t>Armament@GARRISONED</t>
        </is>
      </c>
      <c r="K17" s="5" t="n">
        <v>40000</v>
      </c>
      <c r="L17" s="5" t="n">
        <v>25</v>
      </c>
      <c r="M17" s="5" t="n">
        <v>1</v>
      </c>
      <c r="N17" s="5" t="n"/>
      <c r="O17" s="5" t="n">
        <v>8086</v>
      </c>
      <c r="P17" s="5" t="n">
        <v>1</v>
      </c>
      <c r="Q17">
        <f>L17+IF(M17&gt;1,N(N17)*(M17-1),0)</f>
        <v/>
      </c>
      <c r="R17">
        <f>IFERROR(K17*MAX(M17,1)/Q17*P17,0)</f>
        <v/>
      </c>
      <c r="AA17" s="6" t="inlineStr">
        <is>
          <t>^SniperWeapon</t>
        </is>
      </c>
    </row>
    <row r="18">
      <c r="B18" s="6" t="inlineStr">
        <is>
          <t xml:space="preserve">  ↳ td_gdi_commando_sniperE</t>
        </is>
      </c>
      <c r="C18" s="6" t="inlineStr">
        <is>
          <t>Armament@Upgrade</t>
        </is>
      </c>
      <c r="K18" s="5" t="n">
        <v>20000</v>
      </c>
      <c r="L18" s="5" t="n">
        <v>25</v>
      </c>
      <c r="M18" s="5" t="n">
        <v>1</v>
      </c>
      <c r="N18" s="5" t="n"/>
      <c r="O18" s="5" t="n">
        <v>8086</v>
      </c>
      <c r="P18" s="5" t="n">
        <v>1</v>
      </c>
      <c r="Q18">
        <f>L18+IF(M18&gt;1,N(N18)*(M18-1),0)</f>
        <v/>
      </c>
      <c r="R18">
        <f>IFERROR(K18*MAX(M18,1)/Q18*P18,0)</f>
        <v/>
      </c>
      <c r="AA18" s="6" t="inlineStr">
        <is>
          <t>^RailgunWeapon, ^SniperWeapon</t>
        </is>
      </c>
    </row>
    <row r="19">
      <c r="B19" s="6" t="inlineStr">
        <is>
          <t xml:space="preserve">  ↳ td_gdi_commando_sniperE</t>
        </is>
      </c>
      <c r="C19" s="6" t="inlineStr">
        <is>
          <t>Armament@UpgradeGARRISONED</t>
        </is>
      </c>
      <c r="K19" s="5" t="n">
        <v>20000</v>
      </c>
      <c r="L19" s="5" t="n">
        <v>25</v>
      </c>
      <c r="M19" s="5" t="n">
        <v>1</v>
      </c>
      <c r="N19" s="5" t="n"/>
      <c r="O19" s="5" t="n">
        <v>8086</v>
      </c>
      <c r="P19" s="5" t="n">
        <v>1</v>
      </c>
      <c r="Q19">
        <f>L19+IF(M19&gt;1,N(N19)*(M19-1),0)</f>
        <v/>
      </c>
      <c r="R19">
        <f>IFERROR(K19*MAX(M19,1)/Q19*P19,0)</f>
        <v/>
      </c>
      <c r="AA19" s="6" t="inlineStr">
        <is>
          <t>^RailgunWeapon, ^SniperWeapon</t>
        </is>
      </c>
    </row>
    <row r="20">
      <c r="A20" t="inlineStr">
        <is>
          <t>tiberiandawn</t>
        </is>
      </c>
      <c r="B20" t="inlineStr">
        <is>
          <t>td_gdi_empgrenadier</t>
        </is>
      </c>
      <c r="C20" t="inlineStr">
        <is>
          <t>EMP Grenadier</t>
        </is>
      </c>
      <c r="D20" t="inlineStr"/>
      <c r="E20" s="5" t="n">
        <v>32000</v>
      </c>
      <c r="F20" s="5" t="n">
        <v>60</v>
      </c>
      <c r="G20" t="inlineStr">
        <is>
          <t>None</t>
        </is>
      </c>
      <c r="H20" s="5" t="n">
        <v>1</v>
      </c>
      <c r="I20" s="5" t="n">
        <v>0.4</v>
      </c>
      <c r="J20" s="5" t="n">
        <v>1.25</v>
      </c>
      <c r="O20">
        <f>MAX(O21)</f>
        <v/>
      </c>
      <c r="R20">
        <f>R21</f>
        <v/>
      </c>
      <c r="S20">
        <f>(E20/100000+F20/100+(O20/1000)*J20/5+R20/200)*200*I20*H20</f>
        <v/>
      </c>
      <c r="T20">
        <f>((E20*F20/25000)+((O20/1000)*J20*R20/2.5))*I20*H20</f>
        <v/>
      </c>
      <c r="U20">
        <f>(E20*F20*(O20/1000)*J20*R20*I20*H20)/12500000</f>
        <v/>
      </c>
      <c r="V20">
        <f>(S20+T20+U20)/3</f>
        <v/>
      </c>
      <c r="W20" s="5" t="n">
        <v>500</v>
      </c>
      <c r="X20">
        <f>IFERROR(V20-W20,"")</f>
        <v/>
      </c>
      <c r="Y20">
        <f>IFERROR(ABS(X20)/MAX(W20,1),"")</f>
        <v/>
      </c>
      <c r="Z20">
        <f>IFERROR((W20-(((E20/100000+F20/100+R20/200)*200*I20*H20)+((E20*F20/25000)*I20*H20))/3)/(((J20/5)*200*I20*H20)+((J20*R20/2.5)*I20*H20)+((E20*F20*J20*R20*I20*H20)/12500000))/3*1000,"")</f>
        <v/>
      </c>
    </row>
    <row r="21">
      <c r="B21" s="6" t="inlineStr">
        <is>
          <t xml:space="preserve">  ↳ EMPGrenade</t>
        </is>
      </c>
      <c r="C21" s="6" t="inlineStr">
        <is>
          <t>Armament</t>
        </is>
      </c>
      <c r="K21" s="5" t="n">
        <v>8000</v>
      </c>
      <c r="L21" s="5" t="n">
        <v>111</v>
      </c>
      <c r="M21" s="5" t="n">
        <v>1</v>
      </c>
      <c r="N21" s="5" t="n"/>
      <c r="O21" s="5" t="n">
        <v>5694</v>
      </c>
      <c r="P21" s="5" t="n">
        <v>1</v>
      </c>
      <c r="Q21">
        <f>L21+IF(M21&gt;1,N(N21)*(M21-1),0)</f>
        <v/>
      </c>
      <c r="R21">
        <f>IFERROR(K21*MAX(M21,1)/Q21*P21,0)</f>
        <v/>
      </c>
      <c r="AA21" s="6" t="inlineStr">
        <is>
          <t>^TeslaChargedWeapon, ^TeslaWeapon, ^MediumFlameWeapon, ^ShrapnelWeapon, ^HeavyCannon, ^MediumCannon, ^MediumMissile, ^HeavyMissile</t>
        </is>
      </c>
    </row>
    <row r="22">
      <c r="B22" s="6" t="inlineStr">
        <is>
          <t xml:space="preserve">  ↳ EMPGrenade</t>
        </is>
      </c>
      <c r="C22" s="6" t="inlineStr">
        <is>
          <t>Armament@GARRISONED</t>
        </is>
      </c>
      <c r="K22" s="5" t="n">
        <v>8000</v>
      </c>
      <c r="L22" s="5" t="n">
        <v>111</v>
      </c>
      <c r="M22" s="5" t="n">
        <v>1</v>
      </c>
      <c r="N22" s="5" t="n"/>
      <c r="O22" s="5" t="n">
        <v>5694</v>
      </c>
      <c r="P22" s="5" t="n">
        <v>1</v>
      </c>
      <c r="Q22">
        <f>L22+IF(M22&gt;1,N(N22)*(M22-1),0)</f>
        <v/>
      </c>
      <c r="R22">
        <f>IFERROR(K22*MAX(M22,1)/Q22*P22,0)</f>
        <v/>
      </c>
      <c r="AA22" s="6" t="inlineStr">
        <is>
          <t>^TeslaChargedWeapon, ^TeslaWeapon, ^MediumFlameWeapon, ^ShrapnelWeapon, ^HeavyCannon, ^MediumCannon, ^MediumMissile, ^HeavyMissile</t>
        </is>
      </c>
    </row>
    <row r="23">
      <c r="A23" t="inlineStr">
        <is>
          <t>tiberiandawn</t>
        </is>
      </c>
      <c r="B23" t="inlineStr">
        <is>
          <t>td_gdi_grenadier</t>
        </is>
      </c>
      <c r="C23" t="inlineStr">
        <is>
          <t>GDI Grenadier</t>
        </is>
      </c>
      <c r="D23" t="inlineStr"/>
      <c r="E23" s="5" t="n">
        <v>8000</v>
      </c>
      <c r="F23" s="5" t="n">
        <v>75</v>
      </c>
      <c r="G23" t="inlineStr">
        <is>
          <t>None</t>
        </is>
      </c>
      <c r="H23" s="5" t="n">
        <v>1</v>
      </c>
      <c r="I23" s="5" t="n">
        <v>0.4</v>
      </c>
      <c r="J23" s="5" t="n">
        <v>1</v>
      </c>
      <c r="O23">
        <f>MAX(O24)</f>
        <v/>
      </c>
      <c r="R23">
        <f>R24</f>
        <v/>
      </c>
      <c r="S23">
        <f>(E23/100000+F23/100+(O23/1000)*J23/5+R23/200)*200*I23*H23</f>
        <v/>
      </c>
      <c r="T23">
        <f>((E23*F23/25000)+((O23/1000)*J23*R23/2.5))*I23*H23</f>
        <v/>
      </c>
      <c r="U23">
        <f>(E23*F23*(O23/1000)*J23*R23*I23*H23)/12500000</f>
        <v/>
      </c>
      <c r="V23">
        <f>(S23+T23+U23)/3</f>
        <v/>
      </c>
      <c r="W23" s="5" t="n">
        <v>200</v>
      </c>
      <c r="X23">
        <f>IFERROR(V23-W23,"")</f>
        <v/>
      </c>
      <c r="Y23">
        <f>IFERROR(ABS(X23)/MAX(W23,1),"")</f>
        <v/>
      </c>
      <c r="Z23">
        <f>IFERROR((W23-(((E23/100000+F23/100+R23/200)*200*I23*H23)+((E23*F23/25000)*I23*H23))/3)/(((J23/5)*200*I23*H23)+((J23*R23/2.5)*I23*H23)+((E23*F23*J23*R23*I23*H23)/12500000))/3*1000,"")</f>
        <v/>
      </c>
    </row>
    <row r="24">
      <c r="B24" s="6" t="inlineStr">
        <is>
          <t xml:space="preserve">  ↳ Grenade</t>
        </is>
      </c>
      <c r="C24" s="6" t="inlineStr">
        <is>
          <t>Armament</t>
        </is>
      </c>
      <c r="K24" s="5" t="n">
        <v>16000</v>
      </c>
      <c r="L24" s="5" t="n">
        <v>42</v>
      </c>
      <c r="M24" s="5" t="n">
        <v>1</v>
      </c>
      <c r="N24" s="5" t="n"/>
      <c r="O24" s="5" t="n">
        <v>6097</v>
      </c>
      <c r="P24" s="5" t="n">
        <v>1</v>
      </c>
      <c r="Q24">
        <f>L24+IF(M24&gt;1,N(N24)*(M24-1),0)</f>
        <v/>
      </c>
      <c r="R24">
        <f>IFERROR(K24*MAX(M24,1)/Q24*P24,0)</f>
        <v/>
      </c>
      <c r="AA24" s="6" t="inlineStr">
        <is>
          <t>^Grenade</t>
        </is>
      </c>
    </row>
    <row r="25">
      <c r="B25" s="6" t="inlineStr">
        <is>
          <t xml:space="preserve">  ↳ Grenade</t>
        </is>
      </c>
      <c r="C25" s="6" t="inlineStr">
        <is>
          <t>Armament@GARRISONED</t>
        </is>
      </c>
      <c r="K25" s="5" t="n">
        <v>16000</v>
      </c>
      <c r="L25" s="5" t="n">
        <v>42</v>
      </c>
      <c r="M25" s="5" t="n">
        <v>1</v>
      </c>
      <c r="N25" s="5" t="n"/>
      <c r="O25" s="5" t="n">
        <v>6097</v>
      </c>
      <c r="P25" s="5" t="n">
        <v>1</v>
      </c>
      <c r="Q25">
        <f>L25+IF(M25&gt;1,N(N25)*(M25-1),0)</f>
        <v/>
      </c>
      <c r="R25">
        <f>IFERROR(K25*MAX(M25,1)/Q25*P25,0)</f>
        <v/>
      </c>
      <c r="AA25" s="6" t="inlineStr">
        <is>
          <t>^Grenade</t>
        </is>
      </c>
    </row>
    <row r="26">
      <c r="A26" t="inlineStr">
        <is>
          <t>tiberiandawn</t>
        </is>
      </c>
      <c r="B26" t="inlineStr">
        <is>
          <t>td_gdi_havoc</t>
        </is>
      </c>
      <c r="C26" t="inlineStr">
        <is>
          <t>Havoc</t>
        </is>
      </c>
      <c r="D26" t="inlineStr"/>
      <c r="E26" s="5" t="n">
        <v>100000</v>
      </c>
      <c r="F26" s="5" t="n">
        <v>75</v>
      </c>
      <c r="G26" t="inlineStr">
        <is>
          <t>Heroic</t>
        </is>
      </c>
      <c r="H26" s="5" t="n">
        <v>0.75</v>
      </c>
      <c r="I26" s="5" t="n">
        <v>1</v>
      </c>
      <c r="J26" s="5" t="n">
        <v>1.25</v>
      </c>
      <c r="O26">
        <f>MAX(O27,O28,O29,O30,O35)</f>
        <v/>
      </c>
      <c r="R26">
        <f>R27+R28+R29+R30+R35</f>
        <v/>
      </c>
      <c r="S26">
        <f>(E26/100000+F26/100+(O26/1000)*J26/5+R26/200)*200*I26*H26</f>
        <v/>
      </c>
      <c r="T26">
        <f>((E26*F26/25000)+((O26/1000)*J26*R26/2.5))*I26*H26</f>
        <v/>
      </c>
      <c r="U26">
        <f>(E26*F26*(O26/1000)*J26*R26*I26*H26)/12500000</f>
        <v/>
      </c>
      <c r="V26">
        <f>(S26+T26+U26)/3</f>
        <v/>
      </c>
      <c r="W26" s="5" t="n">
        <v>4000</v>
      </c>
      <c r="X26">
        <f>IFERROR(V26-W26,"")</f>
        <v/>
      </c>
      <c r="Y26">
        <f>IFERROR(ABS(X26)/MAX(W26,1),"")</f>
        <v/>
      </c>
      <c r="Z26">
        <f>IFERROR((W26-(((E26/100000+F26/100+R26/200)*200*I26*H26)+((E26*F26/25000)*I26*H26))/3)/(((J26/5)*200*I26*H26)+((J26*R26/2.5)*I26*H26)+((E26*F26*J26*R26*I26*H26)/12500000))/3*1000,"")</f>
        <v/>
      </c>
    </row>
    <row r="27">
      <c r="B27" s="6" t="inlineStr">
        <is>
          <t xml:space="preserve">  ↳ CommandoSniper</t>
        </is>
      </c>
      <c r="C27" s="6" t="inlineStr">
        <is>
          <t>Armament@ra1_allies_alliedsniper</t>
        </is>
      </c>
      <c r="K27" s="5" t="n">
        <v>20000</v>
      </c>
      <c r="L27" s="5" t="n">
        <v>100</v>
      </c>
      <c r="M27" s="5" t="n">
        <v>1</v>
      </c>
      <c r="N27" s="5" t="n"/>
      <c r="O27" s="5" t="n">
        <v>7750</v>
      </c>
      <c r="P27" s="5" t="n">
        <v>1</v>
      </c>
      <c r="Q27">
        <f>L27+IF(M27&gt;1,N(N27)*(M27-1),0)</f>
        <v/>
      </c>
      <c r="R27">
        <f>IFERROR(K27*MAX(M27,1)/Q27*P27,0)</f>
        <v/>
      </c>
      <c r="AA27" s="6" t="inlineStr">
        <is>
          <t>^SniperWeapon, ^Chaingun</t>
        </is>
      </c>
    </row>
    <row r="28">
      <c r="B28" s="6" t="inlineStr">
        <is>
          <t xml:space="preserve">  ↳ CommandoRocketLauncher</t>
        </is>
      </c>
      <c r="C28" s="6" t="inlineStr">
        <is>
          <t>Armament@Rocket</t>
        </is>
      </c>
      <c r="K28" s="5" t="n">
        <v>20000</v>
      </c>
      <c r="L28" s="5" t="n">
        <v>100</v>
      </c>
      <c r="M28" s="5" t="n">
        <v>1</v>
      </c>
      <c r="N28" s="5" t="n"/>
      <c r="O28" s="5" t="n">
        <v>7750</v>
      </c>
      <c r="P28" s="5" t="n">
        <v>1</v>
      </c>
      <c r="Q28">
        <f>L28+IF(M28&gt;1,N(N28)*(M28-1),0)</f>
        <v/>
      </c>
      <c r="R28">
        <f>IFERROR(K28*MAX(M28,1)/Q28*P28,0)</f>
        <v/>
      </c>
      <c r="AA28" s="6" t="inlineStr">
        <is>
          <t>^MediumMissile, ^LightMissile</t>
        </is>
      </c>
    </row>
    <row r="29">
      <c r="B29" s="6" t="inlineStr">
        <is>
          <t xml:space="preserve">  ↳ CommandoGrenadeLauncher</t>
        </is>
      </c>
      <c r="C29" s="6" t="inlineStr">
        <is>
          <t>Armament@Grenade</t>
        </is>
      </c>
      <c r="K29" s="5" t="n">
        <v>20000</v>
      </c>
      <c r="L29" s="5" t="n">
        <v>100</v>
      </c>
      <c r="M29" s="5" t="n">
        <v>1</v>
      </c>
      <c r="N29" s="5" t="n"/>
      <c r="O29" s="5" t="n">
        <v>7750</v>
      </c>
      <c r="P29" s="5" t="n">
        <v>1</v>
      </c>
      <c r="Q29">
        <f>L29+IF(M29&gt;1,N(N29)*(M29-1),0)</f>
        <v/>
      </c>
      <c r="R29">
        <f>IFERROR(K29*MAX(M29,1)/Q29*P29,0)</f>
        <v/>
      </c>
      <c r="AA29" s="6" t="inlineStr">
        <is>
          <t>^ShrapnelWeapon, ^Grenade, ^EMPDamage</t>
        </is>
      </c>
    </row>
    <row r="30">
      <c r="B30" s="6" t="inlineStr">
        <is>
          <t xml:space="preserve">  ↳ CommandoM16</t>
        </is>
      </c>
      <c r="C30" s="6" t="inlineStr">
        <is>
          <t>Armament@M16</t>
        </is>
      </c>
      <c r="K30" s="5" t="n">
        <v>4000</v>
      </c>
      <c r="L30" s="5" t="n">
        <v>92</v>
      </c>
      <c r="M30" s="5" t="n">
        <v>5</v>
      </c>
      <c r="N30" s="5" t="n">
        <v>2</v>
      </c>
      <c r="O30" s="5" t="n">
        <v>7750</v>
      </c>
      <c r="P30" s="5" t="n">
        <v>1</v>
      </c>
      <c r="Q30">
        <f>L30+IF(M30&gt;1,N(N30)*(M30-1),0)</f>
        <v/>
      </c>
      <c r="R30">
        <f>IFERROR(K30*MAX(M30,1)/Q30*P30,0)</f>
        <v/>
      </c>
      <c r="AA30" s="6" t="inlineStr">
        <is>
          <t>^SniperWeapon, ^Chaingun</t>
        </is>
      </c>
    </row>
    <row r="31">
      <c r="B31" s="6" t="inlineStr">
        <is>
          <t xml:space="preserve">  ↳ CommandoSniper</t>
        </is>
      </c>
      <c r="C31" s="6" t="inlineStr">
        <is>
          <t>Armament@SniperGARRISONED</t>
        </is>
      </c>
      <c r="K31" s="5" t="n">
        <v>20000</v>
      </c>
      <c r="L31" s="5" t="n">
        <v>100</v>
      </c>
      <c r="M31" s="5" t="n">
        <v>1</v>
      </c>
      <c r="N31" s="5" t="n"/>
      <c r="O31" s="5" t="n">
        <v>7750</v>
      </c>
      <c r="P31" s="5" t="n">
        <v>1</v>
      </c>
      <c r="Q31">
        <f>L31+IF(M31&gt;1,N(N31)*(M31-1),0)</f>
        <v/>
      </c>
      <c r="R31">
        <f>IFERROR(K31*MAX(M31,1)/Q31*P31,0)</f>
        <v/>
      </c>
      <c r="AA31" s="6" t="inlineStr">
        <is>
          <t>^SniperWeapon, ^Chaingun</t>
        </is>
      </c>
    </row>
    <row r="32">
      <c r="B32" s="6" t="inlineStr">
        <is>
          <t xml:space="preserve">  ↳ CommandoRocketLauncher</t>
        </is>
      </c>
      <c r="C32" s="6" t="inlineStr">
        <is>
          <t>Armament@RocketGARRISONED</t>
        </is>
      </c>
      <c r="K32" s="5" t="n">
        <v>20000</v>
      </c>
      <c r="L32" s="5" t="n">
        <v>100</v>
      </c>
      <c r="M32" s="5" t="n">
        <v>1</v>
      </c>
      <c r="N32" s="5" t="n"/>
      <c r="O32" s="5" t="n">
        <v>7750</v>
      </c>
      <c r="P32" s="5" t="n">
        <v>1</v>
      </c>
      <c r="Q32">
        <f>L32+IF(M32&gt;1,N(N32)*(M32-1),0)</f>
        <v/>
      </c>
      <c r="R32">
        <f>IFERROR(K32*MAX(M32,1)/Q32*P32,0)</f>
        <v/>
      </c>
      <c r="AA32" s="6" t="inlineStr">
        <is>
          <t>^MediumMissile, ^LightMissile</t>
        </is>
      </c>
    </row>
    <row r="33">
      <c r="B33" s="6" t="inlineStr">
        <is>
          <t xml:space="preserve">  ↳ CommandoGrenadeLauncher</t>
        </is>
      </c>
      <c r="C33" s="6" t="inlineStr">
        <is>
          <t>Armament@GrenadeGARRISONED</t>
        </is>
      </c>
      <c r="K33" s="5" t="n">
        <v>20000</v>
      </c>
      <c r="L33" s="5" t="n">
        <v>100</v>
      </c>
      <c r="M33" s="5" t="n">
        <v>1</v>
      </c>
      <c r="N33" s="5" t="n"/>
      <c r="O33" s="5" t="n">
        <v>7750</v>
      </c>
      <c r="P33" s="5" t="n">
        <v>1</v>
      </c>
      <c r="Q33">
        <f>L33+IF(M33&gt;1,N(N33)*(M33-1),0)</f>
        <v/>
      </c>
      <c r="R33">
        <f>IFERROR(K33*MAX(M33,1)/Q33*P33,0)</f>
        <v/>
      </c>
      <c r="AA33" s="6" t="inlineStr">
        <is>
          <t>^ShrapnelWeapon, ^Grenade, ^EMPDamage</t>
        </is>
      </c>
    </row>
    <row r="34">
      <c r="B34" s="6" t="inlineStr">
        <is>
          <t xml:space="preserve">  ↳ CommandoM16</t>
        </is>
      </c>
      <c r="C34" s="6" t="inlineStr">
        <is>
          <t>Armament@M16GARRISONED</t>
        </is>
      </c>
      <c r="K34" s="5" t="n">
        <v>4000</v>
      </c>
      <c r="L34" s="5" t="n">
        <v>92</v>
      </c>
      <c r="M34" s="5" t="n">
        <v>5</v>
      </c>
      <c r="N34" s="5" t="n">
        <v>2</v>
      </c>
      <c r="O34" s="5" t="n">
        <v>7750</v>
      </c>
      <c r="P34" s="5" t="n">
        <v>1</v>
      </c>
      <c r="Q34">
        <f>L34+IF(M34&gt;1,N(N34)*(M34-1),0)</f>
        <v/>
      </c>
      <c r="R34">
        <f>IFERROR(K34*MAX(M34,1)/Q34*P34,0)</f>
        <v/>
      </c>
      <c r="AA34" s="6" t="inlineStr">
        <is>
          <t>^SniperWeapon, ^Chaingun</t>
        </is>
      </c>
    </row>
    <row r="35">
      <c r="B35" s="6" t="inlineStr">
        <is>
          <t xml:space="preserve">  ↳ GenericC4</t>
        </is>
      </c>
      <c r="C35" s="6" t="inlineStr">
        <is>
          <t>Armament@c4</t>
        </is>
      </c>
      <c r="K35" s="5" t="n"/>
      <c r="L35" s="5" t="n">
        <v>20</v>
      </c>
      <c r="M35" s="5" t="n">
        <v>1</v>
      </c>
      <c r="N35" s="5" t="n"/>
      <c r="O35" s="5" t="n">
        <v>2000</v>
      </c>
      <c r="P35" s="5" t="n">
        <v>1</v>
      </c>
      <c r="Q35">
        <f>L35+IF(M35&gt;1,N(N35)*(M35-1),0)</f>
        <v/>
      </c>
      <c r="R35">
        <f>IFERROR(K35*MAX(M35,1)/Q35*P35,0)</f>
        <v/>
      </c>
      <c r="AA35" s="6" t="inlineStr"/>
    </row>
    <row r="36">
      <c r="A36" t="inlineStr">
        <is>
          <t>tiberiandawn</t>
        </is>
      </c>
      <c r="B36" t="inlineStr">
        <is>
          <t>td_gdi_heavysniper</t>
        </is>
      </c>
      <c r="C36" t="inlineStr">
        <is>
          <t>GDI Heavy Sniper</t>
        </is>
      </c>
      <c r="D36" t="inlineStr"/>
      <c r="E36" s="5" t="n">
        <v>25000</v>
      </c>
      <c r="F36" s="5" t="n">
        <v>78</v>
      </c>
      <c r="G36" t="inlineStr">
        <is>
          <t>Flak</t>
        </is>
      </c>
      <c r="H36" s="5" t="n">
        <v>1</v>
      </c>
      <c r="I36" s="5" t="n">
        <v>1</v>
      </c>
      <c r="J36" s="5" t="n">
        <v>1</v>
      </c>
      <c r="O36">
        <f>MAX(O37)</f>
        <v/>
      </c>
      <c r="R36">
        <f>R37</f>
        <v/>
      </c>
      <c r="S36">
        <f>(E36/100000+F36/100+(O36/1000)*J36/5+R36/200)*200*I36*H36</f>
        <v/>
      </c>
      <c r="T36">
        <f>((E36*F36/25000)+((O36/1000)*J36*R36/2.5))*I36*H36</f>
        <v/>
      </c>
      <c r="U36">
        <f>(E36*F36*(O36/1000)*J36*R36*I36*H36)/12500000</f>
        <v/>
      </c>
      <c r="V36">
        <f>(S36+T36+U36)/3</f>
        <v/>
      </c>
      <c r="W36" s="5" t="n">
        <v>700</v>
      </c>
      <c r="X36">
        <f>IFERROR(V36-W36,"")</f>
        <v/>
      </c>
      <c r="Y36">
        <f>IFERROR(ABS(X36)/MAX(W36,1),"")</f>
        <v/>
      </c>
      <c r="Z36">
        <f>IFERROR((W36-(((E36/100000+F36/100+R36/200)*200*I36*H36)+((E36*F36/25000)*I36*H36))/3)/(((J36/5)*200*I36*H36)+((J36*R36/2.5)*I36*H36)+((E36*F36*J36*R36*I36*H36)/12500000))/3*1000,"")</f>
        <v/>
      </c>
    </row>
    <row r="37">
      <c r="B37" s="6" t="inlineStr">
        <is>
          <t xml:space="preserve">  ↳ GDISniperRifle</t>
        </is>
      </c>
      <c r="C37" s="6" t="inlineStr">
        <is>
          <t>Armament</t>
        </is>
      </c>
      <c r="K37" s="5" t="n">
        <v>8000</v>
      </c>
      <c r="L37" s="5" t="n">
        <v>75</v>
      </c>
      <c r="M37" s="5" t="n">
        <v>1</v>
      </c>
      <c r="N37" s="5" t="n"/>
      <c r="O37" s="5" t="n">
        <v>8655</v>
      </c>
      <c r="P37" s="5" t="n">
        <v>1</v>
      </c>
      <c r="Q37">
        <f>L37+IF(M37&gt;1,N(N37)*(M37-1),0)</f>
        <v/>
      </c>
      <c r="R37">
        <f>IFERROR(K37*MAX(M37,1)/Q37*P37,0)</f>
        <v/>
      </c>
      <c r="AA37" s="6" t="inlineStr">
        <is>
          <t>^SmallArms, ^Grenade, ^FlakWeapon, ^Chaingun</t>
        </is>
      </c>
    </row>
    <row r="38">
      <c r="B38" s="6" t="inlineStr">
        <is>
          <t xml:space="preserve">  ↳ GDISniperRifle</t>
        </is>
      </c>
      <c r="C38" s="6" t="inlineStr">
        <is>
          <t>Armament@GARRISONED</t>
        </is>
      </c>
      <c r="K38" s="5" t="n">
        <v>8000</v>
      </c>
      <c r="L38" s="5" t="n">
        <v>75</v>
      </c>
      <c r="M38" s="5" t="n">
        <v>1</v>
      </c>
      <c r="N38" s="5" t="n"/>
      <c r="O38" s="5" t="n">
        <v>8655</v>
      </c>
      <c r="P38" s="5" t="n">
        <v>1</v>
      </c>
      <c r="Q38">
        <f>L38+IF(M38&gt;1,N(N38)*(M38-1),0)</f>
        <v/>
      </c>
      <c r="R38">
        <f>IFERROR(K38*MAX(M38,1)/Q38*P38,0)</f>
        <v/>
      </c>
      <c r="AA38" s="6" t="inlineStr">
        <is>
          <t>^SmallArms, ^Grenade, ^FlakWeapon, ^Chaingun</t>
        </is>
      </c>
    </row>
    <row r="39">
      <c r="A39" t="inlineStr">
        <is>
          <t>tiberiandawn</t>
        </is>
      </c>
      <c r="B39" t="inlineStr">
        <is>
          <t>td_gdi_minigunner</t>
        </is>
      </c>
      <c r="C39" t="inlineStr">
        <is>
          <t>GDI Minigunner</t>
        </is>
      </c>
      <c r="D39" t="inlineStr">
        <is>
          <t>scout</t>
        </is>
      </c>
      <c r="E39" s="5" t="n">
        <v>32000</v>
      </c>
      <c r="F39" s="5" t="n">
        <v>63</v>
      </c>
      <c r="G39" t="inlineStr">
        <is>
          <t>None</t>
        </is>
      </c>
      <c r="H39" s="5" t="n">
        <v>1</v>
      </c>
      <c r="I39" s="5" t="n">
        <v>1</v>
      </c>
      <c r="J39" s="5" t="n">
        <v>1</v>
      </c>
      <c r="O39">
        <f>MAX(O40,O42)</f>
        <v/>
      </c>
      <c r="R39">
        <f>R40+R42</f>
        <v/>
      </c>
      <c r="S39">
        <f>(E39/100000+F39/100+(O39/1000)*J39/5+R39/200)*200*I39*H39</f>
        <v/>
      </c>
      <c r="T39">
        <f>((E39*F39/25000)+((O39/1000)*J39*R39/2.5))*I39*H39</f>
        <v/>
      </c>
      <c r="U39">
        <f>(E39*F39*(O39/1000)*J39*R39*I39*H39)/12500000</f>
        <v/>
      </c>
      <c r="V39">
        <f>(S39+T39+U39)/3</f>
        <v/>
      </c>
      <c r="W39" s="5" t="n">
        <v>100</v>
      </c>
      <c r="X39">
        <f>IFERROR(V39-W39,"")</f>
        <v/>
      </c>
      <c r="Y39">
        <f>IFERROR(ABS(X39)/MAX(W39,1),"")</f>
        <v/>
      </c>
      <c r="Z39">
        <f>IFERROR((W39-(((E39/100000+F39/100+R39/200)*200*I39*H39)+((E39*F39/25000)*I39*H39))/3)/(((J39/5)*200*I39*H39)+((J39*R39/2.5)*I39*H39)+((E39*F39*J39*R39*I39*H39)/12500000))/3*1000,"")</f>
        <v/>
      </c>
    </row>
    <row r="40">
      <c r="B40" s="6" t="inlineStr">
        <is>
          <t xml:space="preserve">  ↳ td_gdi_minigunner_minigun</t>
        </is>
      </c>
      <c r="C40" s="6" t="inlineStr">
        <is>
          <t>Armament@PRIMARY</t>
        </is>
      </c>
      <c r="K40" s="5" t="n">
        <v>2000</v>
      </c>
      <c r="L40" s="5" t="n">
        <v>45</v>
      </c>
      <c r="M40" s="5" t="n">
        <v>4</v>
      </c>
      <c r="N40" s="5" t="n">
        <v>3</v>
      </c>
      <c r="O40" s="5" t="n">
        <v>4600</v>
      </c>
      <c r="P40" s="5" t="n">
        <v>0.75</v>
      </c>
      <c r="Q40">
        <f>L40+IF(M40&gt;1,N(N40)*(M40-1),0)</f>
        <v/>
      </c>
      <c r="R40">
        <f>IFERROR(K40*MAX(M40,1)/Q40*P40,0)</f>
        <v/>
      </c>
      <c r="AA40" s="6" t="inlineStr">
        <is>
          <t>^SmallArms</t>
        </is>
      </c>
    </row>
    <row r="41">
      <c r="B41" s="6" t="inlineStr">
        <is>
          <t xml:space="preserve">  ↳ td_gdi_minigunner_minigun</t>
        </is>
      </c>
      <c r="C41" s="6" t="inlineStr">
        <is>
          <t>Armament@GARRISONED</t>
        </is>
      </c>
      <c r="K41" s="5" t="n">
        <v>2000</v>
      </c>
      <c r="L41" s="5" t="n">
        <v>45</v>
      </c>
      <c r="M41" s="5" t="n">
        <v>4</v>
      </c>
      <c r="N41" s="5" t="n">
        <v>3</v>
      </c>
      <c r="O41" s="5" t="n">
        <v>4600</v>
      </c>
      <c r="P41" s="5" t="n">
        <v>0.75</v>
      </c>
      <c r="Q41">
        <f>L41+IF(M41&gt;1,N(N41)*(M41-1),0)</f>
        <v/>
      </c>
      <c r="R41">
        <f>IFERROR(K41*MAX(M41,1)/Q41*P41,0)</f>
        <v/>
      </c>
      <c r="AA41" s="6" t="inlineStr">
        <is>
          <t>^SmallArms</t>
        </is>
      </c>
    </row>
    <row r="42">
      <c r="B42" s="6" t="inlineStr">
        <is>
          <t xml:space="preserve">  ↳ td_gdi_minigunner_minigun_ap</t>
        </is>
      </c>
      <c r="C42" s="6" t="inlineStr">
        <is>
          <t>Armament@Upgrade</t>
        </is>
      </c>
      <c r="K42" s="5" t="n">
        <v>4000</v>
      </c>
      <c r="L42" s="5" t="n">
        <v>45</v>
      </c>
      <c r="M42" s="5" t="n">
        <v>4</v>
      </c>
      <c r="N42" s="5" t="n">
        <v>3</v>
      </c>
      <c r="O42" s="5" t="n">
        <v>4600</v>
      </c>
      <c r="P42" s="5" t="n">
        <v>0.75</v>
      </c>
      <c r="Q42">
        <f>L42+IF(M42&gt;1,N(N42)*(M42-1),0)</f>
        <v/>
      </c>
      <c r="R42">
        <f>IFERROR(K42*MAX(M42,1)/Q42*P42,0)</f>
        <v/>
      </c>
      <c r="AA42" s="6" t="inlineStr">
        <is>
          <t>^Chaingun</t>
        </is>
      </c>
    </row>
    <row r="43">
      <c r="B43" s="6" t="inlineStr">
        <is>
          <t xml:space="preserve">  ↳ td_gdi_minigunner_minigun_ap</t>
        </is>
      </c>
      <c r="C43" s="6" t="inlineStr">
        <is>
          <t>Armament@UpgradeGARRISONED</t>
        </is>
      </c>
      <c r="K43" s="5" t="n">
        <v>4000</v>
      </c>
      <c r="L43" s="5" t="n">
        <v>45</v>
      </c>
      <c r="M43" s="5" t="n">
        <v>4</v>
      </c>
      <c r="N43" s="5" t="n">
        <v>3</v>
      </c>
      <c r="O43" s="5" t="n">
        <v>4600</v>
      </c>
      <c r="P43" s="5" t="n">
        <v>0.75</v>
      </c>
      <c r="Q43">
        <f>L43+IF(M43&gt;1,N(N43)*(M43-1),0)</f>
        <v/>
      </c>
      <c r="R43">
        <f>IFERROR(K43*MAX(M43,1)/Q43*P43,0)</f>
        <v/>
      </c>
      <c r="AA43" s="6" t="inlineStr">
        <is>
          <t>^Chaingun</t>
        </is>
      </c>
    </row>
    <row r="44">
      <c r="A44" t="inlineStr">
        <is>
          <t>tiberiandawn</t>
        </is>
      </c>
      <c r="B44" t="inlineStr">
        <is>
          <t>td_gdi_officer</t>
        </is>
      </c>
      <c r="C44" t="inlineStr">
        <is>
          <t>GDI Officer</t>
        </is>
      </c>
      <c r="D44" t="inlineStr"/>
      <c r="E44" s="5" t="n">
        <v>32000</v>
      </c>
      <c r="F44" s="5" t="n">
        <v>80</v>
      </c>
      <c r="G44" t="inlineStr">
        <is>
          <t>Plate</t>
        </is>
      </c>
      <c r="H44" s="5" t="n">
        <v>1</v>
      </c>
      <c r="I44" s="5" t="n">
        <v>0.8</v>
      </c>
      <c r="J44" s="5" t="n">
        <v>1.25</v>
      </c>
      <c r="O44">
        <f>MAX(O45,O47)</f>
        <v/>
      </c>
      <c r="R44">
        <f>R45+R47</f>
        <v/>
      </c>
      <c r="S44">
        <f>(E44/100000+F44/100+(O44/1000)*J44/5+R44/200)*200*I44*H44</f>
        <v/>
      </c>
      <c r="T44">
        <f>((E44*F44/25000)+((O44/1000)*J44*R44/2.5))*I44*H44</f>
        <v/>
      </c>
      <c r="U44">
        <f>(E44*F44*(O44/1000)*J44*R44*I44*H44)/12500000</f>
        <v/>
      </c>
      <c r="V44">
        <f>(S44+T44+U44)/3</f>
        <v/>
      </c>
      <c r="W44" s="5" t="n">
        <v>700</v>
      </c>
      <c r="X44">
        <f>IFERROR(V44-W44,"")</f>
        <v/>
      </c>
      <c r="Y44">
        <f>IFERROR(ABS(X44)/MAX(W44,1),"")</f>
        <v/>
      </c>
      <c r="Z44">
        <f>IFERROR((W44-(((E44/100000+F44/100+R44/200)*200*I44*H44)+((E44*F44/25000)*I44*H44))/3)/(((J44/5)*200*I44*H44)+((J44*R44/2.5)*I44*H44)+((E44*F44*J44*R44*I44*H44)/12500000))/3*1000,"")</f>
        <v/>
      </c>
    </row>
    <row r="45">
      <c r="B45" s="6" t="inlineStr">
        <is>
          <t xml:space="preserve">  ↳ OfficerMachineGun</t>
        </is>
      </c>
      <c r="C45" s="6" t="inlineStr">
        <is>
          <t>Armament@PRIMARY</t>
        </is>
      </c>
      <c r="K45" s="5" t="n">
        <v>2000</v>
      </c>
      <c r="L45" s="5" t="n">
        <v>20</v>
      </c>
      <c r="M45" s="5" t="n">
        <v>4</v>
      </c>
      <c r="N45" s="5" t="n">
        <v>4</v>
      </c>
      <c r="O45" s="5" t="n">
        <v>4888</v>
      </c>
      <c r="P45" s="5" t="n">
        <v>1</v>
      </c>
      <c r="Q45">
        <f>L45+IF(M45&gt;1,N(N45)*(M45-1),0)</f>
        <v/>
      </c>
      <c r="R45">
        <f>IFERROR(K45*MAX(M45,1)/Q45*P45,0)</f>
        <v/>
      </c>
      <c r="AA45" s="6" t="inlineStr">
        <is>
          <t>^SmallArms, ^Chaingun</t>
        </is>
      </c>
    </row>
    <row r="46">
      <c r="B46" s="6" t="inlineStr">
        <is>
          <t xml:space="preserve">  ↳ OfficerMachineGun</t>
        </is>
      </c>
      <c r="C46" s="6" t="inlineStr">
        <is>
          <t>Armament@GARRISONED</t>
        </is>
      </c>
      <c r="K46" s="5" t="n">
        <v>2000</v>
      </c>
      <c r="L46" s="5" t="n">
        <v>20</v>
      </c>
      <c r="M46" s="5" t="n">
        <v>4</v>
      </c>
      <c r="N46" s="5" t="n">
        <v>4</v>
      </c>
      <c r="O46" s="5" t="n">
        <v>4888</v>
      </c>
      <c r="P46" s="5" t="n">
        <v>1</v>
      </c>
      <c r="Q46">
        <f>L46+IF(M46&gt;1,N(N46)*(M46-1),0)</f>
        <v/>
      </c>
      <c r="R46">
        <f>IFERROR(K46*MAX(M46,1)/Q46*P46,0)</f>
        <v/>
      </c>
      <c r="AA46" s="6" t="inlineStr">
        <is>
          <t>^SmallArms, ^Chaingun</t>
        </is>
      </c>
    </row>
    <row r="47">
      <c r="B47" s="6" t="inlineStr">
        <is>
          <t xml:space="preserve">  ↳ OfficerMachineGunAP</t>
        </is>
      </c>
      <c r="C47" s="6" t="inlineStr">
        <is>
          <t>Armament@Upgrade</t>
        </is>
      </c>
      <c r="K47" s="5" t="n">
        <v>4000</v>
      </c>
      <c r="L47" s="5" t="n">
        <v>20</v>
      </c>
      <c r="M47" s="5" t="n">
        <v>4</v>
      </c>
      <c r="N47" s="5" t="n">
        <v>4</v>
      </c>
      <c r="O47" s="5" t="n">
        <v>4888</v>
      </c>
      <c r="P47" s="5" t="n">
        <v>1</v>
      </c>
      <c r="Q47">
        <f>L47+IF(M47&gt;1,N(N47)*(M47-1),0)</f>
        <v/>
      </c>
      <c r="R47">
        <f>IFERROR(K47*MAX(M47,1)/Q47*P47,0)</f>
        <v/>
      </c>
      <c r="AA47" s="6" t="inlineStr">
        <is>
          <t>^Chaingun</t>
        </is>
      </c>
    </row>
    <row r="48">
      <c r="B48" s="6" t="inlineStr">
        <is>
          <t xml:space="preserve">  ↳ OfficerMachineGunAP</t>
        </is>
      </c>
      <c r="C48" s="6" t="inlineStr">
        <is>
          <t>Armament@UpgradeGARRISONED</t>
        </is>
      </c>
      <c r="K48" s="5" t="n">
        <v>4000</v>
      </c>
      <c r="L48" s="5" t="n">
        <v>20</v>
      </c>
      <c r="M48" s="5" t="n">
        <v>4</v>
      </c>
      <c r="N48" s="5" t="n">
        <v>4</v>
      </c>
      <c r="O48" s="5" t="n">
        <v>4888</v>
      </c>
      <c r="P48" s="5" t="n">
        <v>1</v>
      </c>
      <c r="Q48">
        <f>L48+IF(M48&gt;1,N(N48)*(M48-1),0)</f>
        <v/>
      </c>
      <c r="R48">
        <f>IFERROR(K48*MAX(M48,1)/Q48*P48,0)</f>
        <v/>
      </c>
      <c r="AA48" s="6" t="inlineStr">
        <is>
          <t>^Chaingun</t>
        </is>
      </c>
    </row>
    <row r="49">
      <c r="A49" t="inlineStr">
        <is>
          <t>tiberiandawn</t>
        </is>
      </c>
      <c r="B49" t="inlineStr">
        <is>
          <t>td_gdi_rocketsoldier</t>
        </is>
      </c>
      <c r="C49" t="inlineStr">
        <is>
          <t>GDI Rocket Soldier</t>
        </is>
      </c>
      <c r="D49" t="inlineStr"/>
      <c r="E49" s="5" t="n">
        <v>9000</v>
      </c>
      <c r="F49" s="5" t="n">
        <v>50</v>
      </c>
      <c r="G49" t="inlineStr">
        <is>
          <t>Flak</t>
        </is>
      </c>
      <c r="H49" s="5" t="n">
        <v>1</v>
      </c>
      <c r="I49" s="5" t="n">
        <v>1</v>
      </c>
      <c r="J49" s="5" t="n">
        <v>1</v>
      </c>
      <c r="O49">
        <f>MAX(O50,O52)</f>
        <v/>
      </c>
      <c r="R49">
        <f>R50+R52</f>
        <v/>
      </c>
      <c r="S49">
        <f>(E49/100000+F49/100+(O49/1000)*J49/5+R49/200)*200*I49*H49</f>
        <v/>
      </c>
      <c r="T49">
        <f>((E49*F49/25000)+((O49/1000)*J49*R49/2.5))*I49*H49</f>
        <v/>
      </c>
      <c r="U49">
        <f>(E49*F49*(O49/1000)*J49*R49*I49*H49)/12500000</f>
        <v/>
      </c>
      <c r="V49">
        <f>(S49+T49+U49)/3</f>
        <v/>
      </c>
      <c r="W49" s="5" t="n">
        <v>200</v>
      </c>
      <c r="X49">
        <f>IFERROR(V49-W49,"")</f>
        <v/>
      </c>
      <c r="Y49">
        <f>IFERROR(ABS(X49)/MAX(W49,1),"")</f>
        <v/>
      </c>
      <c r="Z49">
        <f>IFERROR((W49-(((E49/100000+F49/100+R49/200)*200*I49*H49)+((E49*F49/25000)*I49*H49))/3)/(((J49/5)*200*I49*H49)+((J49*R49/2.5)*I49*H49)+((E49*F49*J49*R49*I49*H49)/12500000))/3*1000,"")</f>
        <v/>
      </c>
    </row>
    <row r="50">
      <c r="B50" s="6" t="inlineStr">
        <is>
          <t xml:space="preserve">  ↳ Rockets</t>
        </is>
      </c>
      <c r="C50" s="6" t="inlineStr">
        <is>
          <t>Armament@PRIMARY</t>
        </is>
      </c>
      <c r="K50" s="5" t="n">
        <v>18000</v>
      </c>
      <c r="L50" s="5" t="n">
        <v>63</v>
      </c>
      <c r="M50" s="5" t="n">
        <v>1</v>
      </c>
      <c r="N50" s="5" t="n"/>
      <c r="O50" s="5" t="n">
        <v>6368</v>
      </c>
      <c r="P50" s="5" t="n">
        <v>1</v>
      </c>
      <c r="Q50">
        <f>L50+IF(M50&gt;1,N(N50)*(M50-1),0)</f>
        <v/>
      </c>
      <c r="R50">
        <f>IFERROR(K50*MAX(M50,1)/Q50*P50,0)</f>
        <v/>
      </c>
      <c r="AA50" s="6" t="inlineStr">
        <is>
          <t>^LightMissile</t>
        </is>
      </c>
    </row>
    <row r="51">
      <c r="B51" s="6" t="inlineStr">
        <is>
          <t xml:space="preserve">  ↳ Rockets</t>
        </is>
      </c>
      <c r="C51" s="6" t="inlineStr">
        <is>
          <t>Armament@GARRISONED</t>
        </is>
      </c>
      <c r="K51" s="5" t="n">
        <v>18000</v>
      </c>
      <c r="L51" s="5" t="n">
        <v>63</v>
      </c>
      <c r="M51" s="5" t="n">
        <v>1</v>
      </c>
      <c r="N51" s="5" t="n"/>
      <c r="O51" s="5" t="n">
        <v>6368</v>
      </c>
      <c r="P51" s="5" t="n">
        <v>1</v>
      </c>
      <c r="Q51">
        <f>L51+IF(M51&gt;1,N(N51)*(M51-1),0)</f>
        <v/>
      </c>
      <c r="R51">
        <f>IFERROR(K51*MAX(M51,1)/Q51*P51,0)</f>
        <v/>
      </c>
      <c r="AA51" s="6" t="inlineStr">
        <is>
          <t>^LightMissile</t>
        </is>
      </c>
    </row>
    <row r="52">
      <c r="B52" s="6" t="inlineStr">
        <is>
          <t xml:space="preserve">  ↳ RocketsAMT</t>
        </is>
      </c>
      <c r="C52" s="6" t="inlineStr">
        <is>
          <t>Armament@AdvancedMissileTargeting</t>
        </is>
      </c>
      <c r="K52" s="5" t="n">
        <v>18000</v>
      </c>
      <c r="L52" s="5" t="n">
        <v>63</v>
      </c>
      <c r="M52" s="5" t="n">
        <v>1</v>
      </c>
      <c r="N52" s="5" t="n"/>
      <c r="O52" s="5" t="n">
        <v>6368</v>
      </c>
      <c r="P52" s="5" t="n">
        <v>1</v>
      </c>
      <c r="Q52">
        <f>L52+IF(M52&gt;1,N(N52)*(M52-1),0)</f>
        <v/>
      </c>
      <c r="R52">
        <f>IFERROR(K52*MAX(M52,1)/Q52*P52,0)</f>
        <v/>
      </c>
      <c r="AA52" s="6" t="inlineStr">
        <is>
          <t>^LightMissile, ^AMTProjectile</t>
        </is>
      </c>
    </row>
    <row r="53">
      <c r="B53" s="6" t="inlineStr">
        <is>
          <t xml:space="preserve">  ↳ RocketsAMT</t>
        </is>
      </c>
      <c r="C53" s="6" t="inlineStr">
        <is>
          <t>Armament@AdvancedMissileTargetingGARRISONED</t>
        </is>
      </c>
      <c r="K53" s="5" t="n">
        <v>18000</v>
      </c>
      <c r="L53" s="5" t="n">
        <v>63</v>
      </c>
      <c r="M53" s="5" t="n">
        <v>1</v>
      </c>
      <c r="N53" s="5" t="n"/>
      <c r="O53" s="5" t="n">
        <v>6368</v>
      </c>
      <c r="P53" s="5" t="n">
        <v>1</v>
      </c>
      <c r="Q53">
        <f>L53+IF(M53&gt;1,N(N53)*(M53-1),0)</f>
        <v/>
      </c>
      <c r="R53">
        <f>IFERROR(K53*MAX(M53,1)/Q53*P53,0)</f>
        <v/>
      </c>
      <c r="AA53" s="6" t="inlineStr">
        <is>
          <t>^LightMissile, ^AMTProjectile</t>
        </is>
      </c>
    </row>
    <row r="54">
      <c r="A54" t="inlineStr">
        <is>
          <t>tiberiandawn</t>
        </is>
      </c>
      <c r="B54" t="inlineStr">
        <is>
          <t>td_gdi_shotgunner</t>
        </is>
      </c>
      <c r="C54" t="inlineStr">
        <is>
          <t>Shotgunner</t>
        </is>
      </c>
      <c r="D54" t="inlineStr">
        <is>
          <t>closecombat</t>
        </is>
      </c>
      <c r="E54" s="5" t="n">
        <v>50000</v>
      </c>
      <c r="F54" s="5" t="n">
        <v>75</v>
      </c>
      <c r="G54" t="inlineStr">
        <is>
          <t>Plate</t>
        </is>
      </c>
      <c r="H54" s="5" t="n">
        <v>1</v>
      </c>
      <c r="I54" s="5" t="n">
        <v>1</v>
      </c>
      <c r="J54" s="5" t="n">
        <v>1</v>
      </c>
      <c r="O54">
        <f>MAX(O55)</f>
        <v/>
      </c>
      <c r="R54">
        <f>R55</f>
        <v/>
      </c>
      <c r="S54">
        <f>(E54/100000+F54/100+(O54/1000)*J54/5+R54/200)*200*I54*H54</f>
        <v/>
      </c>
      <c r="T54">
        <f>((E54*F54/25000)+((O54/1000)*J54*R54/2.5))*I54*H54</f>
        <v/>
      </c>
      <c r="U54">
        <f>(E54*F54*(O54/1000)*J54*R54*I54*H54)/12500000</f>
        <v/>
      </c>
      <c r="V54">
        <f>(S54+T54+U54)/3</f>
        <v/>
      </c>
      <c r="W54" s="5" t="n">
        <v>200</v>
      </c>
      <c r="X54">
        <f>IFERROR(V54-W54,"")</f>
        <v/>
      </c>
      <c r="Y54">
        <f>IFERROR(ABS(X54)/MAX(W54,1),"")</f>
        <v/>
      </c>
      <c r="Z54">
        <f>IFERROR((W54-(((E54/100000+F54/100+R54/200)*200*I54*H54)+((E54*F54/25000)*I54*H54))/3)/(((J54/5)*200*I54*H54)+((J54*R54/2.5)*I54*H54)+((E54*F54*J54*R54*I54*H54)/12500000))/3*1000,"")</f>
        <v/>
      </c>
    </row>
    <row r="55">
      <c r="B55" s="6" t="inlineStr">
        <is>
          <t xml:space="preserve">  ↳ td_gdi_shotgunner_shotgun</t>
        </is>
      </c>
      <c r="C55" s="6" t="inlineStr">
        <is>
          <t>Armament@PRIMARY</t>
        </is>
      </c>
      <c r="K55" s="5" t="n">
        <v>2000</v>
      </c>
      <c r="L55" s="5" t="n">
        <v>75</v>
      </c>
      <c r="M55" s="5" t="n">
        <v>5</v>
      </c>
      <c r="N55" s="5" t="n">
        <v>0</v>
      </c>
      <c r="O55" s="5" t="n">
        <v>3500</v>
      </c>
      <c r="P55" s="5" t="n">
        <v>0.875</v>
      </c>
      <c r="Q55">
        <f>L55+IF(M55&gt;1,N(N55)*(M55-1),0)</f>
        <v/>
      </c>
      <c r="R55">
        <f>IFERROR(K55*MAX(M55,1)/Q55*P55,0)</f>
        <v/>
      </c>
      <c r="AA55" s="6" t="inlineStr">
        <is>
          <t>^SmallArms, ^Chaingun</t>
        </is>
      </c>
    </row>
    <row r="56">
      <c r="B56" s="6" t="inlineStr">
        <is>
          <t xml:space="preserve">  ↳ td_gdi_shotgunner_shotgun</t>
        </is>
      </c>
      <c r="C56" s="6" t="inlineStr">
        <is>
          <t>Armament@GARRISONED</t>
        </is>
      </c>
      <c r="K56" s="5" t="n">
        <v>2000</v>
      </c>
      <c r="L56" s="5" t="n">
        <v>75</v>
      </c>
      <c r="M56" s="5" t="n">
        <v>5</v>
      </c>
      <c r="N56" s="5" t="n">
        <v>0</v>
      </c>
      <c r="O56" s="5" t="n">
        <v>3500</v>
      </c>
      <c r="P56" s="5" t="n">
        <v>0.875</v>
      </c>
      <c r="Q56">
        <f>L56+IF(M56&gt;1,N(N56)*(M56-1),0)</f>
        <v/>
      </c>
      <c r="R56">
        <f>IFERROR(K56*MAX(M56,1)/Q56*P56,0)</f>
        <v/>
      </c>
      <c r="AA56" s="6" t="inlineStr">
        <is>
          <t>^SmallArms, ^Chaingun</t>
        </is>
      </c>
    </row>
    <row r="57">
      <c r="A57" t="inlineStr">
        <is>
          <t>tiberiandawn</t>
        </is>
      </c>
      <c r="B57" t="inlineStr">
        <is>
          <t>td_gdi_sonicmissilesoldier</t>
        </is>
      </c>
      <c r="C57" t="inlineStr">
        <is>
          <t>Sonic Missile Soldier</t>
        </is>
      </c>
      <c r="D57" t="inlineStr"/>
      <c r="E57" s="5" t="n">
        <v>25000</v>
      </c>
      <c r="F57" s="5" t="n">
        <v>50</v>
      </c>
      <c r="G57" t="inlineStr">
        <is>
          <t>Plate</t>
        </is>
      </c>
      <c r="H57" s="5" t="n">
        <v>1</v>
      </c>
      <c r="I57" s="5" t="n">
        <v>0.5</v>
      </c>
      <c r="J57" s="5" t="n">
        <v>1</v>
      </c>
      <c r="O57">
        <f>MAX(O58)</f>
        <v/>
      </c>
      <c r="R57">
        <f>R58</f>
        <v/>
      </c>
      <c r="S57">
        <f>(E57/100000+F57/100+(O57/1000)*J57/5+R57/200)*200*I57*H57</f>
        <v/>
      </c>
      <c r="T57">
        <f>((E57*F57/25000)+((O57/1000)*J57*R57/2.5))*I57*H57</f>
        <v/>
      </c>
      <c r="U57">
        <f>(E57*F57*(O57/1000)*J57*R57*I57*H57)/12500000</f>
        <v/>
      </c>
      <c r="V57">
        <f>(S57+T57+U57)/3</f>
        <v/>
      </c>
      <c r="W57" s="5" t="n">
        <v>400</v>
      </c>
      <c r="X57">
        <f>IFERROR(V57-W57,"")</f>
        <v/>
      </c>
      <c r="Y57">
        <f>IFERROR(ABS(X57)/MAX(W57,1),"")</f>
        <v/>
      </c>
      <c r="Z57">
        <f>IFERROR((W57-(((E57/100000+F57/100+R57/200)*200*I57*H57)+((E57*F57/25000)*I57*H57))/3)/(((J57/5)*200*I57*H57)+((J57*R57/2.5)*I57*H57)+((E57*F57*J57*R57*I57*H57)/12500000))/3*1000,"")</f>
        <v/>
      </c>
    </row>
    <row r="58">
      <c r="B58" s="6" t="inlineStr">
        <is>
          <t xml:space="preserve">  ↳ MissileSoldierWeapon</t>
        </is>
      </c>
      <c r="C58" s="6" t="inlineStr">
        <is>
          <t>Armament@PRIMARY</t>
        </is>
      </c>
      <c r="K58" s="5" t="n">
        <v>10000</v>
      </c>
      <c r="L58" s="5" t="n">
        <v>125</v>
      </c>
      <c r="M58" s="5" t="n">
        <v>1</v>
      </c>
      <c r="N58" s="5" t="n"/>
      <c r="O58" s="5" t="n">
        <v>7500</v>
      </c>
      <c r="P58" s="5" t="n">
        <v>1</v>
      </c>
      <c r="Q58">
        <f>L58+IF(M58&gt;1,N(N58)*(M58-1),0)</f>
        <v/>
      </c>
      <c r="R58">
        <f>IFERROR(K58*MAX(M58,1)/Q58*P58,0)</f>
        <v/>
      </c>
      <c r="AA58" s="6" t="inlineStr">
        <is>
          <t>^TankDestroyerCannon, ^LightChemicalWeapon, ^ShrapnelWeapon, ^RailgunWeapon, ^HeavyMissile</t>
        </is>
      </c>
    </row>
    <row r="59">
      <c r="B59" s="6" t="inlineStr">
        <is>
          <t xml:space="preserve">  ↳ MissileSoldierWeapon</t>
        </is>
      </c>
      <c r="C59" s="6" t="inlineStr">
        <is>
          <t>Armament@GARRISONED</t>
        </is>
      </c>
      <c r="K59" s="5" t="n">
        <v>10000</v>
      </c>
      <c r="L59" s="5" t="n">
        <v>125</v>
      </c>
      <c r="M59" s="5" t="n">
        <v>1</v>
      </c>
      <c r="N59" s="5" t="n"/>
      <c r="O59" s="5" t="n">
        <v>7500</v>
      </c>
      <c r="P59" s="5" t="n">
        <v>1</v>
      </c>
      <c r="Q59">
        <f>L59+IF(M59&gt;1,N(N59)*(M59-1),0)</f>
        <v/>
      </c>
      <c r="R59">
        <f>IFERROR(K59*MAX(M59,1)/Q59*P59,0)</f>
        <v/>
      </c>
      <c r="AA59" s="6" t="inlineStr">
        <is>
          <t>^TankDestroyerCannon, ^LightChemicalWeapon, ^ShrapnelWeapon, ^RailgunWeapon, ^HeavyMissile</t>
        </is>
      </c>
    </row>
    <row r="60">
      <c r="A60" s="3" t="inlineStr">
        <is>
          <t>VEHICLES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>
      <c r="A61" t="inlineStr">
        <is>
          <t>tiberiandawn</t>
        </is>
      </c>
      <c r="B61" t="inlineStr">
        <is>
          <t>td_gdi_apc</t>
        </is>
      </c>
      <c r="C61" t="inlineStr">
        <is>
          <t>GDI APC</t>
        </is>
      </c>
      <c r="D61" t="inlineStr"/>
      <c r="E61" s="5" t="n">
        <v>47500</v>
      </c>
      <c r="F61" s="5" t="n">
        <v>100</v>
      </c>
      <c r="G61" t="inlineStr">
        <is>
          <t>Medium</t>
        </is>
      </c>
      <c r="H61" s="5" t="n">
        <v>1</v>
      </c>
      <c r="I61" s="5" t="n">
        <v>1</v>
      </c>
      <c r="J61" s="5" t="n">
        <v>1</v>
      </c>
      <c r="O61">
        <f>MAX(O62,O63)</f>
        <v/>
      </c>
      <c r="R61">
        <f>R62+R63</f>
        <v/>
      </c>
      <c r="S61">
        <f>(E61/100000+F61/100+(O61/1000)*J61/5+R61/200)*200*I61*H61</f>
        <v/>
      </c>
      <c r="T61">
        <f>((E61*F61/25000)+((O61/1000)*J61*R61/2.5))*I61*H61</f>
        <v/>
      </c>
      <c r="U61">
        <f>(E61*F61*(O61/1000)*J61*R61*I61*H61)/12500000</f>
        <v/>
      </c>
      <c r="V61">
        <f>(S61+T61+U61)/3</f>
        <v/>
      </c>
      <c r="W61" s="5" t="n">
        <v>1200</v>
      </c>
      <c r="X61">
        <f>IFERROR(V61-W61,"")</f>
        <v/>
      </c>
      <c r="Y61">
        <f>IFERROR(ABS(X61)/MAX(W61,1),"")</f>
        <v/>
      </c>
      <c r="Z61">
        <f>IFERROR((W61-(((E61/100000+F61/100+R61/200)*200*I61*H61)+((E61*F61/25000)*I61*H61))/3)/(((J61/5)*200*I61*H61)+((J61*R61/2.5)*I61*H61)+((E61*F61*J61*R61*I61*H61)/12500000))/3*1000,"")</f>
        <v/>
      </c>
    </row>
    <row r="62">
      <c r="B62" s="6" t="inlineStr">
        <is>
          <t xml:space="preserve">  ↳ APCGun</t>
        </is>
      </c>
      <c r="C62" s="6" t="inlineStr">
        <is>
          <t>Armament@PRIMARY</t>
        </is>
      </c>
      <c r="K62" s="5" t="n">
        <v>2000</v>
      </c>
      <c r="L62" s="5" t="n">
        <v>10</v>
      </c>
      <c r="M62" s="5" t="n">
        <v>1</v>
      </c>
      <c r="N62" s="5" t="n"/>
      <c r="O62" s="5" t="n">
        <v>5668</v>
      </c>
      <c r="P62" s="5" t="n">
        <v>1</v>
      </c>
      <c r="Q62">
        <f>L62+IF(M62&gt;1,N(N62)*(M62-1),0)</f>
        <v/>
      </c>
      <c r="R62">
        <f>IFERROR(K62*MAX(M62,1)/Q62*P62,0)</f>
        <v/>
      </c>
      <c r="AA62" s="6" t="inlineStr">
        <is>
          <t>^Chaingun, ^FlakWeapon</t>
        </is>
      </c>
    </row>
    <row r="63">
      <c r="B63" s="6" t="inlineStr">
        <is>
          <t xml:space="preserve">  ↳ APCGunAA</t>
        </is>
      </c>
      <c r="C63" s="6" t="inlineStr">
        <is>
          <t>Armament@SECONDARY</t>
        </is>
      </c>
      <c r="K63" s="5" t="n">
        <v>2000</v>
      </c>
      <c r="L63" s="5" t="n">
        <v>10</v>
      </c>
      <c r="M63" s="5" t="n">
        <v>1</v>
      </c>
      <c r="N63" s="5" t="n"/>
      <c r="O63" s="5" t="n">
        <v>8502</v>
      </c>
      <c r="P63" s="5" t="n">
        <v>1</v>
      </c>
      <c r="Q63">
        <f>L63+IF(M63&gt;1,N(N63)*(M63-1),0)</f>
        <v/>
      </c>
      <c r="R63">
        <f>IFERROR(K63*MAX(M63,1)/Q63*P63,0)</f>
        <v/>
      </c>
      <c r="AA63" s="6" t="inlineStr">
        <is>
          <t>^Chaingun, ^FlakWeapon</t>
        </is>
      </c>
    </row>
    <row r="64">
      <c r="A64" t="inlineStr">
        <is>
          <t>tiberiandawn</t>
        </is>
      </c>
      <c r="B64" t="inlineStr">
        <is>
          <t>td_gdi_archerartillery</t>
        </is>
      </c>
      <c r="C64" t="inlineStr">
        <is>
          <t>Archer Artillery</t>
        </is>
      </c>
      <c r="D64" t="inlineStr"/>
      <c r="E64" s="5" t="n">
        <v>35000</v>
      </c>
      <c r="F64" s="5" t="n">
        <v>70</v>
      </c>
      <c r="G64" t="inlineStr">
        <is>
          <t>Medium</t>
        </is>
      </c>
      <c r="H64" s="5" t="n">
        <v>0.75</v>
      </c>
      <c r="I64" s="5" t="n">
        <v>0.5</v>
      </c>
      <c r="J64" s="5" t="n">
        <v>1</v>
      </c>
      <c r="O64">
        <f>MAX(O65)</f>
        <v/>
      </c>
      <c r="R64">
        <f>R65</f>
        <v/>
      </c>
      <c r="S64">
        <f>(E64/100000+F64/100+(O64/1000)*J64/5+R64/200)*200*I64*H64</f>
        <v/>
      </c>
      <c r="T64">
        <f>((E64*F64/25000)+((O64/1000)*J64*R64/2.5))*I64*H64</f>
        <v/>
      </c>
      <c r="U64">
        <f>(E64*F64*(O64/1000)*J64*R64*I64*H64)/12500000</f>
        <v/>
      </c>
      <c r="V64">
        <f>(S64+T64+U64)/3</f>
        <v/>
      </c>
      <c r="W64" s="5" t="n">
        <v>750</v>
      </c>
      <c r="X64">
        <f>IFERROR(V64-W64,"")</f>
        <v/>
      </c>
      <c r="Y64">
        <f>IFERROR(ABS(X64)/MAX(W64,1),"")</f>
        <v/>
      </c>
      <c r="Z64">
        <f>IFERROR((W64-(((E64/100000+F64/100+R64/200)*200*I64*H64)+((E64*F64/25000)*I64*H64))/3)/(((J64/5)*200*I64*H64)+((J64*R64/2.5)*I64*H64)+((E64*F64*J64*R64*I64*H64)/12500000))/3*1000,"")</f>
        <v/>
      </c>
    </row>
    <row r="65">
      <c r="B65" s="6" t="inlineStr">
        <is>
          <t xml:space="preserve">  ↳ ArcherArtilleryShell</t>
        </is>
      </c>
      <c r="C65" s="6" t="inlineStr">
        <is>
          <t>Armament@PRIMARY</t>
        </is>
      </c>
      <c r="K65" s="5" t="n">
        <v>14000</v>
      </c>
      <c r="L65" s="5" t="n">
        <v>140</v>
      </c>
      <c r="M65" s="5" t="n">
        <v>1</v>
      </c>
      <c r="N65" s="5" t="n"/>
      <c r="O65" s="5" t="n">
        <v>14000</v>
      </c>
      <c r="P65" s="5" t="n">
        <v>1</v>
      </c>
      <c r="Q65">
        <f>L65+IF(M65&gt;1,N(N65)*(M65-1),0)</f>
        <v/>
      </c>
      <c r="R65">
        <f>IFERROR(K65*MAX(M65,1)/Q65*P65,0)</f>
        <v/>
      </c>
      <c r="AA65" s="6" t="inlineStr">
        <is>
          <t>^MediumCannon, ^HeavyCannon, ^MediumFlameWeapon, ^ShrapnelWeapon, ^HeavyBomb</t>
        </is>
      </c>
    </row>
    <row r="66">
      <c r="A66" t="inlineStr">
        <is>
          <t>tiberiandawn</t>
        </is>
      </c>
      <c r="B66" t="inlineStr">
        <is>
          <t>td_gdi_assaultapc</t>
        </is>
      </c>
      <c r="C66" t="inlineStr">
        <is>
          <t>Assault APC</t>
        </is>
      </c>
      <c r="D66" t="inlineStr"/>
      <c r="E66" s="5" t="n">
        <v>250000</v>
      </c>
      <c r="F66" s="5" t="n">
        <v>100</v>
      </c>
      <c r="G66" t="inlineStr">
        <is>
          <t>Heavy</t>
        </is>
      </c>
      <c r="H66" s="5" t="n">
        <v>0.75</v>
      </c>
      <c r="I66" s="5" t="n">
        <v>1</v>
      </c>
      <c r="J66" s="5" t="n">
        <v>1</v>
      </c>
      <c r="O66">
        <f>MAX(O67,O68,O69,O70)</f>
        <v/>
      </c>
      <c r="R66">
        <f>R67+R68+R69+R70</f>
        <v/>
      </c>
      <c r="S66">
        <f>(E66/100000+F66/100+(O66/1000)*J66/5+R66/200)*200*I66*H66</f>
        <v/>
      </c>
      <c r="T66">
        <f>((E66*F66/25000)+((O66/1000)*J66*R66/2.5))*I66*H66</f>
        <v/>
      </c>
      <c r="U66">
        <f>(E66*F66*(O66/1000)*J66*R66*I66*H66)/12500000</f>
        <v/>
      </c>
      <c r="V66">
        <f>(S66+T66+U66)/3</f>
        <v/>
      </c>
      <c r="W66" s="5" t="n">
        <v>4500</v>
      </c>
      <c r="X66">
        <f>IFERROR(V66-W66,"")</f>
        <v/>
      </c>
      <c r="Y66">
        <f>IFERROR(ABS(X66)/MAX(W66,1),"")</f>
        <v/>
      </c>
      <c r="Z66">
        <f>IFERROR((W66-(((E66/100000+F66/100+R66/200)*200*I66*H66)+((E66*F66/25000)*I66*H66))/3)/(((J66/5)*200*I66*H66)+((J66*R66/2.5)*I66*H66)+((E66*F66*J66*R66*I66*H66)/12500000))/3*1000,"")</f>
        <v/>
      </c>
    </row>
    <row r="67">
      <c r="B67" s="6" t="inlineStr">
        <is>
          <t xml:space="preserve">  ↳ MachineGunHumvee2</t>
        </is>
      </c>
      <c r="C67" s="6" t="inlineStr">
        <is>
          <t>Armament</t>
        </is>
      </c>
      <c r="K67" s="5" t="n">
        <v>2000</v>
      </c>
      <c r="L67" s="5" t="n">
        <v>30</v>
      </c>
      <c r="M67" s="5" t="n">
        <v>4</v>
      </c>
      <c r="N67" s="5" t="n">
        <v>4</v>
      </c>
      <c r="O67" s="5" t="n">
        <v>5598</v>
      </c>
      <c r="P67" s="5" t="n">
        <v>1</v>
      </c>
      <c r="Q67">
        <f>L67+IF(M67&gt;1,N(N67)*(M67-1),0)</f>
        <v/>
      </c>
      <c r="R67">
        <f>IFERROR(K67*MAX(M67,1)/Q67*P67,0)</f>
        <v/>
      </c>
      <c r="AA67" s="6" t="inlineStr">
        <is>
          <t>^SmallArms</t>
        </is>
      </c>
    </row>
    <row r="68">
      <c r="B68" s="6" t="inlineStr">
        <is>
          <t xml:space="preserve">  ↳ MachineGunHumvee2AA</t>
        </is>
      </c>
      <c r="C68" s="6" t="inlineStr">
        <is>
          <t>Armament@AA</t>
        </is>
      </c>
      <c r="K68" s="5" t="n">
        <v>2000</v>
      </c>
      <c r="L68" s="5" t="n">
        <v>30</v>
      </c>
      <c r="M68" s="5" t="n">
        <v>4</v>
      </c>
      <c r="N68" s="5" t="n">
        <v>4</v>
      </c>
      <c r="O68" s="5" t="n">
        <v>8397</v>
      </c>
      <c r="P68" s="5" t="n">
        <v>1</v>
      </c>
      <c r="Q68">
        <f>L68+IF(M68&gt;1,N(N68)*(M68-1),0)</f>
        <v/>
      </c>
      <c r="R68">
        <f>IFERROR(K68*MAX(M68,1)/Q68*P68,0)</f>
        <v/>
      </c>
      <c r="AA68" s="6" t="inlineStr">
        <is>
          <t>^SmallArms</t>
        </is>
      </c>
    </row>
    <row r="69">
      <c r="B69" s="6" t="inlineStr">
        <is>
          <t xml:space="preserve">  ↳ MachineGunHumvee2AP</t>
        </is>
      </c>
      <c r="C69" s="6" t="inlineStr">
        <is>
          <t>Armament@Upgrade</t>
        </is>
      </c>
      <c r="K69" s="5" t="n">
        <v>2000</v>
      </c>
      <c r="L69" s="5" t="n">
        <v>30</v>
      </c>
      <c r="M69" s="5" t="n">
        <v>4</v>
      </c>
      <c r="N69" s="5" t="n">
        <v>4</v>
      </c>
      <c r="O69" s="5" t="n">
        <v>5598</v>
      </c>
      <c r="P69" s="5" t="n">
        <v>1</v>
      </c>
      <c r="Q69">
        <f>L69+IF(M69&gt;1,N(N69)*(M69-1),0)</f>
        <v/>
      </c>
      <c r="R69">
        <f>IFERROR(K69*MAX(M69,1)/Q69*P69,0)</f>
        <v/>
      </c>
      <c r="AA69" s="6" t="inlineStr">
        <is>
          <t>^Chaingun</t>
        </is>
      </c>
    </row>
    <row r="70">
      <c r="B70" s="6" t="inlineStr">
        <is>
          <t xml:space="preserve">  ↳ MachineGunHumvee2APAA</t>
        </is>
      </c>
      <c r="C70" s="6" t="inlineStr">
        <is>
          <t>Armament@UpgradeAA</t>
        </is>
      </c>
      <c r="K70" s="5" t="n">
        <v>2000</v>
      </c>
      <c r="L70" s="5" t="n">
        <v>30</v>
      </c>
      <c r="M70" s="5" t="n">
        <v>4</v>
      </c>
      <c r="N70" s="5" t="n">
        <v>4</v>
      </c>
      <c r="O70" s="5" t="n">
        <v>8397</v>
      </c>
      <c r="P70" s="5" t="n">
        <v>1</v>
      </c>
      <c r="Q70">
        <f>L70+IF(M70&gt;1,N(N70)*(M70-1),0)</f>
        <v/>
      </c>
      <c r="R70">
        <f>IFERROR(K70*MAX(M70,1)/Q70*P70,0)</f>
        <v/>
      </c>
      <c r="AA70" s="6" t="inlineStr">
        <is>
          <t>^Chaingun</t>
        </is>
      </c>
    </row>
    <row r="71">
      <c r="A71" t="inlineStr">
        <is>
          <t>tiberiandawn</t>
        </is>
      </c>
      <c r="B71" t="inlineStr">
        <is>
          <t>td_gdi_battletank</t>
        </is>
      </c>
      <c r="C71" t="inlineStr">
        <is>
          <t>GDI Battle Tank</t>
        </is>
      </c>
      <c r="D71" t="inlineStr"/>
      <c r="E71" s="5" t="n">
        <v>125000</v>
      </c>
      <c r="F71" s="5" t="n">
        <v>80</v>
      </c>
      <c r="G71" t="inlineStr">
        <is>
          <t>Medium</t>
        </is>
      </c>
      <c r="H71" s="5" t="n">
        <v>1</v>
      </c>
      <c r="I71" s="5" t="n">
        <v>1</v>
      </c>
      <c r="J71" s="5" t="n">
        <v>1</v>
      </c>
      <c r="O71">
        <f>MAX(O72,O73,O74,O75,O76)</f>
        <v/>
      </c>
      <c r="R71">
        <f>R72+R73+R74+R75+R76</f>
        <v/>
      </c>
      <c r="S71">
        <f>(E71/100000+F71/100+(O71/1000)*J71/5+R71/200)*200*I71*H71</f>
        <v/>
      </c>
      <c r="T71">
        <f>((E71*F71/25000)+((O71/1000)*J71*R71/2.5))*I71*H71</f>
        <v/>
      </c>
      <c r="U71">
        <f>(E71*F71*(O71/1000)*J71*R71*I71*H71)/12500000</f>
        <v/>
      </c>
      <c r="V71">
        <f>(S71+T71+U71)/3</f>
        <v/>
      </c>
      <c r="W71" s="5" t="n">
        <v>900</v>
      </c>
      <c r="X71">
        <f>IFERROR(V71-W71,"")</f>
        <v/>
      </c>
      <c r="Y71">
        <f>IFERROR(ABS(X71)/MAX(W71,1),"")</f>
        <v/>
      </c>
      <c r="Z71">
        <f>IFERROR((W71-(((E71/100000+F71/100+R71/200)*200*I71*H71)+((E71*F71/25000)*I71*H71))/3)/(((J71/5)*200*I71*H71)+((J71*R71/2.5)*I71*H71)+((E71*F71*J71*R71*I71*H71)/12500000))/3*1000,"")</f>
        <v/>
      </c>
    </row>
    <row r="72">
      <c r="B72" s="6" t="inlineStr">
        <is>
          <t xml:space="preserve">  ↳ 120mm</t>
        </is>
      </c>
      <c r="C72" s="6" t="inlineStr">
        <is>
          <t>Armament</t>
        </is>
      </c>
      <c r="K72" s="5" t="n">
        <v>8000</v>
      </c>
      <c r="L72" s="5" t="n">
        <v>72</v>
      </c>
      <c r="M72" s="5" t="n">
        <v>1</v>
      </c>
      <c r="N72" s="5" t="n"/>
      <c r="O72" s="5" t="n">
        <v>5438</v>
      </c>
      <c r="P72" s="5" t="n">
        <v>1</v>
      </c>
      <c r="Q72">
        <f>L72+IF(M72&gt;1,N(N72)*(M72-1),0)</f>
        <v/>
      </c>
      <c r="R72">
        <f>IFERROR(K72*MAX(M72,1)/Q72*P72,0)</f>
        <v/>
      </c>
      <c r="AA72" s="6" t="inlineStr">
        <is>
          <t>^MediumCannon</t>
        </is>
      </c>
    </row>
    <row r="73">
      <c r="B73" s="6" t="inlineStr">
        <is>
          <t xml:space="preserve">  ↳ 120mmHV</t>
        </is>
      </c>
      <c r="C73" s="6" t="inlineStr">
        <is>
          <t>Armament@HV</t>
        </is>
      </c>
      <c r="K73" s="5" t="n">
        <v>16000</v>
      </c>
      <c r="L73" s="5" t="n">
        <v>72</v>
      </c>
      <c r="M73" s="5" t="n">
        <v>1</v>
      </c>
      <c r="N73" s="5" t="n"/>
      <c r="O73" s="5" t="n">
        <v>5438</v>
      </c>
      <c r="P73" s="5" t="n">
        <v>1</v>
      </c>
      <c r="Q73">
        <f>L73+IF(M73&gt;1,N(N73)*(M73-1),0)</f>
        <v/>
      </c>
      <c r="R73">
        <f>IFERROR(K73*MAX(M73,1)/Q73*P73,0)</f>
        <v/>
      </c>
      <c r="AA73" s="6" t="inlineStr">
        <is>
          <t>^MediumCannon, ^HVProjectile</t>
        </is>
      </c>
    </row>
    <row r="74">
      <c r="B74" s="6" t="inlineStr">
        <is>
          <t xml:space="preserve">  ↳ M1A1Missiles</t>
        </is>
      </c>
      <c r="C74" s="6" t="inlineStr">
        <is>
          <t>Armament@Missile</t>
        </is>
      </c>
      <c r="K74" s="5" t="n">
        <v>8000</v>
      </c>
      <c r="L74" s="5" t="n">
        <v>72</v>
      </c>
      <c r="M74" s="5" t="n">
        <v>1</v>
      </c>
      <c r="N74" s="5" t="n"/>
      <c r="O74" s="5" t="n">
        <v>5400</v>
      </c>
      <c r="P74" s="5" t="n">
        <v>1</v>
      </c>
      <c r="Q74">
        <f>L74+IF(M74&gt;1,N(N74)*(M74-1),0)</f>
        <v/>
      </c>
      <c r="R74">
        <f>IFERROR(K74*MAX(M74,1)/Q74*P74,0)</f>
        <v/>
      </c>
      <c r="AA74" s="6" t="inlineStr">
        <is>
          <t>^MediumMissile</t>
        </is>
      </c>
    </row>
    <row r="75">
      <c r="B75" s="6" t="inlineStr">
        <is>
          <t xml:space="preserve">  ↳ M1A1MissilesAMT</t>
        </is>
      </c>
      <c r="C75" s="6" t="inlineStr">
        <is>
          <t>Armament@AdvancedMissileTargeting</t>
        </is>
      </c>
      <c r="K75" s="5" t="n">
        <v>8000</v>
      </c>
      <c r="L75" s="5" t="n">
        <v>72</v>
      </c>
      <c r="M75" s="5" t="n">
        <v>1</v>
      </c>
      <c r="N75" s="5" t="n"/>
      <c r="O75" s="5" t="n">
        <v>5400</v>
      </c>
      <c r="P75" s="5" t="n">
        <v>1</v>
      </c>
      <c r="Q75">
        <f>L75+IF(M75&gt;1,N(N75)*(M75-1),0)</f>
        <v/>
      </c>
      <c r="R75">
        <f>IFERROR(K75*MAX(M75,1)/Q75*P75,0)</f>
        <v/>
      </c>
      <c r="AA75" s="6" t="inlineStr">
        <is>
          <t>^MediumMissile, ^AMTProjectile</t>
        </is>
      </c>
    </row>
    <row r="76">
      <c r="B76" s="6" t="inlineStr">
        <is>
          <t xml:space="preserve">  ↳ M1A1MachineGun</t>
        </is>
      </c>
      <c r="C76" s="6" t="inlineStr">
        <is>
          <t>Armament@MachineGun</t>
        </is>
      </c>
      <c r="K76" s="5" t="n">
        <v>2000</v>
      </c>
      <c r="L76" s="5" t="n">
        <v>68</v>
      </c>
      <c r="M76" s="5" t="n">
        <v>4</v>
      </c>
      <c r="N76" s="5" t="n"/>
      <c r="O76" s="5" t="n">
        <v>5400</v>
      </c>
      <c r="P76" s="5" t="n">
        <v>1</v>
      </c>
      <c r="Q76">
        <f>L76+IF(M76&gt;1,N(N76)*(M76-1),0)</f>
        <v/>
      </c>
      <c r="R76">
        <f>IFERROR(K76*MAX(M76,1)/Q76*P76,0)</f>
        <v/>
      </c>
      <c r="AA76" s="6" t="inlineStr">
        <is>
          <t>^Chaingun</t>
        </is>
      </c>
    </row>
    <row r="77">
      <c r="A77" t="inlineStr">
        <is>
          <t>tiberiandawn</t>
        </is>
      </c>
      <c r="B77" t="inlineStr">
        <is>
          <t>td_gdi_boxer</t>
        </is>
      </c>
      <c r="C77" t="inlineStr">
        <is>
          <t>Boxer</t>
        </is>
      </c>
      <c r="D77" t="inlineStr"/>
      <c r="E77" s="5" t="n">
        <v>110000</v>
      </c>
      <c r="F77" s="5" t="n">
        <v>80</v>
      </c>
      <c r="G77" t="inlineStr">
        <is>
          <t>Medium</t>
        </is>
      </c>
      <c r="H77" s="5" t="n">
        <v>1</v>
      </c>
      <c r="I77" s="5" t="n">
        <v>1</v>
      </c>
      <c r="J77" s="5" t="n">
        <v>1.25</v>
      </c>
      <c r="O77">
        <f>MAX(O78,O79)</f>
        <v/>
      </c>
      <c r="R77">
        <f>R78+R79</f>
        <v/>
      </c>
      <c r="S77">
        <f>(E77/100000+F77/100+(O77/1000)*J77/5+R77/200)*200*I77*H77</f>
        <v/>
      </c>
      <c r="T77">
        <f>((E77*F77/25000)+((O77/1000)*J77*R77/2.5))*I77*H77</f>
        <v/>
      </c>
      <c r="U77">
        <f>(E77*F77*(O77/1000)*J77*R77*I77*H77)/12500000</f>
        <v/>
      </c>
      <c r="V77">
        <f>(S77+T77+U77)/3</f>
        <v/>
      </c>
      <c r="W77" s="5" t="n">
        <v>1550</v>
      </c>
      <c r="X77">
        <f>IFERROR(V77-W77,"")</f>
        <v/>
      </c>
      <c r="Y77">
        <f>IFERROR(ABS(X77)/MAX(W77,1),"")</f>
        <v/>
      </c>
      <c r="Z77">
        <f>IFERROR((W77-(((E77/100000+F77/100+R77/200)*200*I77*H77)+((E77*F77/25000)*I77*H77))/3)/(((J77/5)*200*I77*H77)+((J77*R77/2.5)*I77*H77)+((E77*F77*J77*R77*I77*H77)/12500000))/3*1000,"")</f>
        <v/>
      </c>
    </row>
    <row r="78">
      <c r="B78" s="6" t="inlineStr">
        <is>
          <t xml:space="preserve">  ↳ BoxerCannonAG</t>
        </is>
      </c>
      <c r="C78" s="6" t="inlineStr">
        <is>
          <t>Armament@AG</t>
        </is>
      </c>
      <c r="K78" s="5" t="n">
        <v>2000</v>
      </c>
      <c r="L78" s="5" t="n">
        <v>11</v>
      </c>
      <c r="M78" s="5" t="n">
        <v>1</v>
      </c>
      <c r="N78" s="5" t="n"/>
      <c r="O78" s="5" t="n">
        <v>4860</v>
      </c>
      <c r="P78" s="5" t="n">
        <v>1</v>
      </c>
      <c r="Q78">
        <f>L78+IF(M78&gt;1,N(N78)*(M78-1),0)</f>
        <v/>
      </c>
      <c r="R78">
        <f>IFERROR(K78*MAX(M78,1)/Q78*P78,0)</f>
        <v/>
      </c>
      <c r="AA78" s="6" t="inlineStr">
        <is>
          <t>^SmallArms, ^LightMissile, ^Grenade, ^MediumCannon, ^Chaingun, ^FlakWeapon</t>
        </is>
      </c>
    </row>
    <row r="79">
      <c r="B79" s="6" t="inlineStr">
        <is>
          <t xml:space="preserve">  ↳ BoxerCannonAA</t>
        </is>
      </c>
      <c r="C79" s="6" t="inlineStr">
        <is>
          <t>Armament@AA</t>
        </is>
      </c>
      <c r="K79" s="5" t="n">
        <v>2000</v>
      </c>
      <c r="L79" s="5" t="n">
        <v>11</v>
      </c>
      <c r="M79" s="5" t="n">
        <v>1</v>
      </c>
      <c r="N79" s="5" t="n"/>
      <c r="O79" s="5" t="n">
        <v>7290</v>
      </c>
      <c r="P79" s="5" t="n">
        <v>1</v>
      </c>
      <c r="Q79">
        <f>L79+IF(M79&gt;1,N(N79)*(M79-1),0)</f>
        <v/>
      </c>
      <c r="R79">
        <f>IFERROR(K79*MAX(M79,1)/Q79*P79,0)</f>
        <v/>
      </c>
      <c r="AA79" s="6" t="inlineStr">
        <is>
          <t>^SmallArms, ^LightMissile, ^Grenade, ^MediumCannon, ^Chaingun, ^FlakWeapon</t>
        </is>
      </c>
    </row>
    <row r="80">
      <c r="A80" t="inlineStr">
        <is>
          <t>tiberiandawn</t>
        </is>
      </c>
      <c r="B80" t="inlineStr">
        <is>
          <t>td_gdi_defenserig</t>
        </is>
      </c>
      <c r="C80" t="inlineStr">
        <is>
          <t>GDI Defense Rig</t>
        </is>
      </c>
      <c r="D80" t="inlineStr"/>
      <c r="E80" s="5" t="n">
        <v>400000</v>
      </c>
      <c r="F80" s="5" t="n">
        <v>60</v>
      </c>
      <c r="G80" t="inlineStr">
        <is>
          <t>Superheavy</t>
        </is>
      </c>
      <c r="H80" s="5" t="n">
        <v>1</v>
      </c>
      <c r="I80" s="5" t="n">
        <v>1</v>
      </c>
      <c r="J80" s="5" t="n">
        <v>1</v>
      </c>
      <c r="O80">
        <f>MAX(O81,O82,O83,O84,O85,O86,O87,O88,O89)</f>
        <v/>
      </c>
      <c r="R80">
        <f>R81+R82+R83+R84+R85+R86+R87+R88+R89</f>
        <v/>
      </c>
      <c r="S80">
        <f>(E80/100000+F80/100+(O80/1000)*J80/5+R80/200)*200*I80*H80</f>
        <v/>
      </c>
      <c r="T80">
        <f>((E80*F80/25000)+((O80/1000)*J80*R80/2.5))*I80*H80</f>
        <v/>
      </c>
      <c r="U80">
        <f>(E80*F80*(O80/1000)*J80*R80*I80*H80)/12500000</f>
        <v/>
      </c>
      <c r="V80">
        <f>(S80+T80+U80)/3</f>
        <v/>
      </c>
      <c r="W80" s="5" t="n">
        <v>5000</v>
      </c>
      <c r="X80">
        <f>IFERROR(V80-W80,"")</f>
        <v/>
      </c>
      <c r="Y80">
        <f>IFERROR(ABS(X80)/MAX(W80,1),"")</f>
        <v/>
      </c>
      <c r="Z80">
        <f>IFERROR((W80-(((E80/100000+F80/100+R80/200)*200*I80*H80)+((E80*F80/25000)*I80*H80))/3)/(((J80/5)*200*I80*H80)+((J80*R80/2.5)*I80*H80)+((E80*F80*J80*R80*I80*H80)/12500000))/3*1000,"")</f>
        <v/>
      </c>
    </row>
    <row r="81">
      <c r="B81" s="6" t="inlineStr">
        <is>
          <t xml:space="preserve">  ↳ GDIRigPDLaser</t>
        </is>
      </c>
      <c r="C81" s="6" t="inlineStr">
        <is>
          <t>Armament@pointdefense</t>
        </is>
      </c>
      <c r="K81" s="5" t="n">
        <v>2000</v>
      </c>
      <c r="L81" s="5" t="n">
        <v>25</v>
      </c>
      <c r="M81" s="5" t="n">
        <v>1</v>
      </c>
      <c r="N81" s="5" t="n"/>
      <c r="O81" s="5" t="n">
        <v>6000</v>
      </c>
      <c r="P81" s="5" t="n">
        <v>1</v>
      </c>
      <c r="Q81">
        <f>L81+IF(M81&gt;1,N(N81)*(M81-1),0)</f>
        <v/>
      </c>
      <c r="R81">
        <f>IFERROR(K81*MAX(M81,1)/Q81*P81,0)</f>
        <v/>
      </c>
      <c r="AA81" s="6" t="inlineStr">
        <is>
          <t>^LaserWeapon</t>
        </is>
      </c>
    </row>
    <row r="82">
      <c r="B82" s="6" t="inlineStr">
        <is>
          <t xml:space="preserve">  ↳ GDIRigPDLaserTower</t>
        </is>
      </c>
      <c r="C82" s="6" t="inlineStr">
        <is>
          <t>Armament@pointdefensedeployed</t>
        </is>
      </c>
      <c r="K82" s="5" t="n">
        <v>2000</v>
      </c>
      <c r="L82" s="5" t="n">
        <v>25</v>
      </c>
      <c r="M82" s="5" t="n">
        <v>1</v>
      </c>
      <c r="N82" s="5" t="n"/>
      <c r="O82" s="5" t="n">
        <v>9350</v>
      </c>
      <c r="P82" s="5" t="n">
        <v>1</v>
      </c>
      <c r="Q82">
        <f>L82+IF(M82&gt;1,N(N82)*(M82-1),0)</f>
        <v/>
      </c>
      <c r="R82">
        <f>IFERROR(K82*MAX(M82,1)/Q82*P82,0)</f>
        <v/>
      </c>
      <c r="AA82" s="6" t="inlineStr">
        <is>
          <t>^LaserWeapon</t>
        </is>
      </c>
    </row>
    <row r="83">
      <c r="B83" s="6" t="inlineStr">
        <is>
          <t xml:space="preserve">  ↳ GDIRigDroneTargeting</t>
        </is>
      </c>
      <c r="C83" s="6" t="inlineStr">
        <is>
          <t>Armament@DroneTargeting</t>
        </is>
      </c>
      <c r="K83" s="5" t="n">
        <v>-1</v>
      </c>
      <c r="L83" s="5" t="n">
        <v>5</v>
      </c>
      <c r="M83" s="5" t="n">
        <v>1</v>
      </c>
      <c r="N83" s="5" t="n">
        <v>1</v>
      </c>
      <c r="O83" s="5" t="n">
        <v>6000</v>
      </c>
      <c r="P83" s="5" t="n">
        <v>1</v>
      </c>
      <c r="Q83">
        <f>L83+IF(M83&gt;1,N(N83)*(M83-1),0)</f>
        <v/>
      </c>
      <c r="R83">
        <f>IFERROR(K83*MAX(M83,1)/Q83*P83,0)</f>
        <v/>
      </c>
      <c r="AA83" s="6" t="inlineStr">
        <is>
          <t>^RepairWeapon</t>
        </is>
      </c>
    </row>
    <row r="84">
      <c r="B84" s="6" t="inlineStr">
        <is>
          <t xml:space="preserve">  ↳ GDIRigDroneTargetingTower</t>
        </is>
      </c>
      <c r="C84" s="6" t="inlineStr">
        <is>
          <t>Armament@DroneTargetingDeployed</t>
        </is>
      </c>
      <c r="K84" s="5" t="n">
        <v>-1</v>
      </c>
      <c r="L84" s="5" t="n">
        <v>5</v>
      </c>
      <c r="M84" s="5" t="n">
        <v>1</v>
      </c>
      <c r="N84" s="5" t="n">
        <v>1</v>
      </c>
      <c r="O84" s="5" t="n">
        <v>6000</v>
      </c>
      <c r="P84" s="5" t="n">
        <v>1</v>
      </c>
      <c r="Q84">
        <f>L84+IF(M84&gt;1,N(N84)*(M84-1),0)</f>
        <v/>
      </c>
      <c r="R84">
        <f>IFERROR(K84*MAX(M84,1)/Q84*P84,0)</f>
        <v/>
      </c>
      <c r="AA84" s="6" t="inlineStr">
        <is>
          <t>^RepairWeapon</t>
        </is>
      </c>
    </row>
    <row r="85">
      <c r="B85" s="6" t="inlineStr">
        <is>
          <t xml:space="preserve">  ↳ GDIRigPhalanx</t>
        </is>
      </c>
      <c r="C85" s="6" t="inlineStr">
        <is>
          <t>Armament@mobile</t>
        </is>
      </c>
      <c r="K85" s="5" t="n">
        <v>4000</v>
      </c>
      <c r="L85" s="5" t="n">
        <v>8</v>
      </c>
      <c r="M85" s="5" t="n">
        <v>1</v>
      </c>
      <c r="N85" s="5" t="n"/>
      <c r="O85" s="5" t="n">
        <v>6000</v>
      </c>
      <c r="P85" s="5" t="n">
        <v>1</v>
      </c>
      <c r="Q85">
        <f>L85+IF(M85&gt;1,N(N85)*(M85-1),0)</f>
        <v/>
      </c>
      <c r="R85">
        <f>IFERROR(K85*MAX(M85,1)/Q85*P85,0)</f>
        <v/>
      </c>
      <c r="AA85" s="6" t="inlineStr">
        <is>
          <t>^TankDestroyerCannon, ^SmallArms, ^Grenade, ^MediumCannon, ^FlakWeapon, ^Chaingun</t>
        </is>
      </c>
    </row>
    <row r="86">
      <c r="B86" s="6" t="inlineStr">
        <is>
          <t xml:space="preserve">  ↳ GDIRigPhalanxTower</t>
        </is>
      </c>
      <c r="C86" s="6" t="inlineStr">
        <is>
          <t>Armament@Phalanx</t>
        </is>
      </c>
      <c r="K86" s="5" t="n">
        <v>4000</v>
      </c>
      <c r="L86" s="5" t="n">
        <v>10</v>
      </c>
      <c r="M86" s="5" t="n">
        <v>1</v>
      </c>
      <c r="N86" s="5" t="n"/>
      <c r="O86" s="5" t="n">
        <v>9350</v>
      </c>
      <c r="P86" s="5" t="n">
        <v>1</v>
      </c>
      <c r="Q86">
        <f>L86+IF(M86&gt;1,N(N86)*(M86-1),0)</f>
        <v/>
      </c>
      <c r="R86">
        <f>IFERROR(K86*MAX(M86,1)/Q86*P86,0)</f>
        <v/>
      </c>
      <c r="AA86" s="6" t="inlineStr">
        <is>
          <t>^TankDestroyerCannon, ^SmallArms, ^Grenade, ^MediumCannon, ^FlakWeapon, ^Chaingun</t>
        </is>
      </c>
    </row>
    <row r="87">
      <c r="B87" s="6" t="inlineStr">
        <is>
          <t xml:space="preserve">  ↳ GDIRigRailgun</t>
        </is>
      </c>
      <c r="C87" s="6" t="inlineStr">
        <is>
          <t>Armament@Railgun</t>
        </is>
      </c>
      <c r="K87" s="5" t="n">
        <v>160000</v>
      </c>
      <c r="L87" s="5" t="n">
        <v>95</v>
      </c>
      <c r="M87" s="5" t="n">
        <v>1</v>
      </c>
      <c r="N87" s="5" t="n"/>
      <c r="O87" s="5" t="n">
        <v>9350</v>
      </c>
      <c r="P87" s="5" t="n">
        <v>1</v>
      </c>
      <c r="Q87">
        <f>L87+IF(M87&gt;1,N(N87)*(M87-1),0)</f>
        <v/>
      </c>
      <c r="R87">
        <f>IFERROR(K87*MAX(M87,1)/Q87*P87,0)</f>
        <v/>
      </c>
      <c r="AA87" s="6" t="inlineStr">
        <is>
          <t>^RailgunWeapon</t>
        </is>
      </c>
    </row>
    <row r="88">
      <c r="B88" s="6" t="inlineStr">
        <is>
          <t xml:space="preserve">  ↳ GDIRigMissilePod</t>
        </is>
      </c>
      <c r="C88" s="6" t="inlineStr">
        <is>
          <t>Armament@MissilePod</t>
        </is>
      </c>
      <c r="K88" s="5" t="n">
        <v>8000</v>
      </c>
      <c r="L88" s="5" t="n">
        <v>45</v>
      </c>
      <c r="M88" s="5" t="n">
        <v>4</v>
      </c>
      <c r="N88" s="5" t="n">
        <v>5</v>
      </c>
      <c r="O88" s="5" t="n">
        <v>9350</v>
      </c>
      <c r="P88" s="5" t="n">
        <v>1</v>
      </c>
      <c r="Q88">
        <f>L88+IF(M88&gt;1,N(N88)*(M88-1),0)</f>
        <v/>
      </c>
      <c r="R88">
        <f>IFERROR(K88*MAX(M88,1)/Q88*P88,0)</f>
        <v/>
      </c>
      <c r="AA88" s="6" t="inlineStr">
        <is>
          <t>^FlakWeapon, ^Grenade, ^HeavyMissile, ^MediumMissile</t>
        </is>
      </c>
    </row>
    <row r="89">
      <c r="B89" s="6" t="inlineStr">
        <is>
          <t xml:space="preserve">  ↳ GDIRigMissilePodAMT</t>
        </is>
      </c>
      <c r="C89" s="6" t="inlineStr">
        <is>
          <t>Armament@AdvancedMissileTargeting</t>
        </is>
      </c>
      <c r="K89" s="5" t="n">
        <v>8000</v>
      </c>
      <c r="L89" s="5" t="n">
        <v>45</v>
      </c>
      <c r="M89" s="5" t="n">
        <v>4</v>
      </c>
      <c r="N89" s="5" t="n">
        <v>5</v>
      </c>
      <c r="O89" s="5" t="n">
        <v>9350</v>
      </c>
      <c r="P89" s="5" t="n">
        <v>1</v>
      </c>
      <c r="Q89">
        <f>L89+IF(M89&gt;1,N(N89)*(M89-1),0)</f>
        <v/>
      </c>
      <c r="R89">
        <f>IFERROR(K89*MAX(M89,1)/Q89*P89,0)</f>
        <v/>
      </c>
      <c r="AA89" s="6" t="inlineStr">
        <is>
          <t>^FlakWeapon, ^Grenade, ^HeavyMissile, ^MediumMissile, ^AMTProjectile</t>
        </is>
      </c>
    </row>
    <row r="90">
      <c r="A90" t="inlineStr">
        <is>
          <t>tiberiandawn</t>
        </is>
      </c>
      <c r="B90" t="inlineStr">
        <is>
          <t>td_gdi_exosuit</t>
        </is>
      </c>
      <c r="C90" t="inlineStr">
        <is>
          <t>Exosuit</t>
        </is>
      </c>
      <c r="D90" t="inlineStr"/>
      <c r="E90" s="5" t="n">
        <v>50000</v>
      </c>
      <c r="F90" s="5" t="n">
        <v>100</v>
      </c>
      <c r="G90" t="inlineStr">
        <is>
          <t>Medium</t>
        </is>
      </c>
      <c r="H90" s="5" t="n">
        <v>1</v>
      </c>
      <c r="I90" s="5" t="n">
        <v>1</v>
      </c>
      <c r="J90" s="5" t="n">
        <v>1</v>
      </c>
      <c r="O90">
        <f>MAX(O91)</f>
        <v/>
      </c>
      <c r="R90">
        <f>R91</f>
        <v/>
      </c>
      <c r="S90">
        <f>(E90/100000+F90/100+(O90/1000)*J90/5+R90/200)*200*I90*H90</f>
        <v/>
      </c>
      <c r="T90">
        <f>((E90*F90/25000)+((O90/1000)*J90*R90/2.5))*I90*H90</f>
        <v/>
      </c>
      <c r="U90">
        <f>(E90*F90*(O90/1000)*J90*R90*I90*H90)/12500000</f>
        <v/>
      </c>
      <c r="V90">
        <f>(S90+T90+U90)/3</f>
        <v/>
      </c>
      <c r="W90" s="5" t="n">
        <v>1200</v>
      </c>
      <c r="X90">
        <f>IFERROR(V90-W90,"")</f>
        <v/>
      </c>
      <c r="Y90">
        <f>IFERROR(ABS(X90)/MAX(W90,1),"")</f>
        <v/>
      </c>
      <c r="Z90">
        <f>IFERROR((W90-(((E90/100000+F90/100+R90/200)*200*I90*H90)+((E90*F90/25000)*I90*H90))/3)/(((J90/5)*200*I90*H90)+((J90*R90/2.5)*I90*H90)+((E90*F90*J90*R90*I90*H90)/12500000))/3*1000,"")</f>
        <v/>
      </c>
    </row>
    <row r="91">
      <c r="B91" s="6" t="inlineStr">
        <is>
          <t xml:space="preserve">  ↳ ExosuitRailgun</t>
        </is>
      </c>
      <c r="C91" s="6" t="inlineStr">
        <is>
          <t>Armament@Railgun</t>
        </is>
      </c>
      <c r="K91" s="5" t="n">
        <v>20000</v>
      </c>
      <c r="L91" s="5" t="n">
        <v>75</v>
      </c>
      <c r="M91" s="5" t="n">
        <v>2</v>
      </c>
      <c r="N91" s="5" t="n">
        <v>5</v>
      </c>
      <c r="O91" s="5" t="n">
        <v>6806</v>
      </c>
      <c r="P91" s="5" t="n">
        <v>1</v>
      </c>
      <c r="Q91">
        <f>L91+IF(M91&gt;1,N(N91)*(M91-1),0)</f>
        <v/>
      </c>
      <c r="R91">
        <f>IFERROR(K91*MAX(M91,1)/Q91*P91,0)</f>
        <v/>
      </c>
      <c r="AA91" s="6" t="inlineStr">
        <is>
          <t>^RailgunWeapon</t>
        </is>
      </c>
    </row>
    <row r="92">
      <c r="A92" t="inlineStr">
        <is>
          <t>tiberiandawn</t>
        </is>
      </c>
      <c r="B92" t="inlineStr">
        <is>
          <t>td_gdi_humvee</t>
        </is>
      </c>
      <c r="C92" t="inlineStr">
        <is>
          <t>GDI Humvee</t>
        </is>
      </c>
      <c r="D92" t="inlineStr"/>
      <c r="E92" s="5" t="n">
        <v>27500</v>
      </c>
      <c r="F92" s="5" t="n">
        <v>150</v>
      </c>
      <c r="G92" t="inlineStr">
        <is>
          <t>Scout</t>
        </is>
      </c>
      <c r="H92" s="5" t="n">
        <v>1</v>
      </c>
      <c r="I92" s="5" t="n">
        <v>0.333</v>
      </c>
      <c r="J92" s="5" t="n">
        <v>1</v>
      </c>
      <c r="O92">
        <f>MAX(O93,O94)</f>
        <v/>
      </c>
      <c r="R92">
        <f>R93+R94</f>
        <v/>
      </c>
      <c r="S92">
        <f>(E92/100000+F92/100+(O92/1000)*J92/5+R92/200)*200*I92*H92</f>
        <v/>
      </c>
      <c r="T92">
        <f>((E92*F92/25000)+((O92/1000)*J92*R92/2.5))*I92*H92</f>
        <v/>
      </c>
      <c r="U92">
        <f>(E92*F92*(O92/1000)*J92*R92*I92*H92)/12500000</f>
        <v/>
      </c>
      <c r="V92">
        <f>(S92+T92+U92)/3</f>
        <v/>
      </c>
      <c r="W92" s="5" t="n">
        <v>400</v>
      </c>
      <c r="X92">
        <f>IFERROR(V92-W92,"")</f>
        <v/>
      </c>
      <c r="Y92">
        <f>IFERROR(ABS(X92)/MAX(W92,1),"")</f>
        <v/>
      </c>
      <c r="Z92">
        <f>IFERROR((W92-(((E92/100000+F92/100+R92/200)*200*I92*H92)+((E92*F92/25000)*I92*H92))/3)/(((J92/5)*200*I92*H92)+((J92*R92/2.5)*I92*H92)+((E92*F92*J92*R92*I92*H92)/12500000))/3*1000,"")</f>
        <v/>
      </c>
    </row>
    <row r="93">
      <c r="B93" s="6" t="inlineStr">
        <is>
          <t xml:space="preserve">  ↳ MachineGunH</t>
        </is>
      </c>
      <c r="C93" s="6" t="inlineStr">
        <is>
          <t>Armament</t>
        </is>
      </c>
      <c r="K93" s="5" t="n">
        <v>6000</v>
      </c>
      <c r="L93" s="5" t="n">
        <v>9</v>
      </c>
      <c r="M93" s="5" t="n">
        <v>3</v>
      </c>
      <c r="N93" s="5" t="n">
        <v>6</v>
      </c>
      <c r="O93" s="5" t="n">
        <v>4792</v>
      </c>
      <c r="P93" s="5" t="n">
        <v>1</v>
      </c>
      <c r="Q93">
        <f>L93+IF(M93&gt;1,N(N93)*(M93-1),0)</f>
        <v/>
      </c>
      <c r="R93">
        <f>IFERROR(K93*MAX(M93,1)/Q93*P93,0)</f>
        <v/>
      </c>
      <c r="AA93" s="6" t="inlineStr">
        <is>
          <t>^SmallArms</t>
        </is>
      </c>
    </row>
    <row r="94">
      <c r="B94" s="6" t="inlineStr">
        <is>
          <t xml:space="preserve">  ↳ MachineGunAPH</t>
        </is>
      </c>
      <c r="C94" s="6" t="inlineStr">
        <is>
          <t>Armament@Upgrade</t>
        </is>
      </c>
      <c r="K94" s="5" t="n">
        <v>6000</v>
      </c>
      <c r="L94" s="5" t="n">
        <v>9</v>
      </c>
      <c r="M94" s="5" t="n">
        <v>3</v>
      </c>
      <c r="N94" s="5" t="n">
        <v>6</v>
      </c>
      <c r="O94" s="5" t="n">
        <v>4792</v>
      </c>
      <c r="P94" s="5" t="n">
        <v>1</v>
      </c>
      <c r="Q94">
        <f>L94+IF(M94&gt;1,N(N94)*(M94-1),0)</f>
        <v/>
      </c>
      <c r="R94">
        <f>IFERROR(K94*MAX(M94,1)/Q94*P94,0)</f>
        <v/>
      </c>
      <c r="AA94" s="6" t="inlineStr">
        <is>
          <t>^Chaingun</t>
        </is>
      </c>
    </row>
    <row r="95">
      <c r="A95" t="inlineStr">
        <is>
          <t>tiberiandawn</t>
        </is>
      </c>
      <c r="B95" t="inlineStr">
        <is>
          <t>td_gdi_humveemkii</t>
        </is>
      </c>
      <c r="C95" t="inlineStr">
        <is>
          <t>Humvee Mk. II</t>
        </is>
      </c>
      <c r="D95" t="inlineStr"/>
      <c r="E95" s="5" t="n">
        <v>37500</v>
      </c>
      <c r="F95" s="5" t="n">
        <v>115</v>
      </c>
      <c r="G95" t="inlineStr">
        <is>
          <t>Scout</t>
        </is>
      </c>
      <c r="H95" s="5" t="n">
        <v>1</v>
      </c>
      <c r="I95" s="5" t="n">
        <v>1</v>
      </c>
      <c r="J95" s="5" t="n">
        <v>1</v>
      </c>
      <c r="O95">
        <f>MAX(O96,O97,O98,O99,O100,O101,O102,O103)</f>
        <v/>
      </c>
      <c r="R95">
        <f>R96+R97+R98+R99+R100+R101+R102+R103</f>
        <v/>
      </c>
      <c r="S95">
        <f>(E95/100000+F95/100+(O95/1000)*J95/5+R95/200)*200*I95*H95</f>
        <v/>
      </c>
      <c r="T95">
        <f>((E95*F95/25000)+((O95/1000)*J95*R95/2.5))*I95*H95</f>
        <v/>
      </c>
      <c r="U95">
        <f>(E95*F95*(O95/1000)*J95*R95*I95*H95)/12500000</f>
        <v/>
      </c>
      <c r="V95">
        <f>(S95+T95+U95)/3</f>
        <v/>
      </c>
      <c r="W95" s="5" t="n">
        <v>600</v>
      </c>
      <c r="X95">
        <f>IFERROR(V95-W95,"")</f>
        <v/>
      </c>
      <c r="Y95">
        <f>IFERROR(ABS(X95)/MAX(W95,1),"")</f>
        <v/>
      </c>
      <c r="Z95">
        <f>IFERROR((W95-(((E95/100000+F95/100+R95/200)*200*I95*H95)+((E95*F95/25000)*I95*H95))/3)/(((J95/5)*200*I95*H95)+((J95*R95/2.5)*I95*H95)+((E95*F95*J95*R95*I95*H95)/12500000))/3*1000,"")</f>
        <v/>
      </c>
    </row>
    <row r="96">
      <c r="B96" s="6" t="inlineStr">
        <is>
          <t xml:space="preserve">  ↳ MachineGunHumvee2</t>
        </is>
      </c>
      <c r="C96" s="6" t="inlineStr">
        <is>
          <t>Armament</t>
        </is>
      </c>
      <c r="K96" s="5" t="n">
        <v>2000</v>
      </c>
      <c r="L96" s="5" t="n">
        <v>30</v>
      </c>
      <c r="M96" s="5" t="n">
        <v>4</v>
      </c>
      <c r="N96" s="5" t="n">
        <v>4</v>
      </c>
      <c r="O96" s="5" t="n">
        <v>5598</v>
      </c>
      <c r="P96" s="5" t="n">
        <v>1</v>
      </c>
      <c r="Q96">
        <f>L96+IF(M96&gt;1,N(N96)*(M96-1),0)</f>
        <v/>
      </c>
      <c r="R96">
        <f>IFERROR(K96*MAX(M96,1)/Q96*P96,0)</f>
        <v/>
      </c>
      <c r="AA96" s="6" t="inlineStr">
        <is>
          <t>^SmallArms</t>
        </is>
      </c>
    </row>
    <row r="97">
      <c r="B97" s="6" t="inlineStr">
        <is>
          <t xml:space="preserve">  ↳ MachineGunHumvee2AP</t>
        </is>
      </c>
      <c r="C97" s="6" t="inlineStr">
        <is>
          <t>Armament@Upgrade</t>
        </is>
      </c>
      <c r="K97" s="5" t="n">
        <v>2000</v>
      </c>
      <c r="L97" s="5" t="n">
        <v>30</v>
      </c>
      <c r="M97" s="5" t="n">
        <v>4</v>
      </c>
      <c r="N97" s="5" t="n">
        <v>4</v>
      </c>
      <c r="O97" s="5" t="n">
        <v>5598</v>
      </c>
      <c r="P97" s="5" t="n">
        <v>1</v>
      </c>
      <c r="Q97">
        <f>L97+IF(M97&gt;1,N(N97)*(M97-1),0)</f>
        <v/>
      </c>
      <c r="R97">
        <f>IFERROR(K97*MAX(M97,1)/Q97*P97,0)</f>
        <v/>
      </c>
      <c r="AA97" s="6" t="inlineStr">
        <is>
          <t>^Chaingun</t>
        </is>
      </c>
    </row>
    <row r="98">
      <c r="B98" s="6" t="inlineStr">
        <is>
          <t xml:space="preserve">  ↳ MachineGunHumvee2AA</t>
        </is>
      </c>
      <c r="C98" s="6" t="inlineStr">
        <is>
          <t>Armament@AA</t>
        </is>
      </c>
      <c r="K98" s="5" t="n">
        <v>2000</v>
      </c>
      <c r="L98" s="5" t="n">
        <v>30</v>
      </c>
      <c r="M98" s="5" t="n">
        <v>4</v>
      </c>
      <c r="N98" s="5" t="n">
        <v>4</v>
      </c>
      <c r="O98" s="5" t="n">
        <v>8397</v>
      </c>
      <c r="P98" s="5" t="n">
        <v>1</v>
      </c>
      <c r="Q98">
        <f>L98+IF(M98&gt;1,N(N98)*(M98-1),0)</f>
        <v/>
      </c>
      <c r="R98">
        <f>IFERROR(K98*MAX(M98,1)/Q98*P98,0)</f>
        <v/>
      </c>
      <c r="AA98" s="6" t="inlineStr">
        <is>
          <t>^SmallArms</t>
        </is>
      </c>
    </row>
    <row r="99">
      <c r="B99" s="6" t="inlineStr">
        <is>
          <t xml:space="preserve">  ↳ MachineGunHumvee2APAA</t>
        </is>
      </c>
      <c r="C99" s="6" t="inlineStr">
        <is>
          <t>Armament@UpgradeAA</t>
        </is>
      </c>
      <c r="K99" s="5" t="n">
        <v>2000</v>
      </c>
      <c r="L99" s="5" t="n">
        <v>30</v>
      </c>
      <c r="M99" s="5" t="n">
        <v>4</v>
      </c>
      <c r="N99" s="5" t="n">
        <v>4</v>
      </c>
      <c r="O99" s="5" t="n">
        <v>8397</v>
      </c>
      <c r="P99" s="5" t="n">
        <v>1</v>
      </c>
      <c r="Q99">
        <f>L99+IF(M99&gt;1,N(N99)*(M99-1),0)</f>
        <v/>
      </c>
      <c r="R99">
        <f>IFERROR(K99*MAX(M99,1)/Q99*P99,0)</f>
        <v/>
      </c>
      <c r="AA99" s="6" t="inlineStr">
        <is>
          <t>^Chaingun</t>
        </is>
      </c>
    </row>
    <row r="100">
      <c r="B100" s="6" t="inlineStr">
        <is>
          <t xml:space="preserve">  ↳ RocketsHumvee2</t>
        </is>
      </c>
      <c r="C100" s="6" t="inlineStr">
        <is>
          <t>Armament@Rockets</t>
        </is>
      </c>
      <c r="K100" s="5" t="n">
        <v>16000</v>
      </c>
      <c r="L100" s="5" t="n">
        <v>84</v>
      </c>
      <c r="M100" s="5" t="n">
        <v>1</v>
      </c>
      <c r="N100" s="5" t="n"/>
      <c r="O100" s="5" t="n">
        <v>5598</v>
      </c>
      <c r="P100" s="5" t="n">
        <v>1</v>
      </c>
      <c r="Q100">
        <f>L100+IF(M100&gt;1,N(N100)*(M100-1),0)</f>
        <v/>
      </c>
      <c r="R100">
        <f>IFERROR(K100*MAX(M100,1)/Q100*P100,0)</f>
        <v/>
      </c>
      <c r="AA100" s="6" t="inlineStr">
        <is>
          <t>^LightMissile</t>
        </is>
      </c>
    </row>
    <row r="101">
      <c r="B101" s="6" t="inlineStr">
        <is>
          <t xml:space="preserve">  ↳ RocketsHumvee2AA</t>
        </is>
      </c>
      <c r="C101" s="6" t="inlineStr">
        <is>
          <t>Armament@RocketsAA</t>
        </is>
      </c>
      <c r="K101" s="5" t="n">
        <v>16000</v>
      </c>
      <c r="L101" s="5" t="n">
        <v>84</v>
      </c>
      <c r="M101" s="5" t="n">
        <v>1</v>
      </c>
      <c r="N101" s="5" t="n"/>
      <c r="O101" s="5" t="n">
        <v>8397</v>
      </c>
      <c r="P101" s="5" t="n">
        <v>1</v>
      </c>
      <c r="Q101">
        <f>L101+IF(M101&gt;1,N(N101)*(M101-1),0)</f>
        <v/>
      </c>
      <c r="R101">
        <f>IFERROR(K101*MAX(M101,1)/Q101*P101,0)</f>
        <v/>
      </c>
      <c r="AA101" s="6" t="inlineStr">
        <is>
          <t>^LightMissile</t>
        </is>
      </c>
    </row>
    <row r="102">
      <c r="B102" s="6" t="inlineStr">
        <is>
          <t xml:space="preserve">  ↳ RocketsHumvee2AMT</t>
        </is>
      </c>
      <c r="C102" s="6" t="inlineStr">
        <is>
          <t>Armament@AdvancedMissileTargeting</t>
        </is>
      </c>
      <c r="K102" s="5" t="n">
        <v>16000</v>
      </c>
      <c r="L102" s="5" t="n">
        <v>84</v>
      </c>
      <c r="M102" s="5" t="n">
        <v>1</v>
      </c>
      <c r="N102" s="5" t="n"/>
      <c r="O102" s="5" t="n">
        <v>5598</v>
      </c>
      <c r="P102" s="5" t="n">
        <v>1</v>
      </c>
      <c r="Q102">
        <f>L102+IF(M102&gt;1,N(N102)*(M102-1),0)</f>
        <v/>
      </c>
      <c r="R102">
        <f>IFERROR(K102*MAX(M102,1)/Q102*P102,0)</f>
        <v/>
      </c>
      <c r="AA102" s="6" t="inlineStr">
        <is>
          <t>^HeavyMissile, ^LightMissile, ^AMTProjectile</t>
        </is>
      </c>
    </row>
    <row r="103">
      <c r="B103" s="6" t="inlineStr">
        <is>
          <t xml:space="preserve">  ↳ RocketsHumvee2AMTAA</t>
        </is>
      </c>
      <c r="C103" s="6" t="inlineStr">
        <is>
          <t>Armament@AdvancedMissileTargetingAA</t>
        </is>
      </c>
      <c r="K103" s="5" t="n">
        <v>16000</v>
      </c>
      <c r="L103" s="5" t="n">
        <v>84</v>
      </c>
      <c r="M103" s="5" t="n">
        <v>1</v>
      </c>
      <c r="N103" s="5" t="n"/>
      <c r="O103" s="5" t="n">
        <v>8397</v>
      </c>
      <c r="P103" s="5" t="n">
        <v>1</v>
      </c>
      <c r="Q103">
        <f>L103+IF(M103&gt;1,N(N103)*(M103-1),0)</f>
        <v/>
      </c>
      <c r="R103">
        <f>IFERROR(K103*MAX(M103,1)/Q103*P103,0)</f>
        <v/>
      </c>
      <c r="AA103" s="6" t="inlineStr">
        <is>
          <t>^HeavyMissile, ^LightMissile, ^AMTProjectile</t>
        </is>
      </c>
    </row>
    <row r="104">
      <c r="A104" t="inlineStr">
        <is>
          <t>tiberiandawn</t>
        </is>
      </c>
      <c r="B104" t="inlineStr">
        <is>
          <t>td_gdi_mammothtank</t>
        </is>
      </c>
      <c r="C104" t="inlineStr">
        <is>
          <t>GDI Mammoth Tank</t>
        </is>
      </c>
      <c r="D104" t="inlineStr"/>
      <c r="E104" s="5" t="n">
        <v>225000</v>
      </c>
      <c r="F104" s="5" t="n">
        <v>60</v>
      </c>
      <c r="G104" t="inlineStr">
        <is>
          <t>Heavy</t>
        </is>
      </c>
      <c r="H104" s="5" t="n">
        <v>0.75</v>
      </c>
      <c r="I104" s="5" t="n">
        <v>1</v>
      </c>
      <c r="J104" s="5" t="n">
        <v>1</v>
      </c>
      <c r="O104">
        <f>MAX(O105,O106,O107,O108)</f>
        <v/>
      </c>
      <c r="R104">
        <f>R105+R106+R107+R108</f>
        <v/>
      </c>
      <c r="S104">
        <f>(E104/100000+F104/100+(O104/1000)*J104/5+R104/200)*200*I104*H104</f>
        <v/>
      </c>
      <c r="T104">
        <f>((E104*F104/25000)+((O104/1000)*J104*R104/2.5))*I104*H104</f>
        <v/>
      </c>
      <c r="U104">
        <f>(E104*F104*(O104/1000)*J104*R104*I104*H104)/12500000</f>
        <v/>
      </c>
      <c r="V104">
        <f>(S104+T104+U104)/3</f>
        <v/>
      </c>
      <c r="W104" s="5" t="n">
        <v>1600</v>
      </c>
      <c r="X104">
        <f>IFERROR(V104-W104,"")</f>
        <v/>
      </c>
      <c r="Y104">
        <f>IFERROR(ABS(X104)/MAX(W104,1),"")</f>
        <v/>
      </c>
      <c r="Z104">
        <f>IFERROR((W104-(((E104/100000+F104/100+R104/200)*200*I104*H104)+((E104*F104/25000)*I104*H104))/3)/(((J104/5)*200*I104*H104)+((J104*R104/2.5)*I104*H104)+((E104*F104*J104*R104*I104*H104)/12500000))/3*1000,"")</f>
        <v/>
      </c>
    </row>
    <row r="105">
      <c r="B105" s="6" t="inlineStr">
        <is>
          <t xml:space="preserve">  ↳ 120mmDual</t>
        </is>
      </c>
      <c r="C105" s="6" t="inlineStr">
        <is>
          <t>Armament@PRIMARY</t>
        </is>
      </c>
      <c r="K105" s="5" t="n">
        <v>8000</v>
      </c>
      <c r="L105" s="5" t="n">
        <v>72</v>
      </c>
      <c r="M105" s="5" t="n">
        <v>2</v>
      </c>
      <c r="N105" s="5" t="n">
        <v>8</v>
      </c>
      <c r="O105" s="5" t="n">
        <v>6141</v>
      </c>
      <c r="P105" s="5" t="n">
        <v>1</v>
      </c>
      <c r="Q105">
        <f>L105+IF(M105&gt;1,N(N105)*(M105-1),0)</f>
        <v/>
      </c>
      <c r="R105">
        <f>IFERROR(K105*MAX(M105,1)/Q105*P105,0)</f>
        <v/>
      </c>
      <c r="AA105" s="6" t="inlineStr">
        <is>
          <t>^HeavyCannon</t>
        </is>
      </c>
    </row>
    <row r="106">
      <c r="B106" s="6" t="inlineStr">
        <is>
          <t xml:space="preserve">  ↳ 120mmDualHV</t>
        </is>
      </c>
      <c r="C106" s="6" t="inlineStr">
        <is>
          <t>Armament@HV</t>
        </is>
      </c>
      <c r="K106" s="5" t="n">
        <v>16000</v>
      </c>
      <c r="L106" s="5" t="n">
        <v>72</v>
      </c>
      <c r="M106" s="5" t="n">
        <v>2</v>
      </c>
      <c r="N106" s="5" t="n">
        <v>8</v>
      </c>
      <c r="O106" s="5" t="n">
        <v>6141</v>
      </c>
      <c r="P106" s="5" t="n">
        <v>1</v>
      </c>
      <c r="Q106">
        <f>L106+IF(M106&gt;1,N(N106)*(M106-1),0)</f>
        <v/>
      </c>
      <c r="R106">
        <f>IFERROR(K106*MAX(M106,1)/Q106*P106,0)</f>
        <v/>
      </c>
      <c r="AA106" s="6" t="inlineStr">
        <is>
          <t>^HeavyCannon, ^HVProjectile</t>
        </is>
      </c>
    </row>
    <row r="107">
      <c r="B107" s="6" t="inlineStr">
        <is>
          <t xml:space="preserve">  ↳ MammothMissiles</t>
        </is>
      </c>
      <c r="C107" s="6" t="inlineStr">
        <is>
          <t>Armament@SECONDARY</t>
        </is>
      </c>
      <c r="K107" s="5" t="n">
        <v>8000</v>
      </c>
      <c r="L107" s="5" t="n">
        <v>68</v>
      </c>
      <c r="M107" s="5" t="n">
        <v>2</v>
      </c>
      <c r="N107" s="5" t="n">
        <v>12</v>
      </c>
      <c r="O107" s="5" t="n">
        <v>6141</v>
      </c>
      <c r="P107" s="5" t="n">
        <v>1</v>
      </c>
      <c r="Q107">
        <f>L107+IF(M107&gt;1,N(N107)*(M107-1),0)</f>
        <v/>
      </c>
      <c r="R107">
        <f>IFERROR(K107*MAX(M107,1)/Q107*P107,0)</f>
        <v/>
      </c>
      <c r="AA107" s="6" t="inlineStr">
        <is>
          <t>^HeavyMissile, ^ImpactGlow</t>
        </is>
      </c>
    </row>
    <row r="108">
      <c r="B108" s="6" t="inlineStr">
        <is>
          <t xml:space="preserve">  ↳ MammothMissilesAMT</t>
        </is>
      </c>
      <c r="C108" s="6" t="inlineStr">
        <is>
          <t>Armament@AdvancedMissileTargeting</t>
        </is>
      </c>
      <c r="K108" s="5" t="n">
        <v>8000</v>
      </c>
      <c r="L108" s="5" t="n">
        <v>68</v>
      </c>
      <c r="M108" s="5" t="n">
        <v>2</v>
      </c>
      <c r="N108" s="5" t="n">
        <v>12</v>
      </c>
      <c r="O108" s="5" t="n">
        <v>6141</v>
      </c>
      <c r="P108" s="5" t="n">
        <v>1</v>
      </c>
      <c r="Q108">
        <f>L108+IF(M108&gt;1,N(N108)*(M108-1),0)</f>
        <v/>
      </c>
      <c r="R108">
        <f>IFERROR(K108*MAX(M108,1)/Q108*P108,0)</f>
        <v/>
      </c>
      <c r="AA108" s="6" t="inlineStr">
        <is>
          <t>^HeavyMissile, ^ImpactGlow, ^AMTProjectile</t>
        </is>
      </c>
    </row>
    <row r="109">
      <c r="A109" t="inlineStr">
        <is>
          <t>tiberiandawn</t>
        </is>
      </c>
      <c r="B109" t="inlineStr">
        <is>
          <t>td_gdi_mammothtankmkiii</t>
        </is>
      </c>
      <c r="C109" t="inlineStr">
        <is>
          <t>Mammoth Tank Mk. III</t>
        </is>
      </c>
      <c r="D109" t="inlineStr"/>
      <c r="E109" s="5" t="n">
        <v>500000</v>
      </c>
      <c r="F109" s="5" t="n">
        <v>55</v>
      </c>
      <c r="G109" t="inlineStr">
        <is>
          <t>Superheavy</t>
        </is>
      </c>
      <c r="H109" s="5" t="n">
        <v>1</v>
      </c>
      <c r="I109" s="5" t="n">
        <v>1</v>
      </c>
      <c r="J109" s="5" t="n">
        <v>1</v>
      </c>
      <c r="O109">
        <f>MAX(O110,O111,O112,O113)</f>
        <v/>
      </c>
      <c r="R109">
        <f>R110+R111+R112+R113</f>
        <v/>
      </c>
      <c r="S109">
        <f>(E109/100000+F109/100+(O109/1000)*J109/5+R109/200)*200*I109*H109</f>
        <v/>
      </c>
      <c r="T109">
        <f>((E109*F109/25000)+((O109/1000)*J109*R109/2.5))*I109*H109</f>
        <v/>
      </c>
      <c r="U109">
        <f>(E109*F109*(O109/1000)*J109*R109*I109*H109)/12500000</f>
        <v/>
      </c>
      <c r="V109">
        <f>(S109+T109+U109)/3</f>
        <v/>
      </c>
      <c r="W109" s="5" t="n">
        <v>3000</v>
      </c>
      <c r="X109">
        <f>IFERROR(V109-W109,"")</f>
        <v/>
      </c>
      <c r="Y109">
        <f>IFERROR(ABS(X109)/MAX(W109,1),"")</f>
        <v/>
      </c>
      <c r="Z109">
        <f>IFERROR((W109-(((E109/100000+F109/100+R109/200)*200*I109*H109)+((E109*F109/25000)*I109*H109))/3)/(((J109/5)*200*I109*H109)+((J109*R109/2.5)*I109*H109)+((E109*F109*J109*R109*I109*H109)/12500000))/3*1000,"")</f>
        <v/>
      </c>
    </row>
    <row r="110">
      <c r="B110" s="6" t="inlineStr">
        <is>
          <t xml:space="preserve">  ↳ MammothTank3Cannons</t>
        </is>
      </c>
      <c r="C110" s="6" t="inlineStr">
        <is>
          <t>Armament@PRIMARY</t>
        </is>
      </c>
      <c r="K110" s="5" t="n">
        <v>12000</v>
      </c>
      <c r="L110" s="5" t="n">
        <v>102</v>
      </c>
      <c r="M110" s="5" t="n">
        <v>2</v>
      </c>
      <c r="N110" s="5" t="n">
        <v>8</v>
      </c>
      <c r="O110" s="5" t="n">
        <v>6340</v>
      </c>
      <c r="P110" s="5" t="n">
        <v>1</v>
      </c>
      <c r="Q110">
        <f>L110+IF(M110&gt;1,N(N110)*(M110-1),0)</f>
        <v/>
      </c>
      <c r="R110">
        <f>IFERROR(K110*MAX(M110,1)/Q110*P110,0)</f>
        <v/>
      </c>
      <c r="AA110" s="6" t="inlineStr">
        <is>
          <t>^HeavyCannon</t>
        </is>
      </c>
    </row>
    <row r="111">
      <c r="B111" s="6" t="inlineStr">
        <is>
          <t xml:space="preserve">  ↳ MammothTank3CannonsHV</t>
        </is>
      </c>
      <c r="C111" s="6" t="inlineStr">
        <is>
          <t>Armament@HV</t>
        </is>
      </c>
      <c r="K111" s="5" t="n">
        <v>24000</v>
      </c>
      <c r="L111" s="5" t="n">
        <v>102</v>
      </c>
      <c r="M111" s="5" t="n">
        <v>2</v>
      </c>
      <c r="N111" s="5" t="n">
        <v>8</v>
      </c>
      <c r="O111" s="5" t="n">
        <v>6340</v>
      </c>
      <c r="P111" s="5" t="n">
        <v>1</v>
      </c>
      <c r="Q111">
        <f>L111+IF(M111&gt;1,N(N111)*(M111-1),0)</f>
        <v/>
      </c>
      <c r="R111">
        <f>IFERROR(K111*MAX(M111,1)/Q111*P111,0)</f>
        <v/>
      </c>
      <c r="AA111" s="6" t="inlineStr">
        <is>
          <t>^HeavyCannon, ^HVProjectile</t>
        </is>
      </c>
    </row>
    <row r="112">
      <c r="B112" s="6" t="inlineStr">
        <is>
          <t xml:space="preserve">  ↳ MammothTank3Missiles</t>
        </is>
      </c>
      <c r="C112" s="6" t="inlineStr">
        <is>
          <t>Armament@SECONDARY</t>
        </is>
      </c>
      <c r="K112" s="5" t="n">
        <v>12000</v>
      </c>
      <c r="L112" s="5" t="n">
        <v>98</v>
      </c>
      <c r="M112" s="5" t="n">
        <v>2</v>
      </c>
      <c r="N112" s="5" t="n">
        <v>12</v>
      </c>
      <c r="O112" s="5" t="n">
        <v>6340</v>
      </c>
      <c r="P112" s="5" t="n">
        <v>1</v>
      </c>
      <c r="Q112">
        <f>L112+IF(M112&gt;1,N(N112)*(M112-1),0)</f>
        <v/>
      </c>
      <c r="R112">
        <f>IFERROR(K112*MAX(M112,1)/Q112*P112,0)</f>
        <v/>
      </c>
      <c r="AA112" s="6" t="inlineStr">
        <is>
          <t>^HeavyMissile, ^ImpactGlow</t>
        </is>
      </c>
    </row>
    <row r="113">
      <c r="B113" s="6" t="inlineStr">
        <is>
          <t xml:space="preserve">  ↳ MammothTank3MissilesAMT</t>
        </is>
      </c>
      <c r="C113" s="6" t="inlineStr">
        <is>
          <t>Armament@AdvancedMissileTargeting</t>
        </is>
      </c>
      <c r="K113" s="5" t="n">
        <v>12000</v>
      </c>
      <c r="L113" s="5" t="n">
        <v>98</v>
      </c>
      <c r="M113" s="5" t="n">
        <v>2</v>
      </c>
      <c r="N113" s="5" t="n">
        <v>12</v>
      </c>
      <c r="O113" s="5" t="n">
        <v>6340</v>
      </c>
      <c r="P113" s="5" t="n">
        <v>1</v>
      </c>
      <c r="Q113">
        <f>L113+IF(M113&gt;1,N(N113)*(M113-1),0)</f>
        <v/>
      </c>
      <c r="R113">
        <f>IFERROR(K113*MAX(M113,1)/Q113*P113,0)</f>
        <v/>
      </c>
      <c r="AA113" s="6" t="inlineStr">
        <is>
          <t>^HeavyMissile, ^ImpactGlow, ^AMTProjectile</t>
        </is>
      </c>
    </row>
    <row r="114">
      <c r="A114" t="inlineStr">
        <is>
          <t>tiberiandawn</t>
        </is>
      </c>
      <c r="B114" t="inlineStr">
        <is>
          <t>td_gdi_mlrs</t>
        </is>
      </c>
      <c r="C114" t="inlineStr">
        <is>
          <t>GDI MLRS</t>
        </is>
      </c>
      <c r="D114" t="inlineStr"/>
      <c r="E114" s="5" t="n">
        <v>25000</v>
      </c>
      <c r="F114" s="5" t="n">
        <v>80</v>
      </c>
      <c r="G114" t="inlineStr">
        <is>
          <t>Light</t>
        </is>
      </c>
      <c r="H114" s="5" t="n">
        <v>1</v>
      </c>
      <c r="I114" s="5" t="n">
        <v>1</v>
      </c>
      <c r="J114" s="5" t="n">
        <v>1</v>
      </c>
      <c r="O114">
        <f>MAX(O115,O116)</f>
        <v/>
      </c>
      <c r="R114">
        <f>R115+R116</f>
        <v/>
      </c>
      <c r="S114">
        <f>(E114/100000+F114/100+(O114/1000)*J114/5+R114/200)*200*I114*H114</f>
        <v/>
      </c>
      <c r="T114">
        <f>((E114*F114/25000)+((O114/1000)*J114*R114/2.5))*I114*H114</f>
        <v/>
      </c>
      <c r="U114">
        <f>(E114*F114*(O114/1000)*J114*R114*I114*H114)/12500000</f>
        <v/>
      </c>
      <c r="V114">
        <f>(S114+T114+U114)/3</f>
        <v/>
      </c>
      <c r="W114" s="5" t="n">
        <v>1000</v>
      </c>
      <c r="X114">
        <f>IFERROR(V114-W114,"")</f>
        <v/>
      </c>
      <c r="Y114">
        <f>IFERROR(ABS(X114)/MAX(W114,1),"")</f>
        <v/>
      </c>
      <c r="Z114">
        <f>IFERROR((W114-(((E114/100000+F114/100+R114/200)*200*I114*H114)+((E114*F114/25000)*I114*H114))/3)/(((J114/5)*200*I114*H114)+((J114*R114/2.5)*I114*H114)+((E114*F114*J114*R114*I114*H114)/12500000))/3*1000,"")</f>
        <v/>
      </c>
    </row>
    <row r="115">
      <c r="B115" s="6" t="inlineStr">
        <is>
          <t xml:space="preserve">  ↳ 227mm</t>
        </is>
      </c>
      <c r="C115" s="6" t="inlineStr">
        <is>
          <t>Armament@PRIMARY</t>
        </is>
      </c>
      <c r="K115" s="5" t="n">
        <v>2000</v>
      </c>
      <c r="L115" s="5" t="n">
        <v>111</v>
      </c>
      <c r="M115" s="5" t="n">
        <v>6</v>
      </c>
      <c r="N115" s="5" t="n">
        <v>5</v>
      </c>
      <c r="O115" s="5" t="n">
        <v>9920</v>
      </c>
      <c r="P115" s="5" t="n">
        <v>1</v>
      </c>
      <c r="Q115">
        <f>L115+IF(M115&gt;1,N(N115)*(M115-1),0)</f>
        <v/>
      </c>
      <c r="R115">
        <f>IFERROR(K115*MAX(M115,1)/Q115*P115,0)</f>
        <v/>
      </c>
      <c r="AA115" s="6" t="inlineStr">
        <is>
          <t>^FlakWeapon, ^Grenade, ^HeavyMissile, ^MediumMissile</t>
        </is>
      </c>
    </row>
    <row r="116">
      <c r="B116" s="6" t="inlineStr">
        <is>
          <t xml:space="preserve">  ↳ 227mmAMT</t>
        </is>
      </c>
      <c r="C116" s="6" t="inlineStr">
        <is>
          <t>Armament@AdvancedMissileTargeting</t>
        </is>
      </c>
      <c r="K116" s="5" t="n">
        <v>2000</v>
      </c>
      <c r="L116" s="5" t="n">
        <v>111</v>
      </c>
      <c r="M116" s="5" t="n">
        <v>6</v>
      </c>
      <c r="N116" s="5" t="n">
        <v>5</v>
      </c>
      <c r="O116" s="5" t="n">
        <v>9920</v>
      </c>
      <c r="P116" s="5" t="n">
        <v>1</v>
      </c>
      <c r="Q116">
        <f>L116+IF(M116&gt;1,N(N116)*(M116-1),0)</f>
        <v/>
      </c>
      <c r="R116">
        <f>IFERROR(K116*MAX(M116,1)/Q116*P116,0)</f>
        <v/>
      </c>
      <c r="AA116" s="6" t="inlineStr">
        <is>
          <t>^FlakWeapon, ^Grenade, ^HeavyMissile, ^MediumMissile, ^AMTProjectile</t>
        </is>
      </c>
    </row>
    <row r="117">
      <c r="A117" t="inlineStr">
        <is>
          <t>tiberiandawn</t>
        </is>
      </c>
      <c r="B117" t="inlineStr">
        <is>
          <t>td_gdi_mobileconstructionvehicle</t>
        </is>
      </c>
      <c r="C117" t="inlineStr">
        <is>
          <t>GDI Mobile Construction Vehicle</t>
        </is>
      </c>
      <c r="D117" t="inlineStr"/>
      <c r="E117" s="5" t="n">
        <v>300000</v>
      </c>
      <c r="F117" s="5" t="n">
        <v>75</v>
      </c>
      <c r="G117" t="inlineStr">
        <is>
          <t>Medium</t>
        </is>
      </c>
      <c r="H117" s="5" t="n">
        <v>1</v>
      </c>
      <c r="I117" s="5" t="n">
        <v>1</v>
      </c>
      <c r="J117" s="5" t="n">
        <v>1</v>
      </c>
      <c r="W117" s="5" t="n">
        <v>5000</v>
      </c>
    </row>
    <row r="118">
      <c r="A118" t="inlineStr">
        <is>
          <t>tiberiandawn</t>
        </is>
      </c>
      <c r="B118" t="inlineStr">
        <is>
          <t>td_gdi_predatortank</t>
        </is>
      </c>
      <c r="C118" t="inlineStr">
        <is>
          <t>Predator Tank</t>
        </is>
      </c>
      <c r="D118" t="inlineStr"/>
      <c r="E118" s="5" t="n">
        <v>170000</v>
      </c>
      <c r="F118" s="5" t="n">
        <v>70</v>
      </c>
      <c r="G118" t="inlineStr">
        <is>
          <t>Heavy</t>
        </is>
      </c>
      <c r="H118" s="5" t="n">
        <v>1</v>
      </c>
      <c r="I118" s="5" t="n">
        <v>1</v>
      </c>
      <c r="J118" s="5" t="n">
        <v>1.25</v>
      </c>
      <c r="O118">
        <f>MAX(O119,O120,O121,O122,O123,O124)</f>
        <v/>
      </c>
      <c r="R118">
        <f>R119+R120+R121+R122+R123+R124</f>
        <v/>
      </c>
      <c r="S118">
        <f>(E118/100000+F118/100+(O118/1000)*J118/5+R118/200)*200*I118*H118</f>
        <v/>
      </c>
      <c r="T118">
        <f>((E118*F118/25000)+((O118/1000)*J118*R118/2.5))*I118*H118</f>
        <v/>
      </c>
      <c r="U118">
        <f>(E118*F118*(O118/1000)*J118*R118*I118*H118)/12500000</f>
        <v/>
      </c>
      <c r="V118">
        <f>(S118+T118+U118)/3</f>
        <v/>
      </c>
      <c r="W118" s="5" t="n">
        <v>1250</v>
      </c>
      <c r="X118">
        <f>IFERROR(V118-W118,"")</f>
        <v/>
      </c>
      <c r="Y118">
        <f>IFERROR(ABS(X118)/MAX(W118,1),"")</f>
        <v/>
      </c>
      <c r="Z118">
        <f>IFERROR((W118-(((E118/100000+F118/100+R118/200)*200*I118*H118)+((E118*F118/25000)*I118*H118))/3)/(((J118/5)*200*I118*H118)+((J118*R118/2.5)*I118*H118)+((E118*F118*J118*R118*I118*H118)/12500000))/3*1000,"")</f>
        <v/>
      </c>
    </row>
    <row r="119">
      <c r="B119" s="6" t="inlineStr">
        <is>
          <t xml:space="preserve">  ↳ GDIPredatorTankCannon</t>
        </is>
      </c>
      <c r="C119" s="6" t="inlineStr">
        <is>
          <t>Armament@PRIMARY</t>
        </is>
      </c>
      <c r="K119" s="5" t="n">
        <v>8000</v>
      </c>
      <c r="L119" s="5" t="n">
        <v>70</v>
      </c>
      <c r="M119" s="5" t="n">
        <v>1</v>
      </c>
      <c r="N119" s="5" t="n"/>
      <c r="O119" s="5" t="n">
        <v>5880</v>
      </c>
      <c r="P119" s="5" t="n">
        <v>1</v>
      </c>
      <c r="Q119">
        <f>L119+IF(M119&gt;1,N(N119)*(M119-1),0)</f>
        <v/>
      </c>
      <c r="R119">
        <f>IFERROR(K119*MAX(M119,1)/Q119*P119,0)</f>
        <v/>
      </c>
      <c r="AA119" s="6" t="inlineStr">
        <is>
          <t>^MediumCannon</t>
        </is>
      </c>
    </row>
    <row r="120">
      <c r="B120" s="6" t="inlineStr">
        <is>
          <t xml:space="preserve">  ↳ GDIPredatorTankCannonHV</t>
        </is>
      </c>
      <c r="C120" s="6" t="inlineStr">
        <is>
          <t>Armament@Upgrade</t>
        </is>
      </c>
      <c r="K120" s="5" t="n">
        <v>16000</v>
      </c>
      <c r="L120" s="5" t="n">
        <v>70</v>
      </c>
      <c r="M120" s="5" t="n">
        <v>1</v>
      </c>
      <c r="N120" s="5" t="n"/>
      <c r="O120" s="5" t="n">
        <v>5880</v>
      </c>
      <c r="P120" s="5" t="n">
        <v>1</v>
      </c>
      <c r="Q120">
        <f>L120+IF(M120&gt;1,N(N120)*(M120-1),0)</f>
        <v/>
      </c>
      <c r="R120">
        <f>IFERROR(K120*MAX(M120,1)/Q120*P120,0)</f>
        <v/>
      </c>
      <c r="AA120" s="6" t="inlineStr">
        <is>
          <t>^MediumCannon, ^HVProjectile</t>
        </is>
      </c>
    </row>
    <row r="121">
      <c r="B121" s="6" t="inlineStr">
        <is>
          <t xml:space="preserve">  ↳ GDIPredatorTankMissiles</t>
        </is>
      </c>
      <c r="C121" s="6" t="inlineStr">
        <is>
          <t>Armament@SECONDARY</t>
        </is>
      </c>
      <c r="K121" s="5" t="n">
        <v>8000</v>
      </c>
      <c r="L121" s="5" t="n">
        <v>70</v>
      </c>
      <c r="M121" s="5" t="n">
        <v>1</v>
      </c>
      <c r="N121" s="5" t="n"/>
      <c r="O121" s="5" t="n">
        <v>5880</v>
      </c>
      <c r="P121" s="5" t="n">
        <v>1</v>
      </c>
      <c r="Q121">
        <f>L121+IF(M121&gt;1,N(N121)*(M121-1),0)</f>
        <v/>
      </c>
      <c r="R121">
        <f>IFERROR(K121*MAX(M121,1)/Q121*P121,0)</f>
        <v/>
      </c>
      <c r="AA121" s="6" t="inlineStr">
        <is>
          <t>^MediumMissile</t>
        </is>
      </c>
    </row>
    <row r="122">
      <c r="B122" s="6" t="inlineStr">
        <is>
          <t xml:space="preserve">  ↳ GDIPredatorTankMissilesAMT</t>
        </is>
      </c>
      <c r="C122" s="6" t="inlineStr">
        <is>
          <t>Armament@AdvancedMissileTargeting</t>
        </is>
      </c>
      <c r="K122" s="5" t="n">
        <v>8000</v>
      </c>
      <c r="L122" s="5" t="n">
        <v>70</v>
      </c>
      <c r="M122" s="5" t="n">
        <v>1</v>
      </c>
      <c r="N122" s="5" t="n"/>
      <c r="O122" s="5" t="n">
        <v>5880</v>
      </c>
      <c r="P122" s="5" t="n">
        <v>1</v>
      </c>
      <c r="Q122">
        <f>L122+IF(M122&gt;1,N(N122)*(M122-1),0)</f>
        <v/>
      </c>
      <c r="R122">
        <f>IFERROR(K122*MAX(M122,1)/Q122*P122,0)</f>
        <v/>
      </c>
      <c r="AA122" s="6" t="inlineStr">
        <is>
          <t>^MediumMissile, ^AMTProjectile</t>
        </is>
      </c>
    </row>
    <row r="123">
      <c r="B123" s="6" t="inlineStr">
        <is>
          <t xml:space="preserve">  ↳ GDIPredatorMachineGun</t>
        </is>
      </c>
      <c r="C123" s="6" t="inlineStr">
        <is>
          <t>Armament@MachineGun</t>
        </is>
      </c>
      <c r="K123" s="5" t="n">
        <v>2000</v>
      </c>
      <c r="L123" s="5" t="n">
        <v>70</v>
      </c>
      <c r="M123" s="5" t="n">
        <v>4</v>
      </c>
      <c r="N123" s="5" t="n"/>
      <c r="O123" s="5" t="n">
        <v>5880</v>
      </c>
      <c r="P123" s="5" t="n">
        <v>1</v>
      </c>
      <c r="Q123">
        <f>L123+IF(M123&gt;1,N(N123)*(M123-1),0)</f>
        <v/>
      </c>
      <c r="R123">
        <f>IFERROR(K123*MAX(M123,1)/Q123*P123,0)</f>
        <v/>
      </c>
      <c r="AA123" s="6" t="inlineStr">
        <is>
          <t>^Chaingun</t>
        </is>
      </c>
    </row>
    <row r="124">
      <c r="B124" s="6" t="inlineStr">
        <is>
          <t xml:space="preserve">  ↳ GDIPredatorBlueLaser</t>
        </is>
      </c>
      <c r="C124" s="6" t="inlineStr">
        <is>
          <t>Armament@Lights</t>
        </is>
      </c>
      <c r="K124" s="5" t="n"/>
      <c r="L124" s="5" t="n">
        <v>11</v>
      </c>
      <c r="M124" s="5" t="n">
        <v>1</v>
      </c>
      <c r="N124" s="5" t="n"/>
      <c r="O124" s="5" t="n">
        <v>5880</v>
      </c>
      <c r="P124" s="5" t="n">
        <v>1</v>
      </c>
      <c r="Q124">
        <f>L124+IF(M124&gt;1,N(N124)*(M124-1),0)</f>
        <v/>
      </c>
      <c r="R124">
        <f>IFERROR(K124*MAX(M124,1)/Q124*P124,0)</f>
        <v/>
      </c>
      <c r="AA124" s="6" t="inlineStr"/>
    </row>
    <row r="125">
      <c r="A125" t="inlineStr">
        <is>
          <t>tiberiandawn</t>
        </is>
      </c>
      <c r="B125" t="inlineStr">
        <is>
          <t>td_gdi_tiberiumharvester</t>
        </is>
      </c>
      <c r="C125" t="inlineStr">
        <is>
          <t>GDI Tiberium Harvester</t>
        </is>
      </c>
      <c r="D125" t="inlineStr"/>
      <c r="E125" s="5" t="n">
        <v>150000</v>
      </c>
      <c r="F125" s="5" t="n">
        <v>60</v>
      </c>
      <c r="G125" t="inlineStr">
        <is>
          <t>Heavy</t>
        </is>
      </c>
      <c r="H125" s="5" t="n">
        <v>1</v>
      </c>
      <c r="I125" s="5" t="n">
        <v>1</v>
      </c>
      <c r="J125" s="5" t="n">
        <v>1</v>
      </c>
      <c r="W125" s="5" t="n">
        <v>1000</v>
      </c>
    </row>
    <row r="126">
      <c r="A126" s="3" t="inlineStr">
        <is>
          <t>AIRCRAFT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</row>
    <row r="127">
      <c r="A127" t="inlineStr">
        <is>
          <t>tiberiandawn</t>
        </is>
      </c>
      <c r="B127" t="inlineStr">
        <is>
          <t>A10</t>
        </is>
      </c>
      <c r="C127" t="inlineStr">
        <is>
          <t>A10 Bomber</t>
        </is>
      </c>
      <c r="D127" t="inlineStr"/>
      <c r="E127" s="5" t="n">
        <v>50000</v>
      </c>
      <c r="F127" s="5" t="n">
        <v>250</v>
      </c>
      <c r="G127" t="inlineStr">
        <is>
          <t>Bomber</t>
        </is>
      </c>
      <c r="H127" s="5" t="n">
        <v>1</v>
      </c>
      <c r="I127" s="5" t="n">
        <v>1</v>
      </c>
      <c r="J127" s="5" t="n">
        <v>1</v>
      </c>
      <c r="O127">
        <f>MAX(O128,O129)</f>
        <v/>
      </c>
      <c r="R127">
        <f>R128+R129</f>
        <v/>
      </c>
      <c r="S127">
        <f>(E127/100000+F127/100+(O127/1000)*J127/5+R127/200)*200*I127*H127</f>
        <v/>
      </c>
      <c r="T127">
        <f>((E127*F127/25000)+((O127/1000)*J127*R127/2.5))*I127*H127</f>
        <v/>
      </c>
      <c r="U127">
        <f>(E127*F127*(O127/1000)*J127*R127*I127*H127)/12500000</f>
        <v/>
      </c>
      <c r="V127">
        <f>(S127+T127+U127)/3</f>
        <v/>
      </c>
      <c r="W127" s="5" t="n">
        <v>2500</v>
      </c>
      <c r="X127">
        <f>IFERROR(V127-W127,"")</f>
        <v/>
      </c>
      <c r="Y127">
        <f>IFERROR(ABS(X127)/MAX(W127,1),"")</f>
        <v/>
      </c>
      <c r="Z127">
        <f>IFERROR((W127-(((E127/100000+F127/100+R127/200)*200*I127*H127)+((E127*F127/25000)*I127*H127))/3)/(((J127/5)*200*I127*H127)+((J127*R127/2.5)*I127*H127)+((E127*F127*J127*R127*I127*H127)/12500000))/3*1000,"")</f>
        <v/>
      </c>
    </row>
    <row r="128">
      <c r="B128" s="6" t="inlineStr">
        <is>
          <t xml:space="preserve">  ↳ Vulcan</t>
        </is>
      </c>
      <c r="C128" s="6" t="inlineStr">
        <is>
          <t>Armament@GUNS</t>
        </is>
      </c>
      <c r="K128" s="5" t="n">
        <v>12000</v>
      </c>
      <c r="L128" s="5" t="n">
        <v>125</v>
      </c>
      <c r="M128" s="5" t="n">
        <v>10</v>
      </c>
      <c r="N128" s="5" t="n">
        <v>2</v>
      </c>
      <c r="O128" s="5" t="n">
        <v>10000</v>
      </c>
      <c r="P128" s="5" t="n">
        <v>1</v>
      </c>
      <c r="Q128">
        <f>L128+IF(M128&gt;1,N(N128)*(M128-1),0)</f>
        <v/>
      </c>
      <c r="R128">
        <f>IFERROR(K128*MAX(M128,1)/Q128*P128,0)</f>
        <v/>
      </c>
      <c r="AA128" s="6" t="inlineStr">
        <is>
          <t>^Chaingun</t>
        </is>
      </c>
    </row>
    <row r="129">
      <c r="B129" s="6" t="inlineStr">
        <is>
          <t xml:space="preserve">  ↳ Napalm</t>
        </is>
      </c>
      <c r="C129" s="6" t="inlineStr">
        <is>
          <t>Armament@BOMBS</t>
        </is>
      </c>
      <c r="K129" s="5" t="n">
        <v>6000</v>
      </c>
      <c r="L129" s="5" t="n">
        <v>2</v>
      </c>
      <c r="M129" s="5" t="n">
        <v>1</v>
      </c>
      <c r="N129" s="5" t="n"/>
      <c r="O129" s="5" t="n">
        <v>2000</v>
      </c>
      <c r="P129" s="5" t="n">
        <v>1</v>
      </c>
      <c r="Q129">
        <f>L129+IF(M129&gt;1,N(N129)*(M129-1),0)</f>
        <v/>
      </c>
      <c r="R129">
        <f>IFERROR(K129*MAX(M129,1)/Q129*P129,0)</f>
        <v/>
      </c>
      <c r="AA129" s="6" t="inlineStr">
        <is>
          <t>^HeavyBomb, ^HeavyFlameWeapon</t>
        </is>
      </c>
    </row>
    <row r="130">
      <c r="A130" t="inlineStr">
        <is>
          <t>tiberiandawn</t>
        </is>
      </c>
      <c r="B130" t="inlineStr">
        <is>
          <t>A10Carrier</t>
        </is>
      </c>
      <c r="C130" t="inlineStr">
        <is>
          <t>A10 Bomber</t>
        </is>
      </c>
      <c r="D130" t="inlineStr"/>
      <c r="E130" s="5" t="n">
        <v>10000</v>
      </c>
      <c r="F130" s="5" t="n">
        <v>200</v>
      </c>
      <c r="G130" t="inlineStr">
        <is>
          <t>Bomber</t>
        </is>
      </c>
      <c r="H130" s="5" t="n">
        <v>1</v>
      </c>
      <c r="I130" s="5" t="n">
        <v>1</v>
      </c>
      <c r="J130" s="5" t="n">
        <v>1</v>
      </c>
      <c r="O130">
        <f>MAX(O131,O132,O133)</f>
        <v/>
      </c>
      <c r="R130">
        <f>R131+R132+R133</f>
        <v/>
      </c>
      <c r="S130">
        <f>(E130/100000+F130/100+(O130/1000)*J130/5+R130/200)*200*I130*H130</f>
        <v/>
      </c>
      <c r="T130">
        <f>((E130*F130/25000)+((O130/1000)*J130*R130/2.5))*I130*H130</f>
        <v/>
      </c>
      <c r="U130">
        <f>(E130*F130*(O130/1000)*J130*R130*I130*H130)/12500000</f>
        <v/>
      </c>
      <c r="V130">
        <f>(S130+T130+U130)/3</f>
        <v/>
      </c>
      <c r="W130" s="5" t="n">
        <v>2000</v>
      </c>
      <c r="X130">
        <f>IFERROR(V130-W130,"")</f>
        <v/>
      </c>
      <c r="Y130">
        <f>IFERROR(ABS(X130)/MAX(W130,1),"")</f>
        <v/>
      </c>
      <c r="Z130">
        <f>IFERROR((W130-(((E130/100000+F130/100+R130/200)*200*I130*H130)+((E130*F130/25000)*I130*H130))/3)/(((J130/5)*200*I130*H130)+((J130*R130/2.5)*I130*H130)+((E130*F130*J130*R130*I130*H130)/12500000))/3*1000,"")</f>
        <v/>
      </c>
    </row>
    <row r="131">
      <c r="B131" s="6" t="inlineStr">
        <is>
          <t xml:space="preserve">  ↳ VulcanA10Carrier</t>
        </is>
      </c>
      <c r="C131" s="6" t="inlineStr">
        <is>
          <t>Armament@GUNS</t>
        </is>
      </c>
      <c r="K131" s="5" t="n">
        <v>6000</v>
      </c>
      <c r="L131" s="5" t="n">
        <v>125</v>
      </c>
      <c r="M131" s="5" t="n">
        <v>10</v>
      </c>
      <c r="N131" s="5" t="n">
        <v>2</v>
      </c>
      <c r="O131" s="5" t="n">
        <v>5000</v>
      </c>
      <c r="P131" s="5" t="n">
        <v>1</v>
      </c>
      <c r="Q131">
        <f>L131+IF(M131&gt;1,N(N131)*(M131-1),0)</f>
        <v/>
      </c>
      <c r="R131">
        <f>IFERROR(K131*MAX(M131,1)/Q131*P131,0)</f>
        <v/>
      </c>
      <c r="AA131" s="6" t="inlineStr">
        <is>
          <t>^Chaingun</t>
        </is>
      </c>
    </row>
    <row r="132">
      <c r="B132" s="6" t="inlineStr">
        <is>
          <t xml:space="preserve">  ↳ NapalmA10Carrier</t>
        </is>
      </c>
      <c r="C132" s="6" t="inlineStr">
        <is>
          <t>Armament@BOMBS</t>
        </is>
      </c>
      <c r="K132" s="5" t="n">
        <v>4000</v>
      </c>
      <c r="L132" s="5" t="n">
        <v>2</v>
      </c>
      <c r="M132" s="5" t="n">
        <v>1</v>
      </c>
      <c r="N132" s="5" t="n"/>
      <c r="O132" s="5" t="n">
        <v>1000</v>
      </c>
      <c r="P132" s="5" t="n">
        <v>1</v>
      </c>
      <c r="Q132">
        <f>L132+IF(M132&gt;1,N(N132)*(M132-1),0)</f>
        <v/>
      </c>
      <c r="R132">
        <f>IFERROR(K132*MAX(M132,1)/Q132*P132,0)</f>
        <v/>
      </c>
      <c r="AA132" s="6" t="inlineStr">
        <is>
          <t>^HeavyBomb, ^HeavyFlameWeapon</t>
        </is>
      </c>
    </row>
    <row r="133">
      <c r="B133" s="6" t="inlineStr">
        <is>
          <t xml:space="preserve">  ↳ A10CarrierMissiles</t>
        </is>
      </c>
      <c r="C133" s="6" t="inlineStr">
        <is>
          <t>Armament@AA</t>
        </is>
      </c>
      <c r="K133" s="5" t="n">
        <v>12000</v>
      </c>
      <c r="L133" s="5" t="n">
        <v>100</v>
      </c>
      <c r="M133" s="5" t="n">
        <v>2</v>
      </c>
      <c r="N133" s="5" t="n">
        <v>2</v>
      </c>
      <c r="O133" s="5" t="n">
        <v>5000</v>
      </c>
      <c r="P133" s="5" t="n">
        <v>1</v>
      </c>
      <c r="Q133">
        <f>L133+IF(M133&gt;1,N(N133)*(M133-1),0)</f>
        <v/>
      </c>
      <c r="R133">
        <f>IFERROR(K133*MAX(M133,1)/Q133*P133,0)</f>
        <v/>
      </c>
      <c r="AA133" s="6" t="inlineStr">
        <is>
          <t>^HeavyMissile, ^ImpactGlow</t>
        </is>
      </c>
    </row>
    <row r="134">
      <c r="A134" t="inlineStr">
        <is>
          <t>tiberiandawn</t>
        </is>
      </c>
      <c r="B134" t="inlineStr">
        <is>
          <t>gdirigdrone</t>
        </is>
      </c>
      <c r="C134" t="inlineStr">
        <is>
          <t>Scalpel</t>
        </is>
      </c>
      <c r="D134" t="inlineStr"/>
      <c r="E134" s="5" t="n">
        <v>25000</v>
      </c>
      <c r="F134" s="5" t="n">
        <v>120</v>
      </c>
      <c r="G134" t="inlineStr">
        <is>
          <t>Fighter</t>
        </is>
      </c>
      <c r="H134" s="5" t="n">
        <v>1</v>
      </c>
      <c r="I134" s="5" t="n">
        <v>1</v>
      </c>
      <c r="J134" s="5" t="n">
        <v>1</v>
      </c>
      <c r="O134">
        <f>MAX(O135,O136)</f>
        <v/>
      </c>
      <c r="R134">
        <f>R135+R136</f>
        <v/>
      </c>
      <c r="S134">
        <f>(E134/100000+F134/100+(O134/1000)*J134/5+R134/200)*200*I134*H134</f>
        <v/>
      </c>
      <c r="T134">
        <f>((E134*F134/25000)+((O134/1000)*J134*R134/2.5))*I134*H134</f>
        <v/>
      </c>
      <c r="U134">
        <f>(E134*F134*(O134/1000)*J134*R134*I134*H134)/12500000</f>
        <v/>
      </c>
      <c r="V134">
        <f>(S134+T134+U134)/3</f>
        <v/>
      </c>
      <c r="W134" s="5" t="n">
        <v>500</v>
      </c>
      <c r="X134">
        <f>IFERROR(V134-W134,"")</f>
        <v/>
      </c>
      <c r="Y134">
        <f>IFERROR(ABS(X134)/MAX(W134,1),"")</f>
        <v/>
      </c>
      <c r="Z134">
        <f>IFERROR((W134-(((E134/100000+F134/100+R134/200)*200*I134*H134)+((E134*F134/25000)*I134*H134))/3)/(((J134/5)*200*I134*H134)+((J134*R134/2.5)*I134*H134)+((E134*F134*J134*R134*I134*H134)/12500000))/3*1000,"")</f>
        <v/>
      </c>
    </row>
    <row r="135">
      <c r="B135" s="6" t="inlineStr">
        <is>
          <t xml:space="preserve">  ↳ GDIRigPDLaser</t>
        </is>
      </c>
      <c r="C135" s="6" t="inlineStr">
        <is>
          <t>Armament@pointdefense</t>
        </is>
      </c>
      <c r="K135" s="5" t="n">
        <v>2000</v>
      </c>
      <c r="L135" s="5" t="n">
        <v>25</v>
      </c>
      <c r="M135" s="5" t="n">
        <v>1</v>
      </c>
      <c r="N135" s="5" t="n"/>
      <c r="O135" s="5" t="n">
        <v>6000</v>
      </c>
      <c r="P135" s="5" t="n">
        <v>1</v>
      </c>
      <c r="Q135">
        <f>L135+IF(M135&gt;1,N(N135)*(M135-1),0)</f>
        <v/>
      </c>
      <c r="R135">
        <f>IFERROR(K135*MAX(M135,1)/Q135*P135,0)</f>
        <v/>
      </c>
      <c r="AA135" s="6" t="inlineStr">
        <is>
          <t>^LaserWeapon</t>
        </is>
      </c>
    </row>
    <row r="136">
      <c r="B136" s="6" t="inlineStr">
        <is>
          <t xml:space="preserve">  ↳ GDIRigDroneRepair</t>
        </is>
      </c>
      <c r="C136" s="6" t="inlineStr">
        <is>
          <t>Armament@PRIMARY</t>
        </is>
      </c>
      <c r="K136" s="5" t="n">
        <v>-1</v>
      </c>
      <c r="L136" s="5" t="n">
        <v>5</v>
      </c>
      <c r="M136" s="5" t="n">
        <v>1</v>
      </c>
      <c r="N136" s="5" t="n">
        <v>1</v>
      </c>
      <c r="O136" s="5" t="n">
        <v>6000</v>
      </c>
      <c r="P136" s="5" t="n">
        <v>1</v>
      </c>
      <c r="Q136">
        <f>L136+IF(M136&gt;1,N(N136)*(M136-1),0)</f>
        <v/>
      </c>
      <c r="R136">
        <f>IFERROR(K136*MAX(M136,1)/Q136*P136,0)</f>
        <v/>
      </c>
      <c r="AA136" s="6" t="inlineStr">
        <is>
          <t>^RepairWeapon</t>
        </is>
      </c>
    </row>
    <row r="137">
      <c r="A137" t="inlineStr">
        <is>
          <t>tiberiandawn</t>
        </is>
      </c>
      <c r="B137" t="inlineStr">
        <is>
          <t>td_gdi_chinooktransport</t>
        </is>
      </c>
      <c r="C137" t="inlineStr">
        <is>
          <t>GDI Chinook Transport</t>
        </is>
      </c>
      <c r="D137" t="inlineStr"/>
      <c r="E137" s="5" t="n">
        <v>100000</v>
      </c>
      <c r="F137" s="5" t="n">
        <v>150</v>
      </c>
      <c r="G137" t="inlineStr">
        <is>
          <t>Helicopter</t>
        </is>
      </c>
      <c r="H137" s="5" t="n">
        <v>1</v>
      </c>
      <c r="I137" s="5" t="n">
        <v>1</v>
      </c>
      <c r="J137" s="5" t="n">
        <v>1</v>
      </c>
      <c r="W137" s="5" t="n">
        <v>3000</v>
      </c>
    </row>
    <row r="138">
      <c r="A138" t="inlineStr">
        <is>
          <t>tiberiandawn</t>
        </is>
      </c>
      <c r="B138" t="inlineStr">
        <is>
          <t>td_gdi_firehawk</t>
        </is>
      </c>
      <c r="C138" t="inlineStr">
        <is>
          <t>Firehawk</t>
        </is>
      </c>
      <c r="D138" t="inlineStr"/>
      <c r="E138" s="5" t="n">
        <v>180000</v>
      </c>
      <c r="F138" s="5" t="n">
        <v>180</v>
      </c>
      <c r="G138" t="inlineStr">
        <is>
          <t>Bomber</t>
        </is>
      </c>
      <c r="H138" s="5" t="n">
        <v>0.75</v>
      </c>
      <c r="I138" s="5" t="n">
        <v>1</v>
      </c>
      <c r="J138" s="5" t="n">
        <v>1</v>
      </c>
      <c r="O138">
        <f>MAX(O139,O140,O141)</f>
        <v/>
      </c>
      <c r="R138">
        <f>R139+R140+R141</f>
        <v/>
      </c>
      <c r="S138">
        <f>(E138/100000+F138/100+(O138/1000)*J138/5+R138/200)*200*I138*H138</f>
        <v/>
      </c>
      <c r="T138">
        <f>((E138*F138/25000)+((O138/1000)*J138*R138/2.5))*I138*H138</f>
        <v/>
      </c>
      <c r="U138">
        <f>(E138*F138*(O138/1000)*J138*R138*I138*H138)/12500000</f>
        <v/>
      </c>
      <c r="V138">
        <f>(S138+T138+U138)/3</f>
        <v/>
      </c>
      <c r="W138" s="5" t="n">
        <v>2000</v>
      </c>
      <c r="X138">
        <f>IFERROR(V138-W138,"")</f>
        <v/>
      </c>
      <c r="Y138">
        <f>IFERROR(ABS(X138)/MAX(W138,1),"")</f>
        <v/>
      </c>
      <c r="Z138">
        <f>IFERROR((W138-(((E138/100000+F138/100+R138/200)*200*I138*H138)+((E138*F138/25000)*I138*H138))/3)/(((J138/5)*200*I138*H138)+((J138*R138/2.5)*I138*H138)+((E138*F138*J138*R138*I138*H138)/12500000))/3*1000,"")</f>
        <v/>
      </c>
    </row>
    <row r="139">
      <c r="B139" s="6" t="inlineStr">
        <is>
          <t xml:space="preserve">  ↳ FirehawkMissiles</t>
        </is>
      </c>
      <c r="C139" s="6" t="inlineStr">
        <is>
          <t>Armament</t>
        </is>
      </c>
      <c r="K139" s="5" t="n">
        <v>20000</v>
      </c>
      <c r="L139" s="5" t="n">
        <v>50</v>
      </c>
      <c r="M139" s="5" t="n">
        <v>2</v>
      </c>
      <c r="N139" s="5" t="n">
        <v>5</v>
      </c>
      <c r="O139" s="5" t="n">
        <v>12500</v>
      </c>
      <c r="P139" s="5" t="n">
        <v>1</v>
      </c>
      <c r="Q139">
        <f>L139+IF(M139&gt;1,N(N139)*(M139-1),0)</f>
        <v/>
      </c>
      <c r="R139">
        <f>IFERROR(K139*MAX(M139,1)/Q139*P139,0)</f>
        <v/>
      </c>
      <c r="AA139" s="6" t="inlineStr">
        <is>
          <t>^HeavyMissile, ^ImpactGlow</t>
        </is>
      </c>
    </row>
    <row r="140">
      <c r="B140" s="6" t="inlineStr">
        <is>
          <t xml:space="preserve">  ↳ FirehawkMissiles</t>
        </is>
      </c>
      <c r="C140" s="6" t="inlineStr">
        <is>
          <t>Armament@td_gdi_upgrade_advancedmissiletargeting</t>
        </is>
      </c>
      <c r="K140" s="5" t="n">
        <v>20000</v>
      </c>
      <c r="L140" s="5" t="n">
        <v>50</v>
      </c>
      <c r="M140" s="5" t="n">
        <v>2</v>
      </c>
      <c r="N140" s="5" t="n">
        <v>5</v>
      </c>
      <c r="O140" s="5" t="n">
        <v>12500</v>
      </c>
      <c r="P140" s="5" t="n">
        <v>1</v>
      </c>
      <c r="Q140">
        <f>L140+IF(M140&gt;1,N(N140)*(M140-1),0)</f>
        <v/>
      </c>
      <c r="R140">
        <f>IFERROR(K140*MAX(M140,1)/Q140*P140,0)</f>
        <v/>
      </c>
      <c r="AA140" s="6" t="inlineStr">
        <is>
          <t>^HeavyMissile, ^ImpactGlow</t>
        </is>
      </c>
    </row>
    <row r="141">
      <c r="B141" s="6" t="inlineStr">
        <is>
          <t xml:space="preserve">  ↳ FirehawkBomb</t>
        </is>
      </c>
      <c r="C141" s="6" t="inlineStr">
        <is>
          <t>Armament@BOMBS</t>
        </is>
      </c>
      <c r="K141" s="5" t="n">
        <v>10000</v>
      </c>
      <c r="L141" s="5" t="n">
        <v>50</v>
      </c>
      <c r="M141" s="5" t="n">
        <v>2</v>
      </c>
      <c r="N141" s="5" t="n">
        <v>2</v>
      </c>
      <c r="O141" s="5" t="n">
        <v>1250</v>
      </c>
      <c r="P141" s="5" t="n">
        <v>1</v>
      </c>
      <c r="Q141">
        <f>L141+IF(M141&gt;1,N(N141)*(M141-1),0)</f>
        <v/>
      </c>
      <c r="R141">
        <f>IFERROR(K141*MAX(M141,1)/Q141*P141,0)</f>
        <v/>
      </c>
      <c r="AA141" s="6" t="inlineStr">
        <is>
          <t>^HeavyBomb, ^NuclearWarhead, ^ShrapnelWeapon, ^MediumFlameWeapon</t>
        </is>
      </c>
    </row>
    <row r="142">
      <c r="A142" t="inlineStr">
        <is>
          <t>tiberiandawn</t>
        </is>
      </c>
      <c r="B142" t="inlineStr">
        <is>
          <t>td_gdi_orca</t>
        </is>
      </c>
      <c r="C142" t="inlineStr">
        <is>
          <t>Orca</t>
        </is>
      </c>
      <c r="D142" t="inlineStr"/>
      <c r="E142" s="5" t="n">
        <v>32500</v>
      </c>
      <c r="F142" s="5" t="n">
        <v>175</v>
      </c>
      <c r="G142" t="inlineStr">
        <is>
          <t>Helicopter</t>
        </is>
      </c>
      <c r="H142" s="5" t="n">
        <v>1</v>
      </c>
      <c r="I142" s="5" t="n">
        <v>1</v>
      </c>
      <c r="J142" s="5" t="n">
        <v>1</v>
      </c>
      <c r="O142">
        <f>MAX(O143,O144)</f>
        <v/>
      </c>
      <c r="R142">
        <f>R143+R144</f>
        <v/>
      </c>
      <c r="S142">
        <f>(E142/100000+F142/100+(O142/1000)*J142/5+R142/200)*200*I142*H142</f>
        <v/>
      </c>
      <c r="T142">
        <f>((E142*F142/25000)+((O142/1000)*J142*R142/2.5))*I142*H142</f>
        <v/>
      </c>
      <c r="U142">
        <f>(E142*F142*(O142/1000)*J142*R142*I142*H142)/12500000</f>
        <v/>
      </c>
      <c r="V142">
        <f>(S142+T142+U142)/3</f>
        <v/>
      </c>
      <c r="W142" s="5" t="n">
        <v>1700</v>
      </c>
      <c r="X142">
        <f>IFERROR(V142-W142,"")</f>
        <v/>
      </c>
      <c r="Y142">
        <f>IFERROR(ABS(X142)/MAX(W142,1),"")</f>
        <v/>
      </c>
      <c r="Z142">
        <f>IFERROR((W142-(((E142/100000+F142/100+R142/200)*200*I142*H142)+((E142*F142/25000)*I142*H142))/3)/(((J142/5)*200*I142*H142)+((J142*R142/2.5)*I142*H142)+((E142*F142*J142*R142*I142*H142)/12500000))/3*1000,"")</f>
        <v/>
      </c>
    </row>
    <row r="143">
      <c r="B143" s="6" t="inlineStr">
        <is>
          <t xml:space="preserve">  ↳ OrcaMissiles</t>
        </is>
      </c>
      <c r="C143" s="6" t="inlineStr">
        <is>
          <t>Armament@PRIMARY</t>
        </is>
      </c>
      <c r="K143" s="5" t="n">
        <v>2000</v>
      </c>
      <c r="L143" s="5" t="n">
        <v>16</v>
      </c>
      <c r="M143" s="5" t="n">
        <v>1</v>
      </c>
      <c r="N143" s="5" t="n"/>
      <c r="O143" s="5" t="n">
        <v>5442</v>
      </c>
      <c r="P143" s="5" t="n">
        <v>1</v>
      </c>
      <c r="Q143">
        <f>L143+IF(M143&gt;1,N(N143)*(M143-1),0)</f>
        <v/>
      </c>
      <c r="R143">
        <f>IFERROR(K143*MAX(M143,1)/Q143*P143,0)</f>
        <v/>
      </c>
      <c r="AA143" s="6" t="inlineStr">
        <is>
          <t>^HeavyCannon, ^TankDestroyerCannon, ^ShrapnelWeapon, ^Grenade, ^HeavyMissile, ^MediumMissile</t>
        </is>
      </c>
    </row>
    <row r="144">
      <c r="B144" s="6" t="inlineStr">
        <is>
          <t xml:space="preserve">  ↳ OrcaMissilesAMT</t>
        </is>
      </c>
      <c r="C144" s="6" t="inlineStr">
        <is>
          <t>Armament@AdvancedMissileTargeting</t>
        </is>
      </c>
      <c r="K144" s="5" t="n">
        <v>2000</v>
      </c>
      <c r="L144" s="5" t="n">
        <v>16</v>
      </c>
      <c r="M144" s="5" t="n">
        <v>1</v>
      </c>
      <c r="N144" s="5" t="n"/>
      <c r="O144" s="5" t="n">
        <v>5442</v>
      </c>
      <c r="P144" s="5" t="n">
        <v>1</v>
      </c>
      <c r="Q144">
        <f>L144+IF(M144&gt;1,N(N144)*(M144-1),0)</f>
        <v/>
      </c>
      <c r="R144">
        <f>IFERROR(K144*MAX(M144,1)/Q144*P144,0)</f>
        <v/>
      </c>
      <c r="AA144" s="6" t="inlineStr">
        <is>
          <t>^HeavyCannon, ^TankDestroyerCannon, ^ShrapnelWeapon, ^Grenade, ^HeavyMissile, ^MediumMissile, ^AMTProjectile</t>
        </is>
      </c>
    </row>
    <row r="145">
      <c r="A145" s="3" t="inlineStr">
        <is>
          <t>NAVAL</t>
        </is>
      </c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>
      <c r="A146" t="inlineStr">
        <is>
          <t>tiberiandawn</t>
        </is>
      </c>
      <c r="B146" t="inlineStr">
        <is>
          <t>CNCCA</t>
        </is>
      </c>
      <c r="C146" t="inlineStr">
        <is>
          <t>Railgun Battleship</t>
        </is>
      </c>
      <c r="D146" t="inlineStr"/>
      <c r="E146" s="5" t="n">
        <v>167500</v>
      </c>
      <c r="F146" s="5" t="n">
        <v>50</v>
      </c>
      <c r="G146" t="inlineStr">
        <is>
          <t>Superheavy</t>
        </is>
      </c>
      <c r="H146" s="5" t="n">
        <v>1</v>
      </c>
      <c r="I146" s="5" t="n">
        <v>1</v>
      </c>
      <c r="J146" s="5" t="n">
        <v>1</v>
      </c>
      <c r="O146">
        <f>MAX(O147,O148)</f>
        <v/>
      </c>
      <c r="R146">
        <f>R147+R148</f>
        <v/>
      </c>
      <c r="S146">
        <f>(E146/100000+F146/100+(O146/1000)*J146/5+R146/200)*200*I146*H146</f>
        <v/>
      </c>
      <c r="T146">
        <f>((E146*F146/25000)+((O146/1000)*J146*R146/2.5))*I146*H146</f>
        <v/>
      </c>
      <c r="U146">
        <f>(E146*F146*(O146/1000)*J146*R146*I146*H146)/12500000</f>
        <v/>
      </c>
      <c r="V146">
        <f>(S146+T146+U146)/3</f>
        <v/>
      </c>
      <c r="W146" s="5" t="n">
        <v>2600</v>
      </c>
      <c r="X146">
        <f>IFERROR(V146-W146,"")</f>
        <v/>
      </c>
      <c r="Y146">
        <f>IFERROR(ABS(X146)/MAX(W146,1),"")</f>
        <v/>
      </c>
      <c r="Z146">
        <f>IFERROR((W146-(((E146/100000+F146/100+R146/200)*200*I146*H146)+((E146*F146/25000)*I146*H146))/3)/(((J146/5)*200*I146*H146)+((J146*R146/2.5)*I146*H146)+((E146*F146*J146*R146*I146*H146)/12500000))/3*1000,"")</f>
        <v/>
      </c>
    </row>
    <row r="147">
      <c r="B147" s="6" t="inlineStr">
        <is>
          <t xml:space="preserve">  ↳ GDIBattleshipRailgun</t>
        </is>
      </c>
      <c r="C147" s="6" t="inlineStr">
        <is>
          <t>Armament@PRIMARY</t>
        </is>
      </c>
      <c r="K147" s="5" t="n">
        <v>50000</v>
      </c>
      <c r="L147" s="5" t="n">
        <v>100</v>
      </c>
      <c r="M147" s="5" t="n">
        <v>1</v>
      </c>
      <c r="N147" s="5" t="n"/>
      <c r="O147" s="5" t="n">
        <v>10000</v>
      </c>
      <c r="P147" s="5" t="n">
        <v>1</v>
      </c>
      <c r="Q147">
        <f>L147+IF(M147&gt;1,N(N147)*(M147-1),0)</f>
        <v/>
      </c>
      <c r="R147">
        <f>IFERROR(K147*MAX(M147,1)/Q147*P147,0)</f>
        <v/>
      </c>
      <c r="AA147" s="6" t="inlineStr">
        <is>
          <t>^RailgunWeapon</t>
        </is>
      </c>
    </row>
    <row r="148">
      <c r="B148" s="6" t="inlineStr">
        <is>
          <t xml:space="preserve">  ↳ GDIBattleshipRailgun</t>
        </is>
      </c>
      <c r="C148" s="6" t="inlineStr">
        <is>
          <t>Armament@SECONDARY</t>
        </is>
      </c>
      <c r="K148" s="5" t="n">
        <v>50000</v>
      </c>
      <c r="L148" s="5" t="n">
        <v>100</v>
      </c>
      <c r="M148" s="5" t="n">
        <v>1</v>
      </c>
      <c r="N148" s="5" t="n"/>
      <c r="O148" s="5" t="n">
        <v>10000</v>
      </c>
      <c r="P148" s="5" t="n">
        <v>1</v>
      </c>
      <c r="Q148">
        <f>L148+IF(M148&gt;1,N(N148)*(M148-1),0)</f>
        <v/>
      </c>
      <c r="R148">
        <f>IFERROR(K148*MAX(M148,1)/Q148*P148,0)</f>
        <v/>
      </c>
      <c r="AA148" s="6" t="inlineStr">
        <is>
          <t>^RailgunWeapon</t>
        </is>
      </c>
    </row>
    <row r="149">
      <c r="A149" t="inlineStr">
        <is>
          <t>tiberiandawn</t>
        </is>
      </c>
      <c r="B149" t="inlineStr">
        <is>
          <t>CNCPT</t>
        </is>
      </c>
      <c r="C149" t="inlineStr">
        <is>
          <t>Missile Boat</t>
        </is>
      </c>
      <c r="D149" t="inlineStr"/>
      <c r="E149" s="5" t="n">
        <v>75000</v>
      </c>
      <c r="F149" s="5" t="n">
        <v>100</v>
      </c>
      <c r="G149" t="inlineStr">
        <is>
          <t>Heavy</t>
        </is>
      </c>
      <c r="H149" s="5" t="n">
        <v>1</v>
      </c>
      <c r="I149" s="5" t="n">
        <v>1</v>
      </c>
      <c r="J149" s="5" t="n">
        <v>1</v>
      </c>
      <c r="O149">
        <f>MAX(O150,O151,O152,O153)</f>
        <v/>
      </c>
      <c r="R149">
        <f>R150+R151+R152+R153</f>
        <v/>
      </c>
      <c r="S149">
        <f>(E149/100000+F149/100+(O149/1000)*J149/5+R149/200)*200*I149*H149</f>
        <v/>
      </c>
      <c r="T149">
        <f>((E149*F149/25000)+((O149/1000)*J149*R149/2.5))*I149*H149</f>
        <v/>
      </c>
      <c r="U149">
        <f>(E149*F149*(O149/1000)*J149*R149*I149*H149)/12500000</f>
        <v/>
      </c>
      <c r="V149">
        <f>(S149+T149+U149)/3</f>
        <v/>
      </c>
      <c r="W149" s="5" t="n">
        <v>1600</v>
      </c>
      <c r="X149">
        <f>IFERROR(V149-W149,"")</f>
        <v/>
      </c>
      <c r="Y149">
        <f>IFERROR(ABS(X149)/MAX(W149,1),"")</f>
        <v/>
      </c>
      <c r="Z149">
        <f>IFERROR((W149-(((E149/100000+F149/100+R149/200)*200*I149*H149)+((E149*F149/25000)*I149*H149))/3)/(((J149/5)*200*I149*H149)+((J149*R149/2.5)*I149*H149)+((E149*F149*J149*R149*I149*H149)/12500000))/3*1000,"")</f>
        <v/>
      </c>
    </row>
    <row r="150">
      <c r="B150" s="6" t="inlineStr">
        <is>
          <t xml:space="preserve">  ↳ GunboatMissile</t>
        </is>
      </c>
      <c r="C150" s="6" t="inlineStr">
        <is>
          <t>Armament@Ground</t>
        </is>
      </c>
      <c r="K150" s="5" t="n">
        <v>18000</v>
      </c>
      <c r="L150" s="5" t="n">
        <v>33</v>
      </c>
      <c r="M150" s="5" t="n">
        <v>2</v>
      </c>
      <c r="N150" s="5" t="n">
        <v>11</v>
      </c>
      <c r="O150" s="5" t="n">
        <v>6666</v>
      </c>
      <c r="P150" s="5" t="n">
        <v>1</v>
      </c>
      <c r="Q150">
        <f>L150+IF(M150&gt;1,N(N150)*(M150-1),0)</f>
        <v/>
      </c>
      <c r="R150">
        <f>IFERROR(K150*MAX(M150,1)/Q150*P150,0)</f>
        <v/>
      </c>
      <c r="AA150" s="6" t="inlineStr">
        <is>
          <t>^MediumMissile</t>
        </is>
      </c>
    </row>
    <row r="151">
      <c r="B151" s="6" t="inlineStr">
        <is>
          <t xml:space="preserve">  ↳ GunboatMissileAMT</t>
        </is>
      </c>
      <c r="C151" s="6" t="inlineStr">
        <is>
          <t>Armament@AdvancedMissileTargeting</t>
        </is>
      </c>
      <c r="K151" s="5" t="n">
        <v>18000</v>
      </c>
      <c r="L151" s="5" t="n">
        <v>33</v>
      </c>
      <c r="M151" s="5" t="n">
        <v>2</v>
      </c>
      <c r="N151" s="5" t="n">
        <v>11</v>
      </c>
      <c r="O151" s="5" t="n">
        <v>6666</v>
      </c>
      <c r="P151" s="5" t="n">
        <v>1</v>
      </c>
      <c r="Q151">
        <f>L151+IF(M151&gt;1,N(N151)*(M151-1),0)</f>
        <v/>
      </c>
      <c r="R151">
        <f>IFERROR(K151*MAX(M151,1)/Q151*P151,0)</f>
        <v/>
      </c>
      <c r="AA151" s="6" t="inlineStr">
        <is>
          <t>^MediumMissile, ^AMTProjectile</t>
        </is>
      </c>
    </row>
    <row r="152">
      <c r="B152" s="6" t="inlineStr">
        <is>
          <t xml:space="preserve">  ↳ DepthCharge</t>
        </is>
      </c>
      <c r="C152" s="6" t="inlineStr">
        <is>
          <t>Armament@DC1</t>
        </is>
      </c>
      <c r="K152" s="5" t="n">
        <v>60000</v>
      </c>
      <c r="L152" s="5" t="n">
        <v>60</v>
      </c>
      <c r="M152" s="5" t="n">
        <v>1</v>
      </c>
      <c r="N152" s="5" t="n"/>
      <c r="O152" s="5" t="n">
        <v>6000</v>
      </c>
      <c r="P152" s="5" t="n">
        <v>1</v>
      </c>
      <c r="Q152">
        <f>L152+IF(M152&gt;1,N(N152)*(M152-1),0)</f>
        <v/>
      </c>
      <c r="R152">
        <f>IFERROR(K152*MAX(M152,1)/Q152*P152,0)</f>
        <v/>
      </c>
      <c r="AA152" s="6" t="inlineStr">
        <is>
          <t>^Grenade</t>
        </is>
      </c>
    </row>
    <row r="153">
      <c r="B153" s="6" t="inlineStr">
        <is>
          <t xml:space="preserve">  ↳ DepthCharge</t>
        </is>
      </c>
      <c r="C153" s="6" t="inlineStr">
        <is>
          <t>Armament@DC2</t>
        </is>
      </c>
      <c r="K153" s="5" t="n">
        <v>60000</v>
      </c>
      <c r="L153" s="5" t="n">
        <v>60</v>
      </c>
      <c r="M153" s="5" t="n">
        <v>1</v>
      </c>
      <c r="N153" s="5" t="n"/>
      <c r="O153" s="5" t="n">
        <v>6000</v>
      </c>
      <c r="P153" s="5" t="n">
        <v>1</v>
      </c>
      <c r="Q153">
        <f>L153+IF(M153&gt;1,N(N153)*(M153-1),0)</f>
        <v/>
      </c>
      <c r="R153">
        <f>IFERROR(K153*MAX(M153,1)/Q153*P153,0)</f>
        <v/>
      </c>
      <c r="AA153" s="6" t="inlineStr">
        <is>
          <t>^Grenade</t>
        </is>
      </c>
    </row>
    <row r="154">
      <c r="A154" t="inlineStr">
        <is>
          <t>tiberiandawn</t>
        </is>
      </c>
      <c r="B154" t="inlineStr">
        <is>
          <t>LST</t>
        </is>
      </c>
      <c r="C154" t="inlineStr">
        <is>
          <t>Landing Craft</t>
        </is>
      </c>
      <c r="D154" t="inlineStr"/>
      <c r="E154" s="5" t="n">
        <v>75000</v>
      </c>
      <c r="F154" s="5" t="n">
        <v>125</v>
      </c>
      <c r="G154" t="inlineStr">
        <is>
          <t>Medium</t>
        </is>
      </c>
      <c r="H154" s="5" t="n">
        <v>1</v>
      </c>
      <c r="I154" s="5" t="n">
        <v>1</v>
      </c>
      <c r="J154" s="5" t="n">
        <v>1</v>
      </c>
      <c r="W154" s="5" t="n">
        <v>500</v>
      </c>
    </row>
    <row r="155">
      <c r="A155" t="inlineStr">
        <is>
          <t>tiberiandawn</t>
        </is>
      </c>
      <c r="B155" t="inlineStr">
        <is>
          <t>gdicarrier</t>
        </is>
      </c>
      <c r="C155" t="inlineStr">
        <is>
          <t>GDI Super Carrier</t>
        </is>
      </c>
      <c r="D155" t="inlineStr"/>
      <c r="E155" s="5" t="n">
        <v>300000</v>
      </c>
      <c r="F155" s="5" t="n">
        <v>50</v>
      </c>
      <c r="G155" t="inlineStr">
        <is>
          <t>Superheavy</t>
        </is>
      </c>
      <c r="H155" s="5" t="n">
        <v>1</v>
      </c>
      <c r="I155" s="5" t="n">
        <v>1</v>
      </c>
      <c r="J155" s="5" t="n">
        <v>1</v>
      </c>
      <c r="O155">
        <f>MAX(O156)</f>
        <v/>
      </c>
      <c r="R155">
        <f>R156</f>
        <v/>
      </c>
      <c r="S155">
        <f>(E155/100000+F155/100+(O155/1000)*J155/5+R155/200)*200*I155*H155</f>
        <v/>
      </c>
      <c r="T155">
        <f>((E155*F155/25000)+((O155/1000)*J155*R155/2.5))*I155*H155</f>
        <v/>
      </c>
      <c r="U155">
        <f>(E155*F155*(O155/1000)*J155*R155*I155*H155)/12500000</f>
        <v/>
      </c>
      <c r="V155">
        <f>(S155+T155+U155)/3</f>
        <v/>
      </c>
      <c r="W155" s="5" t="n">
        <v>4000</v>
      </c>
      <c r="X155">
        <f>IFERROR(V155-W155,"")</f>
        <v/>
      </c>
      <c r="Y155">
        <f>IFERROR(ABS(X155)/MAX(W155,1),"")</f>
        <v/>
      </c>
      <c r="Z155">
        <f>IFERROR((W155-(((E155/100000+F155/100+R155/200)*200*I155*H155)+((E155*F155/25000)*I155*H155))/3)/(((J155/5)*200*I155*H155)+((J155*R155/2.5)*I155*H155)+((E155*F155*J155*R155*I155*H155)/12500000))/3*1000,"")</f>
        <v/>
      </c>
    </row>
    <row r="156">
      <c r="B156" s="6" t="inlineStr">
        <is>
          <t xml:space="preserve">  ↳ JapanCarrierTarget</t>
        </is>
      </c>
      <c r="C156" s="6" t="inlineStr">
        <is>
          <t>Armament@PRIMARY</t>
        </is>
      </c>
      <c r="K156" s="5" t="n"/>
      <c r="L156" s="5" t="n">
        <v>25</v>
      </c>
      <c r="M156" s="5" t="n">
        <v>1</v>
      </c>
      <c r="N156" s="5" t="n"/>
      <c r="O156" s="5" t="n">
        <v>20000</v>
      </c>
      <c r="P156" s="5" t="n">
        <v>1</v>
      </c>
      <c r="Q156">
        <f>L156+IF(M156&gt;1,N(N156)*(M156-1),0)</f>
        <v/>
      </c>
      <c r="R156">
        <f>IFERROR(K156*MAX(M156,1)/Q156*P156,0)</f>
        <v/>
      </c>
      <c r="AA156" s="6" t="inlineStr"/>
    </row>
    <row r="157">
      <c r="A157" s="3" t="inlineStr">
        <is>
          <t>BUILDINGS</t>
        </is>
      </c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>
      <c r="A158" t="inlineStr">
        <is>
          <t>tiberiandawn</t>
        </is>
      </c>
      <c r="B158" t="inlineStr">
        <is>
          <t>CNCSYRD</t>
        </is>
      </c>
      <c r="C158" t="inlineStr">
        <is>
          <t>GDI Naval Yard</t>
        </is>
      </c>
      <c r="D158" t="inlineStr"/>
      <c r="E158" s="5" t="n">
        <v>600000</v>
      </c>
      <c r="F158" s="5" t="n"/>
      <c r="G158" t="inlineStr">
        <is>
          <t>Concrete</t>
        </is>
      </c>
      <c r="H158" s="5" t="n">
        <v>1</v>
      </c>
      <c r="I158" s="5" t="n">
        <v>1</v>
      </c>
      <c r="J158" s="5" t="n">
        <v>1</v>
      </c>
      <c r="W158" s="5" t="n">
        <v>3000</v>
      </c>
    </row>
    <row r="159">
      <c r="A159" t="inlineStr">
        <is>
          <t>tiberiandawn</t>
        </is>
      </c>
      <c r="B159" t="inlineStr">
        <is>
          <t>td_gdi_advancedcommunicationscenter</t>
        </is>
      </c>
      <c r="C159" t="inlineStr">
        <is>
          <t>Advanced Communications Center</t>
        </is>
      </c>
      <c r="D159" t="inlineStr"/>
      <c r="E159" s="5" t="n">
        <v>1000000</v>
      </c>
      <c r="F159" s="5" t="n"/>
      <c r="G159" t="inlineStr">
        <is>
          <t>Concrete</t>
        </is>
      </c>
      <c r="H159" s="5" t="n">
        <v>1</v>
      </c>
      <c r="I159" s="5" t="n">
        <v>1</v>
      </c>
      <c r="J159" s="5" t="n">
        <v>1</v>
      </c>
      <c r="W159" s="5" t="n">
        <v>10000</v>
      </c>
    </row>
    <row r="160">
      <c r="A160" t="inlineStr">
        <is>
          <t>tiberiandawn</t>
        </is>
      </c>
      <c r="B160" t="inlineStr">
        <is>
          <t>td_gdi_advancedguardtower</t>
        </is>
      </c>
      <c r="C160" t="inlineStr">
        <is>
          <t>Advanced Guard Tower</t>
        </is>
      </c>
      <c r="D160" t="inlineStr"/>
      <c r="E160" s="5" t="n">
        <v>140000</v>
      </c>
      <c r="F160" s="5" t="n"/>
      <c r="G160" t="inlineStr">
        <is>
          <t>Steel</t>
        </is>
      </c>
      <c r="H160" s="5" t="n">
        <v>1</v>
      </c>
      <c r="I160" s="5" t="n">
        <v>0.325</v>
      </c>
      <c r="J160" s="5" t="n">
        <v>1</v>
      </c>
      <c r="W160" s="5" t="n">
        <v>1600</v>
      </c>
    </row>
    <row r="161">
      <c r="B161" s="6" t="inlineStr">
        <is>
          <t xml:space="preserve">  ↳ TowerMissile</t>
        </is>
      </c>
      <c r="C161" s="6" t="inlineStr">
        <is>
          <t>Armament@PRIMARY</t>
        </is>
      </c>
      <c r="K161" s="5" t="n">
        <v>2000</v>
      </c>
      <c r="L161" s="5" t="n">
        <v>25</v>
      </c>
      <c r="M161" s="5" t="n">
        <v>2</v>
      </c>
      <c r="N161" s="5" t="n">
        <v>5</v>
      </c>
      <c r="O161" s="5" t="n">
        <v>8772</v>
      </c>
      <c r="P161" s="5" t="n">
        <v>1</v>
      </c>
      <c r="Q161">
        <f>L161+IF(M161&gt;1,N(N161)*(M161-1),0)</f>
        <v/>
      </c>
      <c r="R161">
        <f>IFERROR(K161*MAX(M161,1)/Q161*P161,0)</f>
        <v/>
      </c>
      <c r="AA161" s="6" t="inlineStr">
        <is>
          <t>^TankDestroyerCannon, ^Grenade, ^ShrapnelWeapon, ^FlakWeapon, ^HeavyAAWeapon, ^HeavyMissile, ^MediumMissile</t>
        </is>
      </c>
    </row>
    <row r="162">
      <c r="B162" s="6" t="inlineStr">
        <is>
          <t xml:space="preserve">  ↳ TowerMissileAMT</t>
        </is>
      </c>
      <c r="C162" s="6" t="inlineStr">
        <is>
          <t>Armament@AdvancedMissileTargeting</t>
        </is>
      </c>
      <c r="K162" s="5" t="n">
        <v>2000</v>
      </c>
      <c r="L162" s="5" t="n">
        <v>25</v>
      </c>
      <c r="M162" s="5" t="n">
        <v>2</v>
      </c>
      <c r="N162" s="5" t="n">
        <v>5</v>
      </c>
      <c r="O162" s="5" t="n">
        <v>8772</v>
      </c>
      <c r="P162" s="5" t="n">
        <v>1</v>
      </c>
      <c r="Q162">
        <f>L162+IF(M162&gt;1,N(N162)*(M162-1),0)</f>
        <v/>
      </c>
      <c r="R162">
        <f>IFERROR(K162*MAX(M162,1)/Q162*P162,0)</f>
        <v/>
      </c>
      <c r="AA162" s="6" t="inlineStr">
        <is>
          <t>^TankDestroyerCannon, ^Grenade, ^ShrapnelWeapon, ^FlakWeapon, ^HeavyAAWeapon, ^HeavyMissile, ^MediumMissile, ^AMTProjectile</t>
        </is>
      </c>
    </row>
    <row r="163">
      <c r="A163" t="inlineStr">
        <is>
          <t>tiberiandawn</t>
        </is>
      </c>
      <c r="B163" t="inlineStr">
        <is>
          <t>td_gdi_barracks</t>
        </is>
      </c>
      <c r="C163" t="inlineStr">
        <is>
          <t>GDI Barracks</t>
        </is>
      </c>
      <c r="D163" t="inlineStr"/>
      <c r="E163" s="5" t="n">
        <v>200000</v>
      </c>
      <c r="F163" s="5" t="n"/>
      <c r="G163" t="inlineStr">
        <is>
          <t>Wood</t>
        </is>
      </c>
      <c r="H163" s="5" t="n">
        <v>1</v>
      </c>
      <c r="I163" s="5" t="n">
        <v>1</v>
      </c>
      <c r="J163" s="5" t="n">
        <v>1</v>
      </c>
      <c r="W163" s="5" t="n">
        <v>1000</v>
      </c>
    </row>
    <row r="164">
      <c r="A164" t="inlineStr">
        <is>
          <t>tiberiandawn</t>
        </is>
      </c>
      <c r="B164" t="inlineStr">
        <is>
          <t>td_gdi_communicationscenter</t>
        </is>
      </c>
      <c r="C164" t="inlineStr">
        <is>
          <t>GDI Communications Center</t>
        </is>
      </c>
      <c r="D164" t="inlineStr"/>
      <c r="E164" s="5" t="n">
        <v>250000</v>
      </c>
      <c r="F164" s="5" t="n"/>
      <c r="G164" t="inlineStr">
        <is>
          <t>Wood</t>
        </is>
      </c>
      <c r="H164" s="5" t="n">
        <v>1</v>
      </c>
      <c r="I164" s="5" t="n">
        <v>1</v>
      </c>
      <c r="J164" s="5" t="n">
        <v>1</v>
      </c>
      <c r="W164" s="5" t="n">
        <v>2500</v>
      </c>
    </row>
    <row r="165">
      <c r="A165" t="inlineStr">
        <is>
          <t>tiberiandawn</t>
        </is>
      </c>
      <c r="B165" t="inlineStr">
        <is>
          <t>td_gdi_constructionyard</t>
        </is>
      </c>
      <c r="C165" t="inlineStr">
        <is>
          <t>GDI Construction Yard</t>
        </is>
      </c>
      <c r="D165" t="inlineStr"/>
      <c r="E165" s="5" t="n">
        <v>1000000</v>
      </c>
      <c r="F165" s="5" t="n"/>
      <c r="G165" t="inlineStr">
        <is>
          <t>Concrete</t>
        </is>
      </c>
      <c r="H165" s="5" t="n">
        <v>1</v>
      </c>
      <c r="I165" s="5" t="n">
        <v>1</v>
      </c>
      <c r="J165" s="5" t="n">
        <v>1</v>
      </c>
      <c r="W165" s="5" t="n">
        <v>5000</v>
      </c>
    </row>
    <row r="166">
      <c r="A166" t="inlineStr">
        <is>
          <t>tiberiandawn</t>
        </is>
      </c>
      <c r="B166" t="inlineStr">
        <is>
          <t>td_gdi_guardtower</t>
        </is>
      </c>
      <c r="C166" t="inlineStr">
        <is>
          <t>GDI Guard Tower</t>
        </is>
      </c>
      <c r="D166" t="inlineStr"/>
      <c r="E166" s="5" t="n">
        <v>60000</v>
      </c>
      <c r="F166" s="5" t="n"/>
      <c r="G166" t="inlineStr">
        <is>
          <t>Concrete</t>
        </is>
      </c>
      <c r="H166" s="5" t="n">
        <v>1</v>
      </c>
      <c r="I166" s="5" t="n">
        <v>1</v>
      </c>
      <c r="J166" s="5" t="n">
        <v>1</v>
      </c>
      <c r="W166" s="5" t="n">
        <v>500</v>
      </c>
    </row>
    <row r="167">
      <c r="B167" s="6" t="inlineStr">
        <is>
          <t xml:space="preserve">  ↳ HighV</t>
        </is>
      </c>
      <c r="C167" s="6" t="inlineStr">
        <is>
          <t>Armament</t>
        </is>
      </c>
      <c r="K167" s="5" t="n">
        <v>2000</v>
      </c>
      <c r="L167" s="5" t="n">
        <v>22</v>
      </c>
      <c r="M167" s="5" t="n">
        <v>4</v>
      </c>
      <c r="N167" s="5" t="n">
        <v>2</v>
      </c>
      <c r="O167" s="5" t="n">
        <v>6720</v>
      </c>
      <c r="P167" s="5" t="n">
        <v>1</v>
      </c>
      <c r="Q167">
        <f>L167+IF(M167&gt;1,N(N167)*(M167-1),0)</f>
        <v/>
      </c>
      <c r="R167">
        <f>IFERROR(K167*MAX(M167,1)/Q167*P167,0)</f>
        <v/>
      </c>
      <c r="AA167" s="6" t="inlineStr">
        <is>
          <t>^SmallArms, ^Chaingun</t>
        </is>
      </c>
    </row>
    <row r="168">
      <c r="B168" s="6" t="inlineStr">
        <is>
          <t xml:space="preserve">  ↳ HighVAP</t>
        </is>
      </c>
      <c r="C168" s="6" t="inlineStr">
        <is>
          <t>Armament@Upgrade</t>
        </is>
      </c>
      <c r="K168" s="5" t="n">
        <v>4000</v>
      </c>
      <c r="L168" s="5" t="n">
        <v>22</v>
      </c>
      <c r="M168" s="5" t="n">
        <v>4</v>
      </c>
      <c r="N168" s="5" t="n">
        <v>2</v>
      </c>
      <c r="O168" s="5" t="n">
        <v>6720</v>
      </c>
      <c r="P168" s="5" t="n">
        <v>1</v>
      </c>
      <c r="Q168">
        <f>L168+IF(M168&gt;1,N(N168)*(M168-1),0)</f>
        <v/>
      </c>
      <c r="R168">
        <f>IFERROR(K168*MAX(M168,1)/Q168*P168,0)</f>
        <v/>
      </c>
      <c r="AA168" s="6" t="inlineStr">
        <is>
          <t>^Chaingun</t>
        </is>
      </c>
    </row>
    <row r="169">
      <c r="A169" t="inlineStr">
        <is>
          <t>tiberiandawn</t>
        </is>
      </c>
      <c r="B169" t="inlineStr">
        <is>
          <t>td_gdi_helipad</t>
        </is>
      </c>
      <c r="C169" t="inlineStr">
        <is>
          <t>GDI Helipad</t>
        </is>
      </c>
      <c r="D169" t="inlineStr"/>
      <c r="E169" s="5" t="n">
        <v>300000</v>
      </c>
      <c r="F169" s="5" t="n"/>
      <c r="G169" t="inlineStr">
        <is>
          <t>Wood</t>
        </is>
      </c>
      <c r="H169" s="5" t="n">
        <v>1</v>
      </c>
      <c r="I169" s="5" t="n">
        <v>1</v>
      </c>
      <c r="J169" s="5" t="n">
        <v>1</v>
      </c>
      <c r="W169" s="5" t="n">
        <v>1500</v>
      </c>
    </row>
    <row r="170">
      <c r="A170" t="inlineStr">
        <is>
          <t>tiberiandawn</t>
        </is>
      </c>
      <c r="B170" t="inlineStr">
        <is>
          <t>td_gdi_ioncannonuplink</t>
        </is>
      </c>
      <c r="C170" t="inlineStr">
        <is>
          <t>Ion Cannon Uplink</t>
        </is>
      </c>
      <c r="D170" t="inlineStr"/>
      <c r="E170" s="5" t="n"/>
      <c r="F170" s="5" t="n"/>
      <c r="H170" s="5" t="n">
        <v>1</v>
      </c>
      <c r="I170" s="5" t="n">
        <v>1</v>
      </c>
      <c r="J170" s="5" t="n">
        <v>1</v>
      </c>
      <c r="W170" s="5" t="n">
        <v>5000</v>
      </c>
    </row>
    <row r="171">
      <c r="A171" t="inlineStr">
        <is>
          <t>tiberiandawn</t>
        </is>
      </c>
      <c r="B171" t="inlineStr">
        <is>
          <t>td_gdi_repairfacility</t>
        </is>
      </c>
      <c r="C171" t="inlineStr">
        <is>
          <t>GDI Repair Facility</t>
        </is>
      </c>
      <c r="D171" t="inlineStr"/>
      <c r="E171" s="5" t="n">
        <v>250000</v>
      </c>
      <c r="F171" s="5" t="n"/>
      <c r="G171" t="inlineStr">
        <is>
          <t>Concrete</t>
        </is>
      </c>
      <c r="H171" s="5" t="n">
        <v>1</v>
      </c>
      <c r="I171" s="5" t="n">
        <v>1</v>
      </c>
      <c r="J171" s="5" t="n">
        <v>1</v>
      </c>
      <c r="W171" s="5" t="n">
        <v>1000</v>
      </c>
    </row>
    <row r="172">
      <c r="A172" t="inlineStr">
        <is>
          <t>tiberiandawn</t>
        </is>
      </c>
      <c r="B172" t="inlineStr">
        <is>
          <t>td_gdi_skyshield</t>
        </is>
      </c>
      <c r="C172" t="inlineStr">
        <is>
          <t>Skyshield</t>
        </is>
      </c>
      <c r="D172" t="inlineStr"/>
      <c r="E172" s="5" t="n">
        <v>93000</v>
      </c>
      <c r="F172" s="5" t="n"/>
      <c r="G172" t="inlineStr">
        <is>
          <t>Concrete</t>
        </is>
      </c>
      <c r="H172" s="5" t="n">
        <v>1</v>
      </c>
      <c r="I172" s="5" t="n">
        <v>0.225</v>
      </c>
      <c r="J172" s="5" t="n">
        <v>1</v>
      </c>
      <c r="W172" s="5" t="n">
        <v>900</v>
      </c>
    </row>
    <row r="173">
      <c r="B173" s="6" t="inlineStr">
        <is>
          <t xml:space="preserve">  ↳ SkyshieldCannon</t>
        </is>
      </c>
      <c r="C173" s="6" t="inlineStr">
        <is>
          <t>Armament</t>
        </is>
      </c>
      <c r="K173" s="5" t="n">
        <v>2000</v>
      </c>
      <c r="L173" s="5" t="n">
        <v>11</v>
      </c>
      <c r="M173" s="5" t="n">
        <v>1</v>
      </c>
      <c r="N173" s="5" t="n"/>
      <c r="O173" s="5" t="n">
        <v>13800</v>
      </c>
      <c r="P173" s="5" t="n">
        <v>1</v>
      </c>
      <c r="Q173">
        <f>L173+IF(M173&gt;1,N(N173)*(M173-1),0)</f>
        <v/>
      </c>
      <c r="R173">
        <f>IFERROR(K173*MAX(M173,1)/Q173*P173,0)</f>
        <v/>
      </c>
      <c r="AA173" s="6" t="inlineStr">
        <is>
          <t>^SmallArms, ^LightMissile, ^Chaingun, ^FlakWeapon</t>
        </is>
      </c>
    </row>
    <row r="174">
      <c r="A174" t="inlineStr">
        <is>
          <t>tiberiandawn</t>
        </is>
      </c>
      <c r="B174" t="inlineStr">
        <is>
          <t>td_gdi_tiberiumrefinery</t>
        </is>
      </c>
      <c r="C174" t="inlineStr">
        <is>
          <t>GDI Tiberium Refinery</t>
        </is>
      </c>
      <c r="D174" t="inlineStr"/>
      <c r="E174" s="5" t="n">
        <v>300000</v>
      </c>
      <c r="F174" s="5" t="n"/>
      <c r="G174" t="inlineStr">
        <is>
          <t>Concrete</t>
        </is>
      </c>
      <c r="H174" s="5" t="n">
        <v>1</v>
      </c>
      <c r="I174" s="5" t="n">
        <v>1</v>
      </c>
      <c r="J174" s="5" t="n">
        <v>1</v>
      </c>
      <c r="W174" s="5" t="n">
        <v>3000</v>
      </c>
    </row>
    <row r="175">
      <c r="A175" t="inlineStr">
        <is>
          <t>tiberiandawn</t>
        </is>
      </c>
      <c r="B175" t="inlineStr">
        <is>
          <t>td_gdi_weaponsfactory</t>
        </is>
      </c>
      <c r="C175" t="inlineStr">
        <is>
          <t>GDI Weapons Factory</t>
        </is>
      </c>
      <c r="D175" t="inlineStr"/>
      <c r="E175" s="5" t="n">
        <v>400000</v>
      </c>
      <c r="F175" s="5" t="n"/>
      <c r="G175" t="inlineStr">
        <is>
          <t>Concrete</t>
        </is>
      </c>
      <c r="H175" s="5" t="n">
        <v>1</v>
      </c>
      <c r="I175" s="5" t="n">
        <v>1</v>
      </c>
      <c r="J175" s="5" t="n">
        <v>1</v>
      </c>
      <c r="W175" s="5" t="n">
        <v>2000</v>
      </c>
    </row>
    <row r="176">
      <c r="A176" s="3" t="inlineStr">
        <is>
          <t>UPGRADES</t>
        </is>
      </c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>
      <c r="A177" t="inlineStr">
        <is>
          <t>tiberiandawn</t>
        </is>
      </c>
      <c r="B177" t="inlineStr">
        <is>
          <t>td_gdi_upgrade_advancedmissiletargeting</t>
        </is>
      </c>
      <c r="C177" t="inlineStr">
        <is>
          <t>Advanced Missile Targeting</t>
        </is>
      </c>
      <c r="D177" t="inlineStr"/>
      <c r="E177" s="5" t="n"/>
      <c r="F177" s="5" t="n"/>
      <c r="H177" s="5" t="n">
        <v>1</v>
      </c>
      <c r="I177" s="5" t="n">
        <v>1</v>
      </c>
      <c r="J177" s="5" t="n">
        <v>1</v>
      </c>
      <c r="W177" s="5" t="n">
        <v>7500</v>
      </c>
    </row>
    <row r="178">
      <c r="A178" t="inlineStr">
        <is>
          <t>tiberiandawn</t>
        </is>
      </c>
      <c r="B178" t="inlineStr">
        <is>
          <t>td_gdi_upgrade_armorpiercingbullets</t>
        </is>
      </c>
      <c r="C178" t="inlineStr">
        <is>
          <t>Armor Piercing Bullets</t>
        </is>
      </c>
      <c r="D178" t="inlineStr"/>
      <c r="E178" s="5" t="n"/>
      <c r="F178" s="5" t="n"/>
      <c r="H178" s="5" t="n">
        <v>1</v>
      </c>
      <c r="I178" s="5" t="n">
        <v>1</v>
      </c>
      <c r="J178" s="5" t="n">
        <v>1</v>
      </c>
      <c r="W178" s="5" t="n">
        <v>5000</v>
      </c>
    </row>
    <row r="179">
      <c r="A179" t="inlineStr">
        <is>
          <t>tiberiandawn</t>
        </is>
      </c>
      <c r="B179" t="inlineStr">
        <is>
          <t>td_gdi_upgrade_cuttingedgeequipment</t>
        </is>
      </c>
      <c r="C179" t="inlineStr">
        <is>
          <t>Cutting Edge Equipment</t>
        </is>
      </c>
      <c r="D179" t="inlineStr"/>
      <c r="E179" s="5" t="n"/>
      <c r="F179" s="5" t="n"/>
      <c r="H179" s="5" t="n">
        <v>1</v>
      </c>
      <c r="I179" s="5" t="n">
        <v>1</v>
      </c>
      <c r="J179" s="5" t="n">
        <v>1</v>
      </c>
      <c r="W179" s="5" t="n">
        <v>7500</v>
      </c>
    </row>
    <row r="180">
      <c r="A180" t="inlineStr">
        <is>
          <t>tiberiandawn</t>
        </is>
      </c>
      <c r="B180" t="inlineStr">
        <is>
          <t>td_gdi_upgrade_heavyaircraftarmorplating</t>
        </is>
      </c>
      <c r="C180" t="inlineStr">
        <is>
          <t>Heavy Aircraft Armor Plating</t>
        </is>
      </c>
      <c r="D180" t="inlineStr"/>
      <c r="E180" s="5" t="n"/>
      <c r="F180" s="5" t="n"/>
      <c r="H180" s="5" t="n">
        <v>1</v>
      </c>
      <c r="I180" s="5" t="n">
        <v>1</v>
      </c>
      <c r="J180" s="5" t="n">
        <v>1</v>
      </c>
      <c r="W180" s="5" t="n">
        <v>7500</v>
      </c>
    </row>
    <row r="181">
      <c r="A181" t="inlineStr">
        <is>
          <t>tiberiandawn</t>
        </is>
      </c>
      <c r="B181" t="inlineStr">
        <is>
          <t>td_gdi_upgrade_highvelocitycannons</t>
        </is>
      </c>
      <c r="C181" t="inlineStr">
        <is>
          <t>High Velocity Cannons</t>
        </is>
      </c>
      <c r="D181" t="inlineStr"/>
      <c r="E181" s="5" t="n"/>
      <c r="F181" s="5" t="n"/>
      <c r="H181" s="5" t="n">
        <v>1</v>
      </c>
      <c r="I181" s="5" t="n">
        <v>1</v>
      </c>
      <c r="J181" s="5" t="n">
        <v>1</v>
      </c>
      <c r="W181" s="5" t="n">
        <v>10000</v>
      </c>
    </row>
    <row r="182">
      <c r="A182" t="inlineStr">
        <is>
          <t>tiberiandawn</t>
        </is>
      </c>
      <c r="B182" t="inlineStr">
        <is>
          <t>td_gdi_upgrade_lightweightarmorplating</t>
        </is>
      </c>
      <c r="C182" t="inlineStr">
        <is>
          <t>Lightweight Armor Plating</t>
        </is>
      </c>
      <c r="D182" t="inlineStr"/>
      <c r="E182" s="5" t="n"/>
      <c r="F182" s="5" t="n"/>
      <c r="H182" s="5" t="n">
        <v>1</v>
      </c>
      <c r="I182" s="5" t="n">
        <v>1</v>
      </c>
      <c r="J182" s="5" t="n">
        <v>1</v>
      </c>
      <c r="W182" s="5" t="n">
        <v>12500</v>
      </c>
    </row>
    <row r="183">
      <c r="A183" t="inlineStr">
        <is>
          <t>tiberiandawn</t>
        </is>
      </c>
      <c r="B183" t="inlineStr">
        <is>
          <t>td_gdi_upgrade_longrangesensors</t>
        </is>
      </c>
      <c r="C183" t="inlineStr">
        <is>
          <t>Long Range Sensors</t>
        </is>
      </c>
      <c r="D183" t="inlineStr"/>
      <c r="E183" s="5" t="n"/>
      <c r="F183" s="5" t="n"/>
      <c r="H183" s="5" t="n">
        <v>1</v>
      </c>
      <c r="I183" s="5" t="n">
        <v>1</v>
      </c>
      <c r="J183" s="5" t="n">
        <v>1</v>
      </c>
      <c r="W183" s="5" t="n">
        <v>5000</v>
      </c>
    </row>
    <row r="184">
      <c r="A184" t="inlineStr">
        <is>
          <t>tiberiandawn</t>
        </is>
      </c>
      <c r="B184" t="inlineStr">
        <is>
          <t>td_gdi_upgrade_unlocka10airstrike</t>
        </is>
      </c>
      <c r="C184" t="inlineStr">
        <is>
          <t>Unlock A10 Airstrike</t>
        </is>
      </c>
      <c r="D184" t="inlineStr"/>
      <c r="E184" s="5" t="n"/>
      <c r="F184" s="5" t="n"/>
      <c r="H184" s="5" t="n">
        <v>1</v>
      </c>
      <c r="I184" s="5" t="n">
        <v>1</v>
      </c>
      <c r="J184" s="5" t="n">
        <v>1</v>
      </c>
      <c r="W184" s="5" t="n">
        <v>5000</v>
      </c>
    </row>
    <row r="185">
      <c r="A185" t="inlineStr">
        <is>
          <t>tiberiandawn</t>
        </is>
      </c>
      <c r="B185" t="inlineStr">
        <is>
          <t>team_upgrade.up_lightweightarmorplating</t>
        </is>
      </c>
      <c r="C185" t="inlineStr">
        <is>
          <t>Lightweight Armor Plating</t>
        </is>
      </c>
      <c r="D185" t="inlineStr"/>
      <c r="E185" s="5" t="n"/>
      <c r="F185" s="5" t="n"/>
      <c r="H185" s="5" t="n">
        <v>1</v>
      </c>
      <c r="I185" s="5" t="n">
        <v>1</v>
      </c>
      <c r="J185" s="5" t="n">
        <v>1</v>
      </c>
      <c r="W185" s="5" t="n"/>
    </row>
    <row r="186">
      <c r="A186" s="3" t="inlineStr">
        <is>
          <t>PROMOTIONS</t>
        </is>
      </c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>
      <c r="A187" t="inlineStr">
        <is>
          <t>tiberiandawn</t>
        </is>
      </c>
      <c r="B187" t="inlineStr">
        <is>
          <t>td_gdi_promotion_unlockassaultapc</t>
        </is>
      </c>
      <c r="C187" t="inlineStr">
        <is>
          <t>Unlock Assault APC</t>
        </is>
      </c>
      <c r="D187" t="inlineStr"/>
      <c r="E187" s="5" t="n"/>
      <c r="F187" s="5" t="n"/>
      <c r="H187" s="5" t="n">
        <v>1</v>
      </c>
      <c r="I187" s="5" t="n">
        <v>1</v>
      </c>
      <c r="J187" s="5" t="n">
        <v>1</v>
      </c>
      <c r="W187" s="5" t="n"/>
    </row>
    <row r="188">
      <c r="A188" t="inlineStr">
        <is>
          <t>tiberiandawn</t>
        </is>
      </c>
      <c r="B188" t="inlineStr">
        <is>
          <t>td_gdi_promotion_unlockempgrenadier</t>
        </is>
      </c>
      <c r="C188" t="inlineStr">
        <is>
          <t>Unlock EMP Grenadier</t>
        </is>
      </c>
      <c r="D188" t="inlineStr"/>
      <c r="E188" s="5" t="n"/>
      <c r="F188" s="5" t="n"/>
      <c r="H188" s="5" t="n">
        <v>1</v>
      </c>
      <c r="I188" s="5" t="n">
        <v>1</v>
      </c>
      <c r="J188" s="5" t="n">
        <v>1</v>
      </c>
      <c r="W188" s="5" t="n"/>
    </row>
    <row r="189">
      <c r="A189" t="inlineStr">
        <is>
          <t>tiberiandawn</t>
        </is>
      </c>
      <c r="B189" t="inlineStr">
        <is>
          <t>td_gdi_promotion_unlockfirehawk</t>
        </is>
      </c>
      <c r="C189" t="inlineStr">
        <is>
          <t>Unlock Firehawk</t>
        </is>
      </c>
      <c r="D189" t="inlineStr"/>
      <c r="E189" s="5" t="n"/>
      <c r="F189" s="5" t="n"/>
      <c r="H189" s="5" t="n">
        <v>1</v>
      </c>
      <c r="I189" s="5" t="n">
        <v>1</v>
      </c>
      <c r="J189" s="5" t="n">
        <v>1</v>
      </c>
      <c r="W189" s="5" t="n"/>
    </row>
    <row r="190">
      <c r="A190" t="inlineStr">
        <is>
          <t>tiberiandawn</t>
        </is>
      </c>
      <c r="B190" t="inlineStr">
        <is>
          <t>td_gdi_promotion_unlockgdidefenserig</t>
        </is>
      </c>
      <c r="C190" t="inlineStr">
        <is>
          <t>Unlock GDI Defense Rig</t>
        </is>
      </c>
      <c r="D190" t="inlineStr"/>
      <c r="E190" s="5" t="n"/>
      <c r="F190" s="5" t="n"/>
      <c r="H190" s="5" t="n">
        <v>1</v>
      </c>
      <c r="I190" s="5" t="n">
        <v>1</v>
      </c>
      <c r="J190" s="5" t="n">
        <v>1</v>
      </c>
      <c r="W190" s="5" t="n"/>
    </row>
    <row r="191">
      <c r="A191" t="inlineStr">
        <is>
          <t>tiberiandawn</t>
        </is>
      </c>
      <c r="B191" t="inlineStr">
        <is>
          <t>td_gdi_promotion_unlockgdiofficer</t>
        </is>
      </c>
      <c r="C191" t="inlineStr">
        <is>
          <t>Unlock GDI Officer</t>
        </is>
      </c>
      <c r="D191" t="inlineStr"/>
      <c r="E191" s="5" t="n"/>
      <c r="F191" s="5" t="n"/>
      <c r="H191" s="5" t="n">
        <v>1</v>
      </c>
      <c r="I191" s="5" t="n">
        <v>1</v>
      </c>
      <c r="J191" s="5" t="n">
        <v>1</v>
      </c>
      <c r="W191" s="5" t="n"/>
    </row>
    <row r="192">
      <c r="A192" t="inlineStr">
        <is>
          <t>tiberiandawn</t>
        </is>
      </c>
      <c r="B192" t="inlineStr">
        <is>
          <t>td_gdi_promotion_unlockhavocandexosuit</t>
        </is>
      </c>
      <c r="C192" t="inlineStr">
        <is>
          <t>Unlock Havoc and Exosuit</t>
        </is>
      </c>
      <c r="D192" t="inlineStr"/>
      <c r="E192" s="5" t="n"/>
      <c r="F192" s="5" t="n"/>
      <c r="H192" s="5" t="n">
        <v>1</v>
      </c>
      <c r="I192" s="5" t="n">
        <v>1</v>
      </c>
      <c r="J192" s="5" t="n">
        <v>1</v>
      </c>
      <c r="W192" s="5" t="n"/>
    </row>
    <row r="193">
      <c r="A193" t="inlineStr">
        <is>
          <t>tiberiandawn</t>
        </is>
      </c>
      <c r="B193" t="inlineStr">
        <is>
          <t>td_gdi_promotion_unlockhumveemkii</t>
        </is>
      </c>
      <c r="C193" t="inlineStr">
        <is>
          <t>Unlock Humvee Mk. II</t>
        </is>
      </c>
      <c r="D193" t="inlineStr"/>
      <c r="E193" s="5" t="n"/>
      <c r="F193" s="5" t="n"/>
      <c r="H193" s="5" t="n">
        <v>1</v>
      </c>
      <c r="I193" s="5" t="n">
        <v>1</v>
      </c>
      <c r="J193" s="5" t="n">
        <v>1</v>
      </c>
      <c r="W193" s="5" t="n"/>
    </row>
    <row r="194">
      <c r="A194" t="inlineStr">
        <is>
          <t>tiberiandawn</t>
        </is>
      </c>
      <c r="B194" t="inlineStr">
        <is>
          <t>td_gdi_promotion_unlockmammothtankmk3</t>
        </is>
      </c>
      <c r="C194" t="inlineStr">
        <is>
          <t>Unlock Mammoth Tank Mk3</t>
        </is>
      </c>
      <c r="D194" t="inlineStr"/>
      <c r="E194" s="5" t="n"/>
      <c r="F194" s="5" t="n"/>
      <c r="H194" s="5" t="n">
        <v>1</v>
      </c>
      <c r="I194" s="5" t="n">
        <v>1</v>
      </c>
      <c r="J194" s="5" t="n">
        <v>1</v>
      </c>
      <c r="W194" s="5" t="n"/>
    </row>
    <row r="195">
      <c r="A195" t="inlineStr">
        <is>
          <t>tiberiandawn</t>
        </is>
      </c>
      <c r="B195" t="inlineStr">
        <is>
          <t>td_gdi_promotion_unlockmissilesoldier</t>
        </is>
      </c>
      <c r="C195" t="inlineStr">
        <is>
          <t>Unlock Missile Soldier</t>
        </is>
      </c>
      <c r="D195" t="inlineStr"/>
      <c r="E195" s="5" t="n"/>
      <c r="F195" s="5" t="n"/>
      <c r="H195" s="5" t="n">
        <v>1</v>
      </c>
      <c r="I195" s="5" t="n">
        <v>1</v>
      </c>
      <c r="J195" s="5" t="n">
        <v>1</v>
      </c>
      <c r="W195" s="5" t="n"/>
    </row>
    <row r="196">
      <c r="A196" t="inlineStr">
        <is>
          <t>tiberiandawn</t>
        </is>
      </c>
      <c r="B196" t="inlineStr">
        <is>
          <t>td_gdi_promotion_unlockpredatortank</t>
        </is>
      </c>
      <c r="C196" t="inlineStr">
        <is>
          <t>Unlock Predator Tank</t>
        </is>
      </c>
      <c r="D196" t="inlineStr"/>
      <c r="E196" s="5" t="n"/>
      <c r="F196" s="5" t="n"/>
      <c r="H196" s="5" t="n">
        <v>1</v>
      </c>
      <c r="I196" s="5" t="n">
        <v>1</v>
      </c>
      <c r="J196" s="5" t="n">
        <v>1</v>
      </c>
      <c r="W196" s="5" t="n"/>
    </row>
    <row r="197">
      <c r="A197" t="inlineStr">
        <is>
          <t>tiberiandawn</t>
        </is>
      </c>
      <c r="B197" t="inlineStr">
        <is>
          <t>td_gdi_promotion_unlockshotgunner</t>
        </is>
      </c>
      <c r="C197" t="inlineStr">
        <is>
          <t>Unlock Shotgunner</t>
        </is>
      </c>
      <c r="D197" t="inlineStr"/>
      <c r="E197" s="5" t="n"/>
      <c r="F197" s="5" t="n"/>
      <c r="H197" s="5" t="n">
        <v>1</v>
      </c>
      <c r="I197" s="5" t="n">
        <v>1</v>
      </c>
      <c r="J197" s="5" t="n">
        <v>1</v>
      </c>
      <c r="W197" s="5" t="n"/>
    </row>
    <row r="198">
      <c r="A198" t="inlineStr">
        <is>
          <t>tiberiandawn</t>
        </is>
      </c>
      <c r="B198" t="inlineStr">
        <is>
          <t>td_gdi_promotion_unlocksniper</t>
        </is>
      </c>
      <c r="C198" t="inlineStr">
        <is>
          <t>Unlock Sniper</t>
        </is>
      </c>
      <c r="D198" t="inlineStr"/>
      <c r="E198" s="5" t="n"/>
      <c r="F198" s="5" t="n"/>
      <c r="H198" s="5" t="n">
        <v>1</v>
      </c>
      <c r="I198" s="5" t="n">
        <v>1</v>
      </c>
      <c r="J198" s="5" t="n">
        <v>1</v>
      </c>
      <c r="W198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199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4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tiberiandawn</t>
        </is>
      </c>
      <c r="B3" t="inlineStr">
        <is>
          <t>td_nod_blackhandflamer</t>
        </is>
      </c>
      <c r="C3" t="inlineStr">
        <is>
          <t>Black Hand Flamer</t>
        </is>
      </c>
      <c r="D3" t="inlineStr"/>
      <c r="E3" s="5" t="n">
        <v>36000</v>
      </c>
      <c r="F3" s="5" t="n">
        <v>66</v>
      </c>
      <c r="G3" t="inlineStr">
        <is>
          <t>Plate</t>
        </is>
      </c>
      <c r="H3" s="5" t="n">
        <v>1</v>
      </c>
      <c r="I3" s="5" t="n">
        <v>0.8</v>
      </c>
      <c r="J3" s="5" t="n">
        <v>1.25</v>
      </c>
      <c r="O3">
        <f>MAX(O4)</f>
        <v/>
      </c>
      <c r="R3">
        <f>R4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600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BlackHandFlamer</t>
        </is>
      </c>
      <c r="C4" s="6" t="inlineStr">
        <is>
          <t>Armament@PRIMARY</t>
        </is>
      </c>
      <c r="K4" s="5" t="n">
        <v>4000</v>
      </c>
      <c r="L4" s="5" t="n">
        <v>46</v>
      </c>
      <c r="M4" s="5" t="n">
        <v>6</v>
      </c>
      <c r="N4" s="5" t="n">
        <v>4</v>
      </c>
      <c r="O4" s="5" t="n">
        <v>4988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^MediumFlameWeapon</t>
        </is>
      </c>
    </row>
    <row r="5">
      <c r="B5" s="6" t="inlineStr">
        <is>
          <t xml:space="preserve">  ↳ BlackHandFlamer</t>
        </is>
      </c>
      <c r="C5" s="6" t="inlineStr">
        <is>
          <t>Armament@Garrison</t>
        </is>
      </c>
      <c r="K5" s="5" t="n">
        <v>4000</v>
      </c>
      <c r="L5" s="5" t="n">
        <v>46</v>
      </c>
      <c r="M5" s="5" t="n">
        <v>6</v>
      </c>
      <c r="N5" s="5" t="n">
        <v>4</v>
      </c>
      <c r="O5" s="5" t="n">
        <v>4988</v>
      </c>
      <c r="P5" s="5" t="n">
        <v>1</v>
      </c>
      <c r="Q5">
        <f>L5+IF(M5&gt;1,N(N5)*(M5-1),0)</f>
        <v/>
      </c>
      <c r="R5">
        <f>IFERROR(K5*MAX(M5,1)/Q5*P5,0)</f>
        <v/>
      </c>
      <c r="AA5" s="6" t="inlineStr">
        <is>
          <t>^MediumFlameWeapon</t>
        </is>
      </c>
    </row>
    <row r="6">
      <c r="A6" t="inlineStr">
        <is>
          <t>tiberiandawn</t>
        </is>
      </c>
      <c r="B6" t="inlineStr">
        <is>
          <t>td_nod_chemicalrocketsoldier</t>
        </is>
      </c>
      <c r="C6" t="inlineStr">
        <is>
          <t>Chemical Rocket Soldier</t>
        </is>
      </c>
      <c r="D6" t="inlineStr"/>
      <c r="E6" s="5" t="n">
        <v>18000</v>
      </c>
      <c r="F6" s="5" t="n">
        <v>60</v>
      </c>
      <c r="G6" t="inlineStr">
        <is>
          <t>Flak</t>
        </is>
      </c>
      <c r="H6" s="5" t="n">
        <v>1</v>
      </c>
      <c r="I6" s="5" t="n">
        <v>0.5</v>
      </c>
      <c r="J6" s="5" t="n">
        <v>1</v>
      </c>
      <c r="O6">
        <f>MAX(O7)</f>
        <v/>
      </c>
      <c r="R6">
        <f>R7</f>
        <v/>
      </c>
      <c r="S6">
        <f>(E6/100000+F6/100+(O6/1000)*J6/5+R6/200)*200*I6*H6</f>
        <v/>
      </c>
      <c r="T6">
        <f>((E6*F6/25000)+((O6/1000)*J6*R6/2.5))*I6*H6</f>
        <v/>
      </c>
      <c r="U6">
        <f>(E6*F6*(O6/1000)*J6*R6*I6*H6)/12500000</f>
        <v/>
      </c>
      <c r="V6">
        <f>(S6+T6+U6)/3</f>
        <v/>
      </c>
      <c r="W6" s="5" t="n">
        <v>400</v>
      </c>
      <c r="X6">
        <f>IFERROR(V6-W6,"")</f>
        <v/>
      </c>
      <c r="Y6">
        <f>IFERROR(ABS(X6)/MAX(W6,1),"")</f>
        <v/>
      </c>
      <c r="Z6">
        <f>IFERROR((W6-(((E6/100000+F6/100+R6/200)*200*I6*H6)+((E6*F6/25000)*I6*H6))/3)/(((J6/5)*200*I6*H6)+((J6*R6/2.5)*I6*H6)+((E6*F6*J6*R6*I6*H6)/12500000))/3*1000,"")</f>
        <v/>
      </c>
    </row>
    <row r="7">
      <c r="B7" s="6" t="inlineStr">
        <is>
          <t xml:space="preserve">  ↳ ChemRockets</t>
        </is>
      </c>
      <c r="C7" s="6" t="inlineStr">
        <is>
          <t>Armament@PRIMARY</t>
        </is>
      </c>
      <c r="K7" s="5" t="n">
        <v>12000</v>
      </c>
      <c r="L7" s="5" t="n">
        <v>54</v>
      </c>
      <c r="M7" s="5" t="n">
        <v>1</v>
      </c>
      <c r="N7" s="5" t="n"/>
      <c r="O7" s="5" t="n">
        <v>6006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^Grenade, ^LightChemicalWeapon, ^LightMissile</t>
        </is>
      </c>
    </row>
    <row r="8">
      <c r="B8" s="6" t="inlineStr">
        <is>
          <t xml:space="preserve">  ↳ ChemRockets</t>
        </is>
      </c>
      <c r="C8" s="6" t="inlineStr">
        <is>
          <t>Armament@GARRISONED</t>
        </is>
      </c>
      <c r="K8" s="5" t="n">
        <v>12000</v>
      </c>
      <c r="L8" s="5" t="n">
        <v>54</v>
      </c>
      <c r="M8" s="5" t="n">
        <v>1</v>
      </c>
      <c r="N8" s="5" t="n"/>
      <c r="O8" s="5" t="n">
        <v>6006</v>
      </c>
      <c r="P8" s="5" t="n">
        <v>1</v>
      </c>
      <c r="Q8">
        <f>L8+IF(M8&gt;1,N(N8)*(M8-1),0)</f>
        <v/>
      </c>
      <c r="R8">
        <f>IFERROR(K8*MAX(M8,1)/Q8*P8,0)</f>
        <v/>
      </c>
      <c r="AA8" s="6" t="inlineStr">
        <is>
          <t>^Grenade, ^LightChemicalWeapon, ^LightMissile</t>
        </is>
      </c>
    </row>
    <row r="9">
      <c r="A9" t="inlineStr">
        <is>
          <t>tiberiandawn</t>
        </is>
      </c>
      <c r="B9" t="inlineStr">
        <is>
          <t>td_nod_chemicalwarrior</t>
        </is>
      </c>
      <c r="C9" t="inlineStr">
        <is>
          <t>Chemical Warrior</t>
        </is>
      </c>
      <c r="D9" t="inlineStr"/>
      <c r="E9" s="5" t="n">
        <v>48000</v>
      </c>
      <c r="F9" s="5" t="n">
        <v>48</v>
      </c>
      <c r="G9" t="inlineStr">
        <is>
          <t>Plate</t>
        </is>
      </c>
      <c r="H9" s="5" t="n">
        <v>0.75</v>
      </c>
      <c r="I9" s="5" t="n">
        <v>0.75</v>
      </c>
      <c r="J9" s="5" t="n">
        <v>1</v>
      </c>
      <c r="O9">
        <f>MAX(O10)</f>
        <v/>
      </c>
      <c r="R9">
        <f>R10</f>
        <v/>
      </c>
      <c r="S9">
        <f>(E9/100000+F9/100+(O9/1000)*J9/5+R9/200)*200*I9*H9</f>
        <v/>
      </c>
      <c r="T9">
        <f>((E9*F9/25000)+((O9/1000)*J9*R9/2.5))*I9*H9</f>
        <v/>
      </c>
      <c r="U9">
        <f>(E9*F9*(O9/1000)*J9*R9*I9*H9)/12500000</f>
        <v/>
      </c>
      <c r="V9">
        <f>(S9+T9+U9)/3</f>
        <v/>
      </c>
      <c r="W9" s="5" t="n">
        <v>500</v>
      </c>
      <c r="X9">
        <f>IFERROR(V9-W9,"")</f>
        <v/>
      </c>
      <c r="Y9">
        <f>IFERROR(ABS(X9)/MAX(W9,1),"")</f>
        <v/>
      </c>
      <c r="Z9">
        <f>IFERROR((W9-(((E9/100000+F9/100+R9/200)*200*I9*H9)+((E9*F9/25000)*I9*H9))/3)/(((J9/5)*200*I9*H9)+((J9*R9/2.5)*I9*H9)+((E9*F9*J9*R9*I9*H9)/12500000))/3*1000,"")</f>
        <v/>
      </c>
    </row>
    <row r="10">
      <c r="B10" s="6" t="inlineStr">
        <is>
          <t xml:space="preserve">  ↳ Chemspray</t>
        </is>
      </c>
      <c r="C10" s="6" t="inlineStr">
        <is>
          <t>Armament</t>
        </is>
      </c>
      <c r="K10" s="5" t="n">
        <v>48000</v>
      </c>
      <c r="L10" s="5" t="n">
        <v>48</v>
      </c>
      <c r="M10" s="5" t="n">
        <v>1</v>
      </c>
      <c r="N10" s="5" t="n"/>
      <c r="O10" s="5" t="n">
        <v>3414</v>
      </c>
      <c r="P10" s="5" t="n">
        <v>1</v>
      </c>
      <c r="Q10">
        <f>L10+IF(M10&gt;1,N(N10)*(M10-1),0)</f>
        <v/>
      </c>
      <c r="R10">
        <f>IFERROR(K10*MAX(M10,1)/Q10*P10,0)</f>
        <v/>
      </c>
      <c r="AA10" s="6" t="inlineStr">
        <is>
          <t>^LightChemicalWeapon</t>
        </is>
      </c>
    </row>
    <row r="11">
      <c r="B11" s="6" t="inlineStr">
        <is>
          <t xml:space="preserve">  ↳ Chemspray</t>
        </is>
      </c>
      <c r="C11" s="6" t="inlineStr">
        <is>
          <t>Armament@GARRISONED</t>
        </is>
      </c>
      <c r="K11" s="5" t="n">
        <v>48000</v>
      </c>
      <c r="L11" s="5" t="n">
        <v>48</v>
      </c>
      <c r="M11" s="5" t="n">
        <v>1</v>
      </c>
      <c r="N11" s="5" t="n"/>
      <c r="O11" s="5" t="n">
        <v>3414</v>
      </c>
      <c r="P11" s="5" t="n">
        <v>1</v>
      </c>
      <c r="Q11">
        <f>L11+IF(M11&gt;1,N(N11)*(M11-1),0)</f>
        <v/>
      </c>
      <c r="R11">
        <f>IFERROR(K11*MAX(M11,1)/Q11*P11,0)</f>
        <v/>
      </c>
      <c r="AA11" s="6" t="inlineStr">
        <is>
          <t>^LightChemicalWeapon</t>
        </is>
      </c>
    </row>
    <row r="12">
      <c r="A12" t="inlineStr">
        <is>
          <t>tiberiandawn</t>
        </is>
      </c>
      <c r="B12" t="inlineStr">
        <is>
          <t>td_nod_commando</t>
        </is>
      </c>
      <c r="C12" t="inlineStr">
        <is>
          <t>Nod Commando</t>
        </is>
      </c>
      <c r="D12" t="inlineStr"/>
      <c r="E12" s="5" t="n">
        <v>80000</v>
      </c>
      <c r="F12" s="5" t="n">
        <v>65</v>
      </c>
      <c r="G12" t="inlineStr">
        <is>
          <t>Heroic</t>
        </is>
      </c>
      <c r="H12" s="5" t="n">
        <v>1</v>
      </c>
      <c r="I12" s="5" t="n">
        <v>1</v>
      </c>
      <c r="J12" s="5" t="n">
        <v>1</v>
      </c>
      <c r="O12">
        <f>MAX(O13,O14,O15)</f>
        <v/>
      </c>
      <c r="R12">
        <f>R13+R14+R15</f>
        <v/>
      </c>
      <c r="S12">
        <f>(E12/100000+F12/100+(O12/1000)*J12/5+R12/200)*200*I12*H12</f>
        <v/>
      </c>
      <c r="T12">
        <f>((E12*F12/25000)+((O12/1000)*J12*R12/2.5))*I12*H12</f>
        <v/>
      </c>
      <c r="U12">
        <f>(E12*F12*(O12/1000)*J12*R12*I12*H12)/12500000</f>
        <v/>
      </c>
      <c r="V12">
        <f>(S12+T12+U12)/3</f>
        <v/>
      </c>
      <c r="W12" s="5" t="n">
        <v>3000</v>
      </c>
      <c r="X12">
        <f>IFERROR(V12-W12,"")</f>
        <v/>
      </c>
      <c r="Y12">
        <f>IFERROR(ABS(X12)/MAX(W12,1),"")</f>
        <v/>
      </c>
      <c r="Z12">
        <f>IFERROR((W12-(((E12/100000+F12/100+R12/200)*200*I12*H12)+((E12*F12/25000)*I12*H12))/3)/(((J12/5)*200*I12*H12)+((J12*R12/2.5)*I12*H12)+((E12*F12*J12*R12*I12*H12)/12500000))/3*1000,"")</f>
        <v/>
      </c>
    </row>
    <row r="13">
      <c r="B13" s="6" t="inlineStr">
        <is>
          <t xml:space="preserve">  ↳ TanyaAttach</t>
        </is>
      </c>
      <c r="C13" s="6" t="inlineStr">
        <is>
          <t>Armament@c4</t>
        </is>
      </c>
      <c r="K13" s="5" t="n"/>
      <c r="L13" s="5" t="n">
        <v>20</v>
      </c>
      <c r="M13" s="5" t="n">
        <v>1</v>
      </c>
      <c r="N13" s="5" t="n"/>
      <c r="O13" s="5" t="n">
        <v>2000</v>
      </c>
      <c r="P13" s="5" t="n">
        <v>1</v>
      </c>
      <c r="Q13">
        <f>L13+IF(M13&gt;1,N(N13)*(M13-1),0)</f>
        <v/>
      </c>
      <c r="R13">
        <f>IFERROR(K13*MAX(M13,1)/Q13*P13,0)</f>
        <v/>
      </c>
      <c r="AA13" s="6" t="inlineStr">
        <is>
          <t>IvanAttach</t>
        </is>
      </c>
    </row>
    <row r="14">
      <c r="B14" s="6" t="inlineStr">
        <is>
          <t xml:space="preserve">  ↳ GenericC4</t>
        </is>
      </c>
      <c r="C14" s="6" t="inlineStr">
        <is>
          <t>Armament@c4building</t>
        </is>
      </c>
      <c r="K14" s="5" t="n"/>
      <c r="L14" s="5" t="n">
        <v>20</v>
      </c>
      <c r="M14" s="5" t="n">
        <v>1</v>
      </c>
      <c r="N14" s="5" t="n"/>
      <c r="O14" s="5" t="n">
        <v>2000</v>
      </c>
      <c r="P14" s="5" t="n">
        <v>1</v>
      </c>
      <c r="Q14">
        <f>L14+IF(M14&gt;1,N(N14)*(M14-1),0)</f>
        <v/>
      </c>
      <c r="R14">
        <f>IFERROR(K14*MAX(M14,1)/Q14*P14,0)</f>
        <v/>
      </c>
      <c r="AA14" s="6" t="inlineStr"/>
    </row>
    <row r="15">
      <c r="B15" s="6" t="inlineStr">
        <is>
          <t xml:space="preserve">  ↳ td_gdi_commando_sniper</t>
        </is>
      </c>
      <c r="C15" s="6" t="inlineStr">
        <is>
          <t>Armament</t>
        </is>
      </c>
      <c r="K15" s="5" t="n">
        <v>40000</v>
      </c>
      <c r="L15" s="5" t="n">
        <v>25</v>
      </c>
      <c r="M15" s="5" t="n">
        <v>1</v>
      </c>
      <c r="N15" s="5" t="n"/>
      <c r="O15" s="5" t="n">
        <v>8086</v>
      </c>
      <c r="P15" s="5" t="n">
        <v>1</v>
      </c>
      <c r="Q15">
        <f>L15+IF(M15&gt;1,N(N15)*(M15-1),0)</f>
        <v/>
      </c>
      <c r="R15">
        <f>IFERROR(K15*MAX(M15,1)/Q15*P15,0)</f>
        <v/>
      </c>
      <c r="AA15" s="6" t="inlineStr">
        <is>
          <t>^SniperWeapon</t>
        </is>
      </c>
    </row>
    <row r="16">
      <c r="B16" s="6" t="inlineStr">
        <is>
          <t xml:space="preserve">  ↳ td_gdi_commando_sniper</t>
        </is>
      </c>
      <c r="C16" s="6" t="inlineStr">
        <is>
          <t>Armament@GARRISONED</t>
        </is>
      </c>
      <c r="K16" s="5" t="n">
        <v>40000</v>
      </c>
      <c r="L16" s="5" t="n">
        <v>25</v>
      </c>
      <c r="M16" s="5" t="n">
        <v>1</v>
      </c>
      <c r="N16" s="5" t="n"/>
      <c r="O16" s="5" t="n">
        <v>8086</v>
      </c>
      <c r="P16" s="5" t="n">
        <v>1</v>
      </c>
      <c r="Q16">
        <f>L16+IF(M16&gt;1,N(N16)*(M16-1),0)</f>
        <v/>
      </c>
      <c r="R16">
        <f>IFERROR(K16*MAX(M16,1)/Q16*P16,0)</f>
        <v/>
      </c>
      <c r="AA16" s="6" t="inlineStr">
        <is>
          <t>^SniperWeapon</t>
        </is>
      </c>
    </row>
    <row r="17">
      <c r="A17" t="inlineStr">
        <is>
          <t>tiberiandawn</t>
        </is>
      </c>
      <c r="B17" t="inlineStr">
        <is>
          <t>td_nod_flamethrower</t>
        </is>
      </c>
      <c r="C17" t="inlineStr">
        <is>
          <t>Nod Flamethrower</t>
        </is>
      </c>
      <c r="D17" t="inlineStr"/>
      <c r="E17" s="5" t="n">
        <v>20000</v>
      </c>
      <c r="F17" s="5" t="n">
        <v>60</v>
      </c>
      <c r="G17" t="inlineStr">
        <is>
          <t>Plate</t>
        </is>
      </c>
      <c r="H17" s="5" t="n">
        <v>1</v>
      </c>
      <c r="I17" s="5" t="n">
        <v>0.75</v>
      </c>
      <c r="J17" s="5" t="n">
        <v>1</v>
      </c>
      <c r="O17">
        <f>MAX(O18)</f>
        <v/>
      </c>
      <c r="R17">
        <f>R18</f>
        <v/>
      </c>
      <c r="S17">
        <f>(E17/100000+F17/100+(O17/1000)*J17/5+R17/200)*200*I17*H17</f>
        <v/>
      </c>
      <c r="T17">
        <f>((E17*F17/25000)+((O17/1000)*J17*R17/2.5))*I17*H17</f>
        <v/>
      </c>
      <c r="U17">
        <f>(E17*F17*(O17/1000)*J17*R17*I17*H17)/12500000</f>
        <v/>
      </c>
      <c r="V17">
        <f>(S17+T17+U17)/3</f>
        <v/>
      </c>
      <c r="W17" s="5" t="n">
        <v>200</v>
      </c>
      <c r="X17">
        <f>IFERROR(V17-W17,"")</f>
        <v/>
      </c>
      <c r="Y17">
        <f>IFERROR(ABS(X17)/MAX(W17,1),"")</f>
        <v/>
      </c>
      <c r="Z17">
        <f>IFERROR((W17-(((E17/100000+F17/100+R17/200)*200*I17*H17)+((E17*F17/25000)*I17*H17))/3)/(((J17/5)*200*I17*H17)+((J17*R17/2.5)*I17*H17)+((E17*F17*J17*R17*I17*H17)/12500000))/3*1000,"")</f>
        <v/>
      </c>
    </row>
    <row r="18">
      <c r="B18" s="6" t="inlineStr">
        <is>
          <t xml:space="preserve">  ↳ Flamethrower</t>
        </is>
      </c>
      <c r="C18" s="6" t="inlineStr">
        <is>
          <t>Armament</t>
        </is>
      </c>
      <c r="K18" s="5" t="n">
        <v>20000</v>
      </c>
      <c r="L18" s="5" t="n">
        <v>60</v>
      </c>
      <c r="M18" s="5" t="n">
        <v>1</v>
      </c>
      <c r="N18" s="5" t="n"/>
      <c r="O18" s="5" t="n">
        <v>2085</v>
      </c>
      <c r="P18" s="5" t="n">
        <v>1</v>
      </c>
      <c r="Q18">
        <f>L18+IF(M18&gt;1,N(N18)*(M18-1),0)</f>
        <v/>
      </c>
      <c r="R18">
        <f>IFERROR(K18*MAX(M18,1)/Q18*P18,0)</f>
        <v/>
      </c>
      <c r="AA18" s="6" t="inlineStr">
        <is>
          <t>^LightFlameWeapon</t>
        </is>
      </c>
    </row>
    <row r="19">
      <c r="B19" s="6" t="inlineStr">
        <is>
          <t xml:space="preserve">  ↳ Flamethrower</t>
        </is>
      </c>
      <c r="C19" s="6" t="inlineStr">
        <is>
          <t>Armament@GARRISONED</t>
        </is>
      </c>
      <c r="K19" s="5" t="n">
        <v>20000</v>
      </c>
      <c r="L19" s="5" t="n">
        <v>60</v>
      </c>
      <c r="M19" s="5" t="n">
        <v>1</v>
      </c>
      <c r="N19" s="5" t="n"/>
      <c r="O19" s="5" t="n">
        <v>2085</v>
      </c>
      <c r="P19" s="5" t="n">
        <v>1</v>
      </c>
      <c r="Q19">
        <f>L19+IF(M19&gt;1,N(N19)*(M19-1),0)</f>
        <v/>
      </c>
      <c r="R19">
        <f>IFERROR(K19*MAX(M19,1)/Q19*P19,0)</f>
        <v/>
      </c>
      <c r="AA19" s="6" t="inlineStr">
        <is>
          <t>^LightFlameWeapon</t>
        </is>
      </c>
    </row>
    <row r="20">
      <c r="A20" t="inlineStr">
        <is>
          <t>tiberiandawn</t>
        </is>
      </c>
      <c r="B20" t="inlineStr">
        <is>
          <t>td_nod_lasercommando</t>
        </is>
      </c>
      <c r="C20" t="inlineStr">
        <is>
          <t>Laser Commando</t>
        </is>
      </c>
      <c r="D20" t="inlineStr"/>
      <c r="E20" s="5" t="n">
        <v>57000</v>
      </c>
      <c r="F20" s="5" t="n">
        <v>79</v>
      </c>
      <c r="G20" t="inlineStr">
        <is>
          <t>Heroic</t>
        </is>
      </c>
      <c r="H20" s="5" t="n">
        <v>0.75</v>
      </c>
      <c r="I20" s="5" t="n">
        <v>1</v>
      </c>
      <c r="J20" s="5" t="n">
        <v>2</v>
      </c>
      <c r="O20">
        <f>MAX(O21,O22,O24)</f>
        <v/>
      </c>
      <c r="R20">
        <f>R21+R22+R24</f>
        <v/>
      </c>
      <c r="S20">
        <f>(E20/100000+F20/100+(O20/1000)*J20/5+R20/200)*200*I20*H20</f>
        <v/>
      </c>
      <c r="T20">
        <f>((E20*F20/25000)+((O20/1000)*J20*R20/2.5))*I20*H20</f>
        <v/>
      </c>
      <c r="U20">
        <f>(E20*F20*(O20/1000)*J20*R20*I20*H20)/12500000</f>
        <v/>
      </c>
      <c r="V20">
        <f>(S20+T20+U20)/3</f>
        <v/>
      </c>
      <c r="W20" s="5" t="n">
        <v>5000</v>
      </c>
      <c r="X20">
        <f>IFERROR(V20-W20,"")</f>
        <v/>
      </c>
      <c r="Y20">
        <f>IFERROR(ABS(X20)/MAX(W20,1),"")</f>
        <v/>
      </c>
      <c r="Z20">
        <f>IFERROR((W20-(((E20/100000+F20/100+R20/200)*200*I20*H20)+((E20*F20/25000)*I20*H20))/3)/(((J20/5)*200*I20*H20)+((J20*R20/2.5)*I20*H20)+((E20*F20*J20*R20*I20*H20)/12500000))/3*1000,"")</f>
        <v/>
      </c>
    </row>
    <row r="21">
      <c r="B21" s="6" t="inlineStr">
        <is>
          <t xml:space="preserve">  ↳ NodCommandoLaser</t>
        </is>
      </c>
      <c r="C21" s="6" t="inlineStr">
        <is>
          <t>Armament@pointdefense</t>
        </is>
      </c>
      <c r="K21" s="5" t="n">
        <v>12000</v>
      </c>
      <c r="L21" s="5" t="n">
        <v>8</v>
      </c>
      <c r="M21" s="5" t="n">
        <v>1</v>
      </c>
      <c r="N21" s="5" t="n"/>
      <c r="O21" s="5" t="n">
        <v>6030</v>
      </c>
      <c r="P21" s="5" t="n">
        <v>1</v>
      </c>
      <c r="Q21">
        <f>L21+IF(M21&gt;1,N(N21)*(M21-1),0)</f>
        <v/>
      </c>
      <c r="R21">
        <f>IFERROR(K21*MAX(M21,1)/Q21*P21,0)</f>
        <v/>
      </c>
      <c r="AA21" s="6" t="inlineStr">
        <is>
          <t>^LaserWeapon</t>
        </is>
      </c>
    </row>
    <row r="22">
      <c r="B22" s="6" t="inlineStr">
        <is>
          <t xml:space="preserve">  ↳ NodCommandoLaser</t>
        </is>
      </c>
      <c r="C22" s="6" t="inlineStr">
        <is>
          <t>Armament</t>
        </is>
      </c>
      <c r="K22" s="5" t="n">
        <v>12000</v>
      </c>
      <c r="L22" s="5" t="n">
        <v>8</v>
      </c>
      <c r="M22" s="5" t="n">
        <v>1</v>
      </c>
      <c r="N22" s="5" t="n"/>
      <c r="O22" s="5" t="n">
        <v>6030</v>
      </c>
      <c r="P22" s="5" t="n">
        <v>1</v>
      </c>
      <c r="Q22">
        <f>L22+IF(M22&gt;1,N(N22)*(M22-1),0)</f>
        <v/>
      </c>
      <c r="R22">
        <f>IFERROR(K22*MAX(M22,1)/Q22*P22,0)</f>
        <v/>
      </c>
      <c r="AA22" s="6" t="inlineStr">
        <is>
          <t>^LaserWeapon</t>
        </is>
      </c>
    </row>
    <row r="23">
      <c r="B23" s="6" t="inlineStr">
        <is>
          <t xml:space="preserve">  ↳ NodCommandoLaser</t>
        </is>
      </c>
      <c r="C23" s="6" t="inlineStr">
        <is>
          <t>Armament@GARRISONED</t>
        </is>
      </c>
      <c r="K23" s="5" t="n">
        <v>12000</v>
      </c>
      <c r="L23" s="5" t="n">
        <v>8</v>
      </c>
      <c r="M23" s="5" t="n">
        <v>1</v>
      </c>
      <c r="N23" s="5" t="n"/>
      <c r="O23" s="5" t="n">
        <v>6030</v>
      </c>
      <c r="P23" s="5" t="n">
        <v>1</v>
      </c>
      <c r="Q23">
        <f>L23+IF(M23&gt;1,N(N23)*(M23-1),0)</f>
        <v/>
      </c>
      <c r="R23">
        <f>IFERROR(K23*MAX(M23,1)/Q23*P23,0)</f>
        <v/>
      </c>
      <c r="AA23" s="6" t="inlineStr">
        <is>
          <t>^LaserWeapon</t>
        </is>
      </c>
    </row>
    <row r="24">
      <c r="B24" s="6" t="inlineStr">
        <is>
          <t xml:space="preserve">  ↳ GenericC4</t>
        </is>
      </c>
      <c r="C24" s="6" t="inlineStr">
        <is>
          <t>Armament@c4</t>
        </is>
      </c>
      <c r="K24" s="5" t="n"/>
      <c r="L24" s="5" t="n">
        <v>20</v>
      </c>
      <c r="M24" s="5" t="n">
        <v>1</v>
      </c>
      <c r="N24" s="5" t="n"/>
      <c r="O24" s="5" t="n">
        <v>2000</v>
      </c>
      <c r="P24" s="5" t="n">
        <v>1</v>
      </c>
      <c r="Q24">
        <f>L24+IF(M24&gt;1,N(N24)*(M24-1),0)</f>
        <v/>
      </c>
      <c r="R24">
        <f>IFERROR(K24*MAX(M24,1)/Q24*P24,0)</f>
        <v/>
      </c>
      <c r="AA24" s="6" t="inlineStr"/>
    </row>
    <row r="25">
      <c r="A25" t="inlineStr">
        <is>
          <t>tiberiandawn</t>
        </is>
      </c>
      <c r="B25" t="inlineStr">
        <is>
          <t>td_nod_lasertrooper</t>
        </is>
      </c>
      <c r="C25" t="inlineStr">
        <is>
          <t>Laser Trooper</t>
        </is>
      </c>
      <c r="D25" t="inlineStr"/>
      <c r="E25" s="5" t="n">
        <v>60000</v>
      </c>
      <c r="F25" s="5" t="n">
        <v>60</v>
      </c>
      <c r="G25" t="inlineStr">
        <is>
          <t>Plate</t>
        </is>
      </c>
      <c r="H25" s="5" t="n">
        <v>0.75</v>
      </c>
      <c r="I25" s="5" t="n">
        <v>0.8</v>
      </c>
      <c r="J25" s="5" t="n">
        <v>1</v>
      </c>
      <c r="O25">
        <f>MAX(O26)</f>
        <v/>
      </c>
      <c r="R25">
        <f>R26</f>
        <v/>
      </c>
      <c r="S25">
        <f>(E25/100000+F25/100+(O25/1000)*J25/5+R25/200)*200*I25*H25</f>
        <v/>
      </c>
      <c r="T25">
        <f>((E25*F25/25000)+((O25/1000)*J25*R25/2.5))*I25*H25</f>
        <v/>
      </c>
      <c r="U25">
        <f>(E25*F25*(O25/1000)*J25*R25*I25*H25)/12500000</f>
        <v/>
      </c>
      <c r="V25">
        <f>(S25+T25+U25)/3</f>
        <v/>
      </c>
      <c r="W25" s="5" t="n">
        <v>700</v>
      </c>
      <c r="X25">
        <f>IFERROR(V25-W25,"")</f>
        <v/>
      </c>
      <c r="Y25">
        <f>IFERROR(ABS(X25)/MAX(W25,1),"")</f>
        <v/>
      </c>
      <c r="Z25">
        <f>IFERROR((W25-(((E25/100000+F25/100+R25/200)*200*I25*H25)+((E25*F25/25000)*I25*H25))/3)/(((J25/5)*200*I25*H25)+((J25*R25/2.5)*I25*H25)+((E25*F25*J25*R25*I25*H25)/12500000))/3*1000,"")</f>
        <v/>
      </c>
    </row>
    <row r="26">
      <c r="B26" s="6" t="inlineStr">
        <is>
          <t xml:space="preserve">  ↳ BlackHandLaser</t>
        </is>
      </c>
      <c r="C26" s="6" t="inlineStr">
        <is>
          <t>Armament@PRIMARY</t>
        </is>
      </c>
      <c r="K26" s="5" t="n">
        <v>30000</v>
      </c>
      <c r="L26" s="5" t="n">
        <v>60</v>
      </c>
      <c r="M26" s="5" t="n">
        <v>1</v>
      </c>
      <c r="N26" s="5" t="n"/>
      <c r="O26" s="5" t="n">
        <v>5300</v>
      </c>
      <c r="P26" s="5" t="n">
        <v>1</v>
      </c>
      <c r="Q26">
        <f>L26+IF(M26&gt;1,N(N26)*(M26-1),0)</f>
        <v/>
      </c>
      <c r="R26">
        <f>IFERROR(K26*MAX(M26,1)/Q26*P26,0)</f>
        <v/>
      </c>
      <c r="AA26" s="6" t="inlineStr">
        <is>
          <t>^LaserWeapon</t>
        </is>
      </c>
    </row>
    <row r="27">
      <c r="B27" s="6" t="inlineStr">
        <is>
          <t xml:space="preserve">  ↳ BlackHandLaser</t>
        </is>
      </c>
      <c r="C27" s="6" t="inlineStr">
        <is>
          <t>Armament@Garrison</t>
        </is>
      </c>
      <c r="K27" s="5" t="n">
        <v>30000</v>
      </c>
      <c r="L27" s="5" t="n">
        <v>60</v>
      </c>
      <c r="M27" s="5" t="n">
        <v>1</v>
      </c>
      <c r="N27" s="5" t="n"/>
      <c r="O27" s="5" t="n">
        <v>5300</v>
      </c>
      <c r="P27" s="5" t="n">
        <v>1</v>
      </c>
      <c r="Q27">
        <f>L27+IF(M27&gt;1,N(N27)*(M27-1),0)</f>
        <v/>
      </c>
      <c r="R27">
        <f>IFERROR(K27*MAX(M27,1)/Q27*P27,0)</f>
        <v/>
      </c>
      <c r="AA27" s="6" t="inlineStr">
        <is>
          <t>^LaserWeapon</t>
        </is>
      </c>
    </row>
    <row r="28">
      <c r="A28" t="inlineStr">
        <is>
          <t>tiberiandawn</t>
        </is>
      </c>
      <c r="B28" t="inlineStr">
        <is>
          <t>td_nod_minigunner</t>
        </is>
      </c>
      <c r="C28" t="inlineStr">
        <is>
          <t>Nod Minigunner</t>
        </is>
      </c>
      <c r="D28" t="inlineStr">
        <is>
          <t>scout</t>
        </is>
      </c>
      <c r="E28" s="5" t="n">
        <v>30000</v>
      </c>
      <c r="F28" s="5" t="n">
        <v>66</v>
      </c>
      <c r="G28" t="inlineStr">
        <is>
          <t>None</t>
        </is>
      </c>
      <c r="H28" s="5" t="n">
        <v>1</v>
      </c>
      <c r="I28" s="5" t="n">
        <v>1</v>
      </c>
      <c r="J28" s="5" t="n">
        <v>1</v>
      </c>
      <c r="O28">
        <f>MAX(O29,O31)</f>
        <v/>
      </c>
      <c r="R28">
        <f>R29+R31</f>
        <v/>
      </c>
      <c r="S28">
        <f>(E28/100000+F28/100+(O28/1000)*J28/5+R28/200)*200*I28*H28</f>
        <v/>
      </c>
      <c r="T28">
        <f>((E28*F28/25000)+((O28/1000)*J28*R28/2.5))*I28*H28</f>
        <v/>
      </c>
      <c r="U28">
        <f>(E28*F28*(O28/1000)*J28*R28*I28*H28)/12500000</f>
        <v/>
      </c>
      <c r="V28">
        <f>(S28+T28+U28)/3</f>
        <v/>
      </c>
      <c r="W28" s="5" t="n">
        <v>100</v>
      </c>
      <c r="X28">
        <f>IFERROR(V28-W28,"")</f>
        <v/>
      </c>
      <c r="Y28">
        <f>IFERROR(ABS(X28)/MAX(W28,1),"")</f>
        <v/>
      </c>
      <c r="Z28">
        <f>IFERROR((W28-(((E28/100000+F28/100+R28/200)*200*I28*H28)+((E28*F28/25000)*I28*H28))/3)/(((J28/5)*200*I28*H28)+((J28*R28/2.5)*I28*H28)+((E28*F28*J28*R28*I28*H28)/12500000))/3*1000,"")</f>
        <v/>
      </c>
    </row>
    <row r="29">
      <c r="B29" s="6" t="inlineStr">
        <is>
          <t xml:space="preserve">  ↳ td_nod_minigunner_minigun</t>
        </is>
      </c>
      <c r="C29" s="6" t="inlineStr">
        <is>
          <t>Armament@PRIMARY</t>
        </is>
      </c>
      <c r="K29" s="5" t="n">
        <v>2000</v>
      </c>
      <c r="L29" s="5" t="n">
        <v>40</v>
      </c>
      <c r="M29" s="5" t="n">
        <v>4</v>
      </c>
      <c r="N29" s="5" t="n">
        <v>2</v>
      </c>
      <c r="O29" s="5" t="n">
        <v>4500</v>
      </c>
      <c r="P29" s="5" t="n">
        <v>0.75</v>
      </c>
      <c r="Q29">
        <f>L29+IF(M29&gt;1,N(N29)*(M29-1),0)</f>
        <v/>
      </c>
      <c r="R29">
        <f>IFERROR(K29*MAX(M29,1)/Q29*P29,0)</f>
        <v/>
      </c>
      <c r="AA29" s="6" t="inlineStr">
        <is>
          <t>^SmallArms</t>
        </is>
      </c>
    </row>
    <row r="30">
      <c r="B30" s="6" t="inlineStr">
        <is>
          <t xml:space="preserve">  ↳ td_nod_minigunner_minigun</t>
        </is>
      </c>
      <c r="C30" s="6" t="inlineStr">
        <is>
          <t>Armament@GARRISONED</t>
        </is>
      </c>
      <c r="K30" s="5" t="n">
        <v>2000</v>
      </c>
      <c r="L30" s="5" t="n">
        <v>40</v>
      </c>
      <c r="M30" s="5" t="n">
        <v>4</v>
      </c>
      <c r="N30" s="5" t="n">
        <v>2</v>
      </c>
      <c r="O30" s="5" t="n">
        <v>4500</v>
      </c>
      <c r="P30" s="5" t="n">
        <v>0.75</v>
      </c>
      <c r="Q30">
        <f>L30+IF(M30&gt;1,N(N30)*(M30-1),0)</f>
        <v/>
      </c>
      <c r="R30">
        <f>IFERROR(K30*MAX(M30,1)/Q30*P30,0)</f>
        <v/>
      </c>
      <c r="AA30" s="6" t="inlineStr">
        <is>
          <t>^SmallArms</t>
        </is>
      </c>
    </row>
    <row r="31">
      <c r="B31" s="6" t="inlineStr">
        <is>
          <t xml:space="preserve">  ↳ td_nod_minigunner_minigun_laser</t>
        </is>
      </c>
      <c r="C31" s="6" t="inlineStr">
        <is>
          <t>Armament@Upgrade</t>
        </is>
      </c>
      <c r="K31" s="5" t="n">
        <v>2000</v>
      </c>
      <c r="L31" s="5" t="n">
        <v>40</v>
      </c>
      <c r="M31" s="5" t="n">
        <v>4</v>
      </c>
      <c r="N31" s="5" t="n">
        <v>2</v>
      </c>
      <c r="O31" s="5" t="n">
        <v>4500</v>
      </c>
      <c r="P31" s="5" t="n">
        <v>0.75</v>
      </c>
      <c r="Q31">
        <f>L31+IF(M31&gt;1,N(N31)*(M31-1),0)</f>
        <v/>
      </c>
      <c r="R31">
        <f>IFERROR(K31*MAX(M31,1)/Q31*P31,0)</f>
        <v/>
      </c>
      <c r="AA31" s="6" t="inlineStr">
        <is>
          <t>^SmallArms, ^Chaingun, ^LaserWeapon</t>
        </is>
      </c>
    </row>
    <row r="32">
      <c r="B32" s="6" t="inlineStr">
        <is>
          <t xml:space="preserve">  ↳ td_nod_minigunner_minigun_laser</t>
        </is>
      </c>
      <c r="C32" s="6" t="inlineStr">
        <is>
          <t>Armament@UpgradeGARRISONED</t>
        </is>
      </c>
      <c r="K32" s="5" t="n">
        <v>2000</v>
      </c>
      <c r="L32" s="5" t="n">
        <v>40</v>
      </c>
      <c r="M32" s="5" t="n">
        <v>4</v>
      </c>
      <c r="N32" s="5" t="n">
        <v>2</v>
      </c>
      <c r="O32" s="5" t="n">
        <v>4500</v>
      </c>
      <c r="P32" s="5" t="n">
        <v>0.75</v>
      </c>
      <c r="Q32">
        <f>L32+IF(M32&gt;1,N(N32)*(M32-1),0)</f>
        <v/>
      </c>
      <c r="R32">
        <f>IFERROR(K32*MAX(M32,1)/Q32*P32,0)</f>
        <v/>
      </c>
      <c r="AA32" s="6" t="inlineStr">
        <is>
          <t>^SmallArms, ^Chaingun, ^LaserWeapon</t>
        </is>
      </c>
    </row>
    <row r="33">
      <c r="A33" t="inlineStr">
        <is>
          <t>tiberiandawn</t>
        </is>
      </c>
      <c r="B33" t="inlineStr">
        <is>
          <t>td_nod_rocketsoldier</t>
        </is>
      </c>
      <c r="C33" t="inlineStr">
        <is>
          <t>Nod Rocket Soldier</t>
        </is>
      </c>
      <c r="D33" t="inlineStr"/>
      <c r="E33" s="5" t="n">
        <v>9000</v>
      </c>
      <c r="F33" s="5" t="n">
        <v>50</v>
      </c>
      <c r="G33" t="inlineStr">
        <is>
          <t>Flak</t>
        </is>
      </c>
      <c r="H33" s="5" t="n">
        <v>1</v>
      </c>
      <c r="I33" s="5" t="n">
        <v>1</v>
      </c>
      <c r="J33" s="5" t="n">
        <v>1</v>
      </c>
      <c r="O33">
        <f>MAX(O34)</f>
        <v/>
      </c>
      <c r="R33">
        <f>R34</f>
        <v/>
      </c>
      <c r="S33">
        <f>(E33/100000+F33/100+(O33/1000)*J33/5+R33/200)*200*I33*H33</f>
        <v/>
      </c>
      <c r="T33">
        <f>((E33*F33/25000)+((O33/1000)*J33*R33/2.5))*I33*H33</f>
        <v/>
      </c>
      <c r="U33">
        <f>(E33*F33*(O33/1000)*J33*R33*I33*H33)/12500000</f>
        <v/>
      </c>
      <c r="V33">
        <f>(S33+T33+U33)/3</f>
        <v/>
      </c>
      <c r="W33" s="5" t="n">
        <v>200</v>
      </c>
      <c r="X33">
        <f>IFERROR(V33-W33,"")</f>
        <v/>
      </c>
      <c r="Y33">
        <f>IFERROR(ABS(X33)/MAX(W33,1),"")</f>
        <v/>
      </c>
      <c r="Z33">
        <f>IFERROR((W33-(((E33/100000+F33/100+R33/200)*200*I33*H33)+((E33*F33/25000)*I33*H33))/3)/(((J33/5)*200*I33*H33)+((J33*R33/2.5)*I33*H33)+((E33*F33*J33*R33*I33*H33)/12500000))/3*1000,"")</f>
        <v/>
      </c>
    </row>
    <row r="34">
      <c r="B34" s="6" t="inlineStr">
        <is>
          <t xml:space="preserve">  ↳ Rockets</t>
        </is>
      </c>
      <c r="C34" s="6" t="inlineStr">
        <is>
          <t>Armament@PRIMARY</t>
        </is>
      </c>
      <c r="K34" s="5" t="n">
        <v>18000</v>
      </c>
      <c r="L34" s="5" t="n">
        <v>63</v>
      </c>
      <c r="M34" s="5" t="n">
        <v>1</v>
      </c>
      <c r="N34" s="5" t="n"/>
      <c r="O34" s="5" t="n">
        <v>6368</v>
      </c>
      <c r="P34" s="5" t="n">
        <v>1</v>
      </c>
      <c r="Q34">
        <f>L34+IF(M34&gt;1,N(N34)*(M34-1),0)</f>
        <v/>
      </c>
      <c r="R34">
        <f>IFERROR(K34*MAX(M34,1)/Q34*P34,0)</f>
        <v/>
      </c>
      <c r="AA34" s="6" t="inlineStr">
        <is>
          <t>^LightMissile</t>
        </is>
      </c>
    </row>
    <row r="35">
      <c r="B35" s="6" t="inlineStr">
        <is>
          <t xml:space="preserve">  ↳ Rockets</t>
        </is>
      </c>
      <c r="C35" s="6" t="inlineStr">
        <is>
          <t>Armament@GARRISONED</t>
        </is>
      </c>
      <c r="K35" s="5" t="n">
        <v>18000</v>
      </c>
      <c r="L35" s="5" t="n">
        <v>63</v>
      </c>
      <c r="M35" s="5" t="n">
        <v>1</v>
      </c>
      <c r="N35" s="5" t="n"/>
      <c r="O35" s="5" t="n">
        <v>6368</v>
      </c>
      <c r="P35" s="5" t="n">
        <v>1</v>
      </c>
      <c r="Q35">
        <f>L35+IF(M35&gt;1,N(N35)*(M35-1),0)</f>
        <v/>
      </c>
      <c r="R35">
        <f>IFERROR(K35*MAX(M35,1)/Q35*P35,0)</f>
        <v/>
      </c>
      <c r="AA35" s="6" t="inlineStr">
        <is>
          <t>^LightMissile</t>
        </is>
      </c>
    </row>
    <row r="36">
      <c r="A36" t="inlineStr">
        <is>
          <t>tiberiandawn</t>
        </is>
      </c>
      <c r="B36" t="inlineStr">
        <is>
          <t>td_nod_stealthsoldier</t>
        </is>
      </c>
      <c r="C36" t="inlineStr">
        <is>
          <t>Stealth Soldier</t>
        </is>
      </c>
      <c r="D36" t="inlineStr"/>
      <c r="E36" s="5" t="n">
        <v>25000</v>
      </c>
      <c r="F36" s="5" t="n">
        <v>72</v>
      </c>
      <c r="G36" t="inlineStr">
        <is>
          <t>Plate</t>
        </is>
      </c>
      <c r="H36" s="5" t="n">
        <v>0.75</v>
      </c>
      <c r="I36" s="5" t="n">
        <v>0.8</v>
      </c>
      <c r="J36" s="5" t="n">
        <v>1.5</v>
      </c>
      <c r="O36">
        <f>MAX(O37)</f>
        <v/>
      </c>
      <c r="R36">
        <f>R37</f>
        <v/>
      </c>
      <c r="S36">
        <f>(E36/100000+F36/100+(O36/1000)*J36/5+R36/200)*200*I36*H36</f>
        <v/>
      </c>
      <c r="T36">
        <f>((E36*F36/25000)+((O36/1000)*J36*R36/2.5))*I36*H36</f>
        <v/>
      </c>
      <c r="U36">
        <f>(E36*F36*(O36/1000)*J36*R36*I36*H36)/12500000</f>
        <v/>
      </c>
      <c r="V36">
        <f>(S36+T36+U36)/3</f>
        <v/>
      </c>
      <c r="W36" s="5" t="n">
        <v>500</v>
      </c>
      <c r="X36">
        <f>IFERROR(V36-W36,"")</f>
        <v/>
      </c>
      <c r="Y36">
        <f>IFERROR(ABS(X36)/MAX(W36,1),"")</f>
        <v/>
      </c>
      <c r="Z36">
        <f>IFERROR((W36-(((E36/100000+F36/100+R36/200)*200*I36*H36)+((E36*F36/25000)*I36*H36))/3)/(((J36/5)*200*I36*H36)+((J36*R36/2.5)*I36*H36)+((E36*F36*J36*R36*I36*H36)/12500000))/3*1000,"")</f>
        <v/>
      </c>
    </row>
    <row r="37">
      <c r="B37" s="6" t="inlineStr">
        <is>
          <t xml:space="preserve">  ↳ BHRedDarts</t>
        </is>
      </c>
      <c r="C37" s="6" t="inlineStr">
        <is>
          <t>Armament@PRIMARY</t>
        </is>
      </c>
      <c r="K37" s="5" t="n">
        <v>2000</v>
      </c>
      <c r="L37" s="5" t="n">
        <v>90</v>
      </c>
      <c r="M37" s="5" t="n">
        <v>4</v>
      </c>
      <c r="N37" s="5" t="n">
        <v>5</v>
      </c>
      <c r="O37" s="5" t="n">
        <v>5000</v>
      </c>
      <c r="P37" s="5" t="n">
        <v>1</v>
      </c>
      <c r="Q37">
        <f>L37+IF(M37&gt;1,N(N37)*(M37-1),0)</f>
        <v/>
      </c>
      <c r="R37">
        <f>IFERROR(K37*MAX(M37,1)/Q37*P37,0)</f>
        <v/>
      </c>
      <c r="AA37" s="6" t="inlineStr">
        <is>
          <t>^TeslaChargedWeapon, ^TankDestroyerCannon, ^Chaingun, ^ShrapnelWeapon, ^MediumMissile</t>
        </is>
      </c>
    </row>
    <row r="38">
      <c r="B38" s="6" t="inlineStr">
        <is>
          <t xml:space="preserve">  ↳ BHRedDarts</t>
        </is>
      </c>
      <c r="C38" s="6" t="inlineStr">
        <is>
          <t>Armament@Garrison</t>
        </is>
      </c>
      <c r="K38" s="5" t="n">
        <v>2000</v>
      </c>
      <c r="L38" s="5" t="n">
        <v>90</v>
      </c>
      <c r="M38" s="5" t="n">
        <v>4</v>
      </c>
      <c r="N38" s="5" t="n">
        <v>5</v>
      </c>
      <c r="O38" s="5" t="n">
        <v>5000</v>
      </c>
      <c r="P38" s="5" t="n">
        <v>1</v>
      </c>
      <c r="Q38">
        <f>L38+IF(M38&gt;1,N(N38)*(M38-1),0)</f>
        <v/>
      </c>
      <c r="R38">
        <f>IFERROR(K38*MAX(M38,1)/Q38*P38,0)</f>
        <v/>
      </c>
      <c r="AA38" s="6" t="inlineStr">
        <is>
          <t>^TeslaChargedWeapon, ^TankDestroyerCannon, ^Chaingun, ^ShrapnelWeapon, ^MediumMissile</t>
        </is>
      </c>
    </row>
    <row r="39">
      <c r="A39" s="3" t="inlineStr">
        <is>
          <t>VEHICLES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>
      <c r="A40" t="inlineStr">
        <is>
          <t>tiberiandawn</t>
        </is>
      </c>
      <c r="B40" t="inlineStr">
        <is>
          <t>td_nod_artillery</t>
        </is>
      </c>
      <c r="C40" t="inlineStr">
        <is>
          <t>Nod Artillery</t>
        </is>
      </c>
      <c r="D40" t="inlineStr"/>
      <c r="E40" s="5" t="n">
        <v>17500</v>
      </c>
      <c r="F40" s="5" t="n">
        <v>55</v>
      </c>
      <c r="G40" t="inlineStr">
        <is>
          <t>Light</t>
        </is>
      </c>
      <c r="H40" s="5" t="n">
        <v>1</v>
      </c>
      <c r="I40" s="5" t="n">
        <v>0.5</v>
      </c>
      <c r="J40" s="5" t="n">
        <v>1</v>
      </c>
      <c r="O40">
        <f>MAX(O41,O42)</f>
        <v/>
      </c>
      <c r="R40">
        <f>R41+R42</f>
        <v/>
      </c>
      <c r="S40">
        <f>(E40/100000+F40/100+(O40/1000)*J40/5+R40/200)*200*I40*H40</f>
        <v/>
      </c>
      <c r="T40">
        <f>((E40*F40/25000)+((O40/1000)*J40*R40/2.5))*I40*H40</f>
        <v/>
      </c>
      <c r="U40">
        <f>(E40*F40*(O40/1000)*J40*R40*I40*H40)/12500000</f>
        <v/>
      </c>
      <c r="V40">
        <f>(S40+T40+U40)/3</f>
        <v/>
      </c>
      <c r="W40" s="5" t="n">
        <v>400</v>
      </c>
      <c r="X40">
        <f>IFERROR(V40-W40,"")</f>
        <v/>
      </c>
      <c r="Y40">
        <f>IFERROR(ABS(X40)/MAX(W40,1),"")</f>
        <v/>
      </c>
      <c r="Z40">
        <f>IFERROR((W40-(((E40/100000+F40/100+R40/200)*200*I40*H40)+((E40*F40/25000)*I40*H40))/3)/(((J40/5)*200*I40*H40)+((J40*R40/2.5)*I40*H40)+((E40*F40*J40*R40*I40*H40)/12500000))/3*1000,"")</f>
        <v/>
      </c>
    </row>
    <row r="41">
      <c r="B41" s="6" t="inlineStr">
        <is>
          <t xml:space="preserve">  ↳ ArtilleryShell</t>
        </is>
      </c>
      <c r="C41" s="6" t="inlineStr">
        <is>
          <t>Armament</t>
        </is>
      </c>
      <c r="K41" s="5" t="n">
        <v>16000</v>
      </c>
      <c r="L41" s="5" t="n">
        <v>112</v>
      </c>
      <c r="M41" s="5" t="n">
        <v>1</v>
      </c>
      <c r="N41" s="5" t="n"/>
      <c r="O41" s="5" t="n">
        <v>12345</v>
      </c>
      <c r="P41" s="5" t="n">
        <v>1</v>
      </c>
      <c r="Q41">
        <f>L41+IF(M41&gt;1,N(N41)*(M41-1),0)</f>
        <v/>
      </c>
      <c r="R41">
        <f>IFERROR(K41*MAX(M41,1)/Q41*P41,0)</f>
        <v/>
      </c>
      <c r="AA41" s="6" t="inlineStr">
        <is>
          <t>^Grenade, ^ShrapnelWeapon</t>
        </is>
      </c>
    </row>
    <row r="42">
      <c r="B42" s="6" t="inlineStr">
        <is>
          <t xml:space="preserve">  ↳ ArtilleryShellUpgrade</t>
        </is>
      </c>
      <c r="C42" s="6" t="inlineStr">
        <is>
          <t>Armament@Upgrade</t>
        </is>
      </c>
      <c r="K42" s="5" t="n">
        <v>6000</v>
      </c>
      <c r="L42" s="5" t="n">
        <v>96</v>
      </c>
      <c r="M42" s="5" t="n">
        <v>1</v>
      </c>
      <c r="N42" s="5" t="n"/>
      <c r="O42" s="5" t="n">
        <v>12345</v>
      </c>
      <c r="P42" s="5" t="n">
        <v>1</v>
      </c>
      <c r="Q42">
        <f>L42+IF(M42&gt;1,N(N42)*(M42-1),0)</f>
        <v/>
      </c>
      <c r="R42">
        <f>IFERROR(K42*MAX(M42,1)/Q42*P42,0)</f>
        <v/>
      </c>
      <c r="AA42" s="6" t="inlineStr">
        <is>
          <t>^Grenade, ^ShrapnelWeapon, ^MediumChemicalWeapon, ^MediumFlameWeapon, ^MediumCannon, ^HeavyBomb</t>
        </is>
      </c>
    </row>
    <row r="43">
      <c r="A43" t="inlineStr">
        <is>
          <t>tiberiandawn</t>
        </is>
      </c>
      <c r="B43" t="inlineStr">
        <is>
          <t>td_nod_buggy</t>
        </is>
      </c>
      <c r="C43" t="inlineStr">
        <is>
          <t>Nod Buggy</t>
        </is>
      </c>
      <c r="D43" t="inlineStr"/>
      <c r="E43" s="5" t="n">
        <v>20000</v>
      </c>
      <c r="F43" s="5" t="n">
        <v>200</v>
      </c>
      <c r="G43" t="inlineStr">
        <is>
          <t>Scout</t>
        </is>
      </c>
      <c r="H43" s="5" t="n">
        <v>1</v>
      </c>
      <c r="I43" s="5" t="n">
        <v>0.333</v>
      </c>
      <c r="J43" s="5" t="n">
        <v>1</v>
      </c>
      <c r="O43">
        <f>MAX(O44,O45)</f>
        <v/>
      </c>
      <c r="R43">
        <f>R44+R45</f>
        <v/>
      </c>
      <c r="S43">
        <f>(E43/100000+F43/100+(O43/1000)*J43/5+R43/200)*200*I43*H43</f>
        <v/>
      </c>
      <c r="T43">
        <f>((E43*F43/25000)+((O43/1000)*J43*R43/2.5))*I43*H43</f>
        <v/>
      </c>
      <c r="U43">
        <f>(E43*F43*(O43/1000)*J43*R43*I43*H43)/12500000</f>
        <v/>
      </c>
      <c r="V43">
        <f>(S43+T43+U43)/3</f>
        <v/>
      </c>
      <c r="W43" s="5" t="n">
        <v>300</v>
      </c>
      <c r="X43">
        <f>IFERROR(V43-W43,"")</f>
        <v/>
      </c>
      <c r="Y43">
        <f>IFERROR(ABS(X43)/MAX(W43,1),"")</f>
        <v/>
      </c>
      <c r="Z43">
        <f>IFERROR((W43-(((E43/100000+F43/100+R43/200)*200*I43*H43)+((E43*F43/25000)*I43*H43))/3)/(((J43/5)*200*I43*H43)+((J43*R43/2.5)*I43*H43)+((E43*F43*J43*R43*I43*H43)/12500000))/3*1000,"")</f>
        <v/>
      </c>
    </row>
    <row r="44">
      <c r="B44" s="6" t="inlineStr">
        <is>
          <t xml:space="preserve">  ↳ MachineGun</t>
        </is>
      </c>
      <c r="C44" s="6" t="inlineStr">
        <is>
          <t>Armament</t>
        </is>
      </c>
      <c r="K44" s="5" t="n">
        <v>4000</v>
      </c>
      <c r="L44" s="5" t="n">
        <v>10</v>
      </c>
      <c r="M44" s="5" t="n">
        <v>3</v>
      </c>
      <c r="N44" s="5" t="n">
        <v>5</v>
      </c>
      <c r="O44" s="5" t="n">
        <v>4540</v>
      </c>
      <c r="P44" s="5" t="n">
        <v>1</v>
      </c>
      <c r="Q44">
        <f>L44+IF(M44&gt;1,N(N44)*(M44-1),0)</f>
        <v/>
      </c>
      <c r="R44">
        <f>IFERROR(K44*MAX(M44,1)/Q44*P44,0)</f>
        <v/>
      </c>
      <c r="AA44" s="6" t="inlineStr">
        <is>
          <t>^SmallArms</t>
        </is>
      </c>
    </row>
    <row r="45">
      <c r="B45" s="6" t="inlineStr">
        <is>
          <t xml:space="preserve">  ↳ FireballLauncherBuggy</t>
        </is>
      </c>
      <c r="C45" s="6" t="inlineStr">
        <is>
          <t>Armament@Upgrade</t>
        </is>
      </c>
      <c r="K45" s="5" t="n">
        <v>2000</v>
      </c>
      <c r="L45" s="5" t="n">
        <v>10</v>
      </c>
      <c r="M45" s="5" t="n">
        <v>3</v>
      </c>
      <c r="N45" s="5" t="n">
        <v>5</v>
      </c>
      <c r="O45" s="5" t="n">
        <v>4540</v>
      </c>
      <c r="P45" s="5" t="n">
        <v>1</v>
      </c>
      <c r="Q45">
        <f>L45+IF(M45&gt;1,N(N45)*(M45-1),0)</f>
        <v/>
      </c>
      <c r="R45">
        <f>IFERROR(K45*MAX(M45,1)/Q45*P45,0)</f>
        <v/>
      </c>
      <c r="AA45" s="6" t="inlineStr">
        <is>
          <t>^LightFlameWeapon</t>
        </is>
      </c>
    </row>
    <row r="46">
      <c r="A46" t="inlineStr">
        <is>
          <t>tiberiandawn</t>
        </is>
      </c>
      <c r="B46" t="inlineStr">
        <is>
          <t>td_nod_buggymkii</t>
        </is>
      </c>
      <c r="C46" t="inlineStr">
        <is>
          <t>Nod Buggy Mk. II</t>
        </is>
      </c>
      <c r="D46" t="inlineStr"/>
      <c r="E46" s="5" t="n">
        <v>25000</v>
      </c>
      <c r="F46" s="5" t="n">
        <v>120</v>
      </c>
      <c r="G46" t="inlineStr">
        <is>
          <t>Scout</t>
        </is>
      </c>
      <c r="H46" s="5" t="n">
        <v>1</v>
      </c>
      <c r="I46" s="5" t="n">
        <v>1</v>
      </c>
      <c r="J46" s="5" t="n">
        <v>1</v>
      </c>
      <c r="O46">
        <f>MAX(O47,O48,O49,O50,O51)</f>
        <v/>
      </c>
      <c r="R46">
        <f>R47+R48+R49+R50+R51</f>
        <v/>
      </c>
      <c r="S46">
        <f>(E46/100000+F46/100+(O46/1000)*J46/5+R46/200)*200*I46*H46</f>
        <v/>
      </c>
      <c r="T46">
        <f>((E46*F46/25000)+((O46/1000)*J46*R46/2.5))*I46*H46</f>
        <v/>
      </c>
      <c r="U46">
        <f>(E46*F46*(O46/1000)*J46*R46*I46*H46)/12500000</f>
        <v/>
      </c>
      <c r="V46">
        <f>(S46+T46+U46)/3</f>
        <v/>
      </c>
      <c r="W46" s="5" t="n">
        <v>500</v>
      </c>
      <c r="X46">
        <f>IFERROR(V46-W46,"")</f>
        <v/>
      </c>
      <c r="Y46">
        <f>IFERROR(ABS(X46)/MAX(W46,1),"")</f>
        <v/>
      </c>
      <c r="Z46">
        <f>IFERROR((W46-(((E46/100000+F46/100+R46/200)*200*I46*H46)+((E46*F46/25000)*I46*H46))/3)/(((J46/5)*200*I46*H46)+((J46*R46/2.5)*I46*H46)+((E46*F46*J46*R46*I46*H46)/12500000))/3*1000,"")</f>
        <v/>
      </c>
    </row>
    <row r="47">
      <c r="B47" s="6" t="inlineStr">
        <is>
          <t xml:space="preserve">  ↳ MachineGunBuggy2</t>
        </is>
      </c>
      <c r="C47" s="6" t="inlineStr">
        <is>
          <t>Armament</t>
        </is>
      </c>
      <c r="K47" s="5" t="n">
        <v>2000</v>
      </c>
      <c r="L47" s="5" t="n">
        <v>60</v>
      </c>
      <c r="M47" s="5" t="n">
        <v>3</v>
      </c>
      <c r="N47" s="5" t="n">
        <v>4</v>
      </c>
      <c r="O47" s="5" t="n">
        <v>5274</v>
      </c>
      <c r="P47" s="5" t="n">
        <v>1</v>
      </c>
      <c r="Q47">
        <f>L47+IF(M47&gt;1,N(N47)*(M47-1),0)</f>
        <v/>
      </c>
      <c r="R47">
        <f>IFERROR(K47*MAX(M47,1)/Q47*P47,0)</f>
        <v/>
      </c>
      <c r="AA47" s="6" t="inlineStr">
        <is>
          <t>^HeavyCannon, ^SmallArms, ^Chaingun</t>
        </is>
      </c>
    </row>
    <row r="48">
      <c r="B48" s="6" t="inlineStr">
        <is>
          <t xml:space="preserve">  ↳ FireballLauncherBuggy2</t>
        </is>
      </c>
      <c r="C48" s="6" t="inlineStr">
        <is>
          <t>Armament@Upgrade</t>
        </is>
      </c>
      <c r="K48" s="5" t="n">
        <v>2000</v>
      </c>
      <c r="L48" s="5" t="n">
        <v>60</v>
      </c>
      <c r="M48" s="5" t="n">
        <v>3</v>
      </c>
      <c r="N48" s="5" t="n">
        <v>4</v>
      </c>
      <c r="O48" s="5" t="n">
        <v>5274</v>
      </c>
      <c r="P48" s="5" t="n">
        <v>1</v>
      </c>
      <c r="Q48">
        <f>L48+IF(M48&gt;1,N(N48)*(M48-1),0)</f>
        <v/>
      </c>
      <c r="R48">
        <f>IFERROR(K48*MAX(M48,1)/Q48*P48,0)</f>
        <v/>
      </c>
      <c r="AA48" s="6" t="inlineStr">
        <is>
          <t>^LightFlameWeapon, ^HeavyFlameWeapon, ^MediumFlameWeapon</t>
        </is>
      </c>
    </row>
    <row r="49">
      <c r="B49" s="6" t="inlineStr">
        <is>
          <t xml:space="preserve">  ↳ MachineGunBuggy2AA</t>
        </is>
      </c>
      <c r="C49" s="6" t="inlineStr">
        <is>
          <t>Armament@AA</t>
        </is>
      </c>
      <c r="K49" s="5" t="n">
        <v>2000</v>
      </c>
      <c r="L49" s="5" t="n">
        <v>60</v>
      </c>
      <c r="M49" s="5" t="n">
        <v>3</v>
      </c>
      <c r="N49" s="5" t="n">
        <v>4</v>
      </c>
      <c r="O49" s="5" t="n">
        <v>7911</v>
      </c>
      <c r="P49" s="5" t="n">
        <v>1</v>
      </c>
      <c r="Q49">
        <f>L49+IF(M49&gt;1,N(N49)*(M49-1),0)</f>
        <v/>
      </c>
      <c r="R49">
        <f>IFERROR(K49*MAX(M49,1)/Q49*P49,0)</f>
        <v/>
      </c>
      <c r="AA49" s="6" t="inlineStr">
        <is>
          <t>^HeavyCannon, ^SmallArms, ^Chaingun</t>
        </is>
      </c>
    </row>
    <row r="50">
      <c r="B50" s="6" t="inlineStr">
        <is>
          <t xml:space="preserve">  ↳ LaserBuggy2</t>
        </is>
      </c>
      <c r="C50" s="6" t="inlineStr">
        <is>
          <t>Armament@Laser</t>
        </is>
      </c>
      <c r="K50" s="5" t="n">
        <v>2000</v>
      </c>
      <c r="L50" s="5" t="n">
        <v>60</v>
      </c>
      <c r="M50" s="5" t="n">
        <v>3</v>
      </c>
      <c r="N50" s="5" t="n">
        <v>4</v>
      </c>
      <c r="O50" s="5" t="n">
        <v>5274</v>
      </c>
      <c r="P50" s="5" t="n">
        <v>1</v>
      </c>
      <c r="Q50">
        <f>L50+IF(M50&gt;1,N(N50)*(M50-1),0)</f>
        <v/>
      </c>
      <c r="R50">
        <f>IFERROR(K50*MAX(M50,1)/Q50*P50,0)</f>
        <v/>
      </c>
      <c r="AA50" s="6" t="inlineStr">
        <is>
          <t>^LightFlameWeapon, ^MediumMissile, ^LaserWeapon</t>
        </is>
      </c>
    </row>
    <row r="51">
      <c r="B51" s="6" t="inlineStr">
        <is>
          <t xml:space="preserve">  ↳ LaserBuggy2AA</t>
        </is>
      </c>
      <c r="C51" s="6" t="inlineStr">
        <is>
          <t>Armament@LaserAA</t>
        </is>
      </c>
      <c r="K51" s="5" t="n">
        <v>2000</v>
      </c>
      <c r="L51" s="5" t="n">
        <v>60</v>
      </c>
      <c r="M51" s="5" t="n">
        <v>3</v>
      </c>
      <c r="N51" s="5" t="n">
        <v>4</v>
      </c>
      <c r="O51" s="5" t="n">
        <v>7911</v>
      </c>
      <c r="P51" s="5" t="n">
        <v>1</v>
      </c>
      <c r="Q51">
        <f>L51+IF(M51&gt;1,N(N51)*(M51-1),0)</f>
        <v/>
      </c>
      <c r="R51">
        <f>IFERROR(K51*MAX(M51,1)/Q51*P51,0)</f>
        <v/>
      </c>
      <c r="AA51" s="6" t="inlineStr">
        <is>
          <t>^LightFlameWeapon, ^MediumMissile, ^LaserWeapon</t>
        </is>
      </c>
    </row>
    <row r="52">
      <c r="A52" t="inlineStr">
        <is>
          <t>tiberiandawn</t>
        </is>
      </c>
      <c r="B52" t="inlineStr">
        <is>
          <t>td_nod_chemicalattackbike</t>
        </is>
      </c>
      <c r="C52" t="inlineStr">
        <is>
          <t>Chemical Attack Bike</t>
        </is>
      </c>
      <c r="D52" t="inlineStr"/>
      <c r="E52" s="5" t="n">
        <v>22500</v>
      </c>
      <c r="F52" s="5" t="n">
        <v>175</v>
      </c>
      <c r="G52" t="inlineStr">
        <is>
          <t>Scout</t>
        </is>
      </c>
      <c r="H52" s="5" t="n">
        <v>1</v>
      </c>
      <c r="I52" s="5" t="n">
        <v>0.5</v>
      </c>
      <c r="J52" s="5" t="n">
        <v>1</v>
      </c>
      <c r="O52">
        <f>MAX(O53,O54)</f>
        <v/>
      </c>
      <c r="R52">
        <f>R53+R54</f>
        <v/>
      </c>
      <c r="S52">
        <f>(E52/100000+F52/100+(O52/1000)*J52/5+R52/200)*200*I52*H52</f>
        <v/>
      </c>
      <c r="T52">
        <f>((E52*F52/25000)+((O52/1000)*J52*R52/2.5))*I52*H52</f>
        <v/>
      </c>
      <c r="U52">
        <f>(E52*F52*(O52/1000)*J52*R52*I52*H52)/12500000</f>
        <v/>
      </c>
      <c r="V52">
        <f>(S52+T52+U52)/3</f>
        <v/>
      </c>
      <c r="W52" s="5" t="n">
        <v>750</v>
      </c>
      <c r="X52">
        <f>IFERROR(V52-W52,"")</f>
        <v/>
      </c>
      <c r="Y52">
        <f>IFERROR(ABS(X52)/MAX(W52,1),"")</f>
        <v/>
      </c>
      <c r="Z52">
        <f>IFERROR((W52-(((E52/100000+F52/100+R52/200)*200*I52*H52)+((E52*F52/25000)*I52*H52))/3)/(((J52/5)*200*I52*H52)+((J52*R52/2.5)*I52*H52)+((E52*F52*J52*R52*I52*H52)/12500000))/3*1000,"")</f>
        <v/>
      </c>
    </row>
    <row r="53">
      <c r="B53" s="6" t="inlineStr">
        <is>
          <t xml:space="preserve">  ↳ PDLaserBike</t>
        </is>
      </c>
      <c r="C53" s="6" t="inlineStr">
        <is>
          <t>Armament@pointdefense</t>
        </is>
      </c>
      <c r="K53" s="5" t="n">
        <v>1</v>
      </c>
      <c r="L53" s="5" t="n">
        <v>25</v>
      </c>
      <c r="M53" s="5" t="n">
        <v>1</v>
      </c>
      <c r="N53" s="5" t="n"/>
      <c r="O53" s="5" t="n">
        <v>6000</v>
      </c>
      <c r="P53" s="5" t="n">
        <v>1</v>
      </c>
      <c r="Q53">
        <f>L53+IF(M53&gt;1,N(N53)*(M53-1),0)</f>
        <v/>
      </c>
      <c r="R53">
        <f>IFERROR(K53*MAX(M53,1)/Q53*P53,0)</f>
        <v/>
      </c>
      <c r="AA53" s="6" t="inlineStr">
        <is>
          <t>PDLaser</t>
        </is>
      </c>
    </row>
    <row r="54">
      <c r="B54" s="6" t="inlineStr">
        <is>
          <t xml:space="preserve">  ↳ ChemicalBikeRockets</t>
        </is>
      </c>
      <c r="C54" s="6" t="inlineStr">
        <is>
          <t>Armament</t>
        </is>
      </c>
      <c r="K54" s="5" t="n">
        <v>8000</v>
      </c>
      <c r="L54" s="5" t="n">
        <v>70</v>
      </c>
      <c r="M54" s="5" t="n">
        <v>2</v>
      </c>
      <c r="N54" s="5" t="n">
        <v>10</v>
      </c>
      <c r="O54" s="5" t="n">
        <v>6000</v>
      </c>
      <c r="P54" s="5" t="n">
        <v>1</v>
      </c>
      <c r="Q54">
        <f>L54+IF(M54&gt;1,N(N54)*(M54-1),0)</f>
        <v/>
      </c>
      <c r="R54">
        <f>IFERROR(K54*MAX(M54,1)/Q54*P54,0)</f>
        <v/>
      </c>
      <c r="AA54" s="6" t="inlineStr">
        <is>
          <t>^TankDestroyerCannon, ^LightChemicalWeapon, ^FlakWeapon, ^MediumMissile</t>
        </is>
      </c>
    </row>
    <row r="55">
      <c r="A55" t="inlineStr">
        <is>
          <t>tiberiandawn</t>
        </is>
      </c>
      <c r="B55" t="inlineStr">
        <is>
          <t>td_nod_chemicalssmlauncher</t>
        </is>
      </c>
      <c r="C55" t="inlineStr">
        <is>
          <t>Chemical SSM Launcher</t>
        </is>
      </c>
      <c r="D55" t="inlineStr"/>
      <c r="E55" s="5" t="n">
        <v>32500</v>
      </c>
      <c r="F55" s="5" t="n">
        <v>75</v>
      </c>
      <c r="G55" t="inlineStr">
        <is>
          <t>Medium</t>
        </is>
      </c>
      <c r="H55" s="5" t="n">
        <v>0.75</v>
      </c>
      <c r="I55" s="5" t="n">
        <v>0.5</v>
      </c>
      <c r="J55" s="5" t="n">
        <v>1</v>
      </c>
      <c r="O55">
        <f>MAX(O56)</f>
        <v/>
      </c>
      <c r="R55">
        <f>R56</f>
        <v/>
      </c>
      <c r="S55">
        <f>(E55/100000+F55/100+(O55/1000)*J55/5+R55/200)*200*I55*H55</f>
        <v/>
      </c>
      <c r="T55">
        <f>((E55*F55/25000)+((O55/1000)*J55*R55/2.5))*I55*H55</f>
        <v/>
      </c>
      <c r="U55">
        <f>(E55*F55*(O55/1000)*J55*R55*I55*H55)/12500000</f>
        <v/>
      </c>
      <c r="V55">
        <f>(S55+T55+U55)/3</f>
        <v/>
      </c>
      <c r="W55" s="5" t="n">
        <v>1200</v>
      </c>
      <c r="X55">
        <f>IFERROR(V55-W55,"")</f>
        <v/>
      </c>
      <c r="Y55">
        <f>IFERROR(ABS(X55)/MAX(W55,1),"")</f>
        <v/>
      </c>
      <c r="Z55">
        <f>IFERROR((W55-(((E55/100000+F55/100+R55/200)*200*I55*H55)+((E55*F55/25000)*I55*H55))/3)/(((J55/5)*200*I55*H55)+((J55*R55/2.5)*I55*H55)+((E55*F55*J55*R55*I55*H55)/12500000))/3*1000,"")</f>
        <v/>
      </c>
    </row>
    <row r="56">
      <c r="B56" s="6" t="inlineStr">
        <is>
          <t xml:space="preserve">  ↳ ChemicalHonestJohn</t>
        </is>
      </c>
      <c r="C56" s="6" t="inlineStr">
        <is>
          <t>Armament</t>
        </is>
      </c>
      <c r="K56" s="5" t="n">
        <v>30000</v>
      </c>
      <c r="L56" s="5" t="n">
        <v>142</v>
      </c>
      <c r="M56" s="5" t="n">
        <v>1</v>
      </c>
      <c r="N56" s="5" t="n"/>
      <c r="O56" s="5" t="n">
        <v>12345</v>
      </c>
      <c r="P56" s="5" t="n">
        <v>1</v>
      </c>
      <c r="Q56">
        <f>L56+IF(M56&gt;1,N(N56)*(M56-1),0)</f>
        <v/>
      </c>
      <c r="R56">
        <f>IFERROR(K56*MAX(M56,1)/Q56*P56,0)</f>
        <v/>
      </c>
      <c r="AA56" s="6" t="inlineStr">
        <is>
          <t>^HeavyMissile, ^HeavyBomb, ^HeavyFlameWeapon, ^HeavyChemicalWeapon</t>
        </is>
      </c>
    </row>
    <row r="57">
      <c r="A57" t="inlineStr">
        <is>
          <t>tiberiandawn</t>
        </is>
      </c>
      <c r="B57" t="inlineStr">
        <is>
          <t>td_nod_chemicalstealthtank</t>
        </is>
      </c>
      <c r="C57" t="inlineStr">
        <is>
          <t>Chemical Stealth Tank</t>
        </is>
      </c>
      <c r="D57" t="inlineStr"/>
      <c r="E57" s="5" t="n">
        <v>90000</v>
      </c>
      <c r="F57" s="5" t="n">
        <v>120</v>
      </c>
      <c r="G57" t="inlineStr">
        <is>
          <t>Medium</t>
        </is>
      </c>
      <c r="H57" s="5" t="n">
        <v>0.75</v>
      </c>
      <c r="I57" s="5" t="n">
        <v>1</v>
      </c>
      <c r="J57" s="5" t="n">
        <v>1.25</v>
      </c>
      <c r="O57">
        <f>MAX(O58)</f>
        <v/>
      </c>
      <c r="R57">
        <f>R58</f>
        <v/>
      </c>
      <c r="S57">
        <f>(E57/100000+F57/100+(O57/1000)*J57/5+R57/200)*200*I57*H57</f>
        <v/>
      </c>
      <c r="T57">
        <f>((E57*F57/25000)+((O57/1000)*J57*R57/2.5))*I57*H57</f>
        <v/>
      </c>
      <c r="U57">
        <f>(E57*F57*(O57/1000)*J57*R57*I57*H57)/12500000</f>
        <v/>
      </c>
      <c r="V57">
        <f>(S57+T57+U57)/3</f>
        <v/>
      </c>
      <c r="W57" s="5" t="n">
        <v>1800</v>
      </c>
      <c r="X57">
        <f>IFERROR(V57-W57,"")</f>
        <v/>
      </c>
      <c r="Y57">
        <f>IFERROR(ABS(X57)/MAX(W57,1),"")</f>
        <v/>
      </c>
      <c r="Z57">
        <f>IFERROR((W57-(((E57/100000+F57/100+R57/200)*200*I57*H57)+((E57*F57/25000)*I57*H57))/3)/(((J57/5)*200*I57*H57)+((J57*R57/2.5)*I57*H57)+((E57*F57*J57*R57*I57*H57)/12500000))/3*1000,"")</f>
        <v/>
      </c>
    </row>
    <row r="58">
      <c r="B58" s="6" t="inlineStr">
        <is>
          <t xml:space="preserve">  ↳ ChemicalStealthTankMissiles</t>
        </is>
      </c>
      <c r="C58" s="6" t="inlineStr">
        <is>
          <t>Armament</t>
        </is>
      </c>
      <c r="K58" s="5" t="n">
        <v>10000</v>
      </c>
      <c r="L58" s="5" t="n">
        <v>60</v>
      </c>
      <c r="M58" s="5" t="n">
        <v>1</v>
      </c>
      <c r="N58" s="5" t="n"/>
      <c r="O58" s="5" t="n">
        <v>6962</v>
      </c>
      <c r="P58" s="5" t="n">
        <v>1</v>
      </c>
      <c r="Q58">
        <f>L58+IF(M58&gt;1,N(N58)*(M58-1),0)</f>
        <v/>
      </c>
      <c r="R58">
        <f>IFERROR(K58*MAX(M58,1)/Q58*P58,0)</f>
        <v/>
      </c>
      <c r="AA58" s="6" t="inlineStr">
        <is>
          <t>^ShrapnelWeapon, ^MediumChemicalWeapon, ^MediumMissile</t>
        </is>
      </c>
    </row>
    <row r="59">
      <c r="A59" t="inlineStr">
        <is>
          <t>tiberiandawn</t>
        </is>
      </c>
      <c r="B59" t="inlineStr">
        <is>
          <t>td_nod_flametank</t>
        </is>
      </c>
      <c r="C59" t="inlineStr">
        <is>
          <t>Nod Flame Tank</t>
        </is>
      </c>
      <c r="D59" t="inlineStr"/>
      <c r="E59" s="5" t="n">
        <v>100000</v>
      </c>
      <c r="F59" s="5" t="n">
        <v>80</v>
      </c>
      <c r="G59" t="inlineStr">
        <is>
          <t>Heavy</t>
        </is>
      </c>
      <c r="H59" s="5" t="n">
        <v>1</v>
      </c>
      <c r="I59" s="5" t="n">
        <v>1</v>
      </c>
      <c r="J59" s="5" t="n">
        <v>1</v>
      </c>
      <c r="O59">
        <f>MAX(O60)</f>
        <v/>
      </c>
      <c r="R59">
        <f>R60</f>
        <v/>
      </c>
      <c r="S59">
        <f>(E59/100000+F59/100+(O59/1000)*J59/5+R59/200)*200*I59*H59</f>
        <v/>
      </c>
      <c r="T59">
        <f>((E59*F59/25000)+((O59/1000)*J59*R59/2.5))*I59*H59</f>
        <v/>
      </c>
      <c r="U59">
        <f>(E59*F59*(O59/1000)*J59*R59*I59*H59)/12500000</f>
        <v/>
      </c>
      <c r="V59">
        <f>(S59+T59+U59)/3</f>
        <v/>
      </c>
      <c r="W59" s="5" t="n">
        <v>800</v>
      </c>
      <c r="X59">
        <f>IFERROR(V59-W59,"")</f>
        <v/>
      </c>
      <c r="Y59">
        <f>IFERROR(ABS(X59)/MAX(W59,1),"")</f>
        <v/>
      </c>
      <c r="Z59">
        <f>IFERROR((W59-(((E59/100000+F59/100+R59/200)*200*I59*H59)+((E59*F59/25000)*I59*H59))/3)/(((J59/5)*200*I59*H59)+((J59*R59/2.5)*I59*H59)+((E59*F59*J59*R59*I59*H59)/12500000))/3*1000,"")</f>
        <v/>
      </c>
    </row>
    <row r="60">
      <c r="B60" s="6" t="inlineStr">
        <is>
          <t xml:space="preserve">  ↳ BigFlamer</t>
        </is>
      </c>
      <c r="C60" s="6" t="inlineStr">
        <is>
          <t>Armament</t>
        </is>
      </c>
      <c r="K60" s="5" t="n">
        <v>14000</v>
      </c>
      <c r="L60" s="5" t="n">
        <v>50</v>
      </c>
      <c r="M60" s="5" t="n">
        <v>2</v>
      </c>
      <c r="N60" s="5" t="n">
        <v>10</v>
      </c>
      <c r="O60" s="5" t="n">
        <v>2390</v>
      </c>
      <c r="P60" s="5" t="n">
        <v>1</v>
      </c>
      <c r="Q60">
        <f>L60+IF(M60&gt;1,N(N60)*(M60-1),0)</f>
        <v/>
      </c>
      <c r="R60">
        <f>IFERROR(K60*MAX(M60,1)/Q60*P60,0)</f>
        <v/>
      </c>
      <c r="AA60" s="6" t="inlineStr">
        <is>
          <t>^MediumFlameWeapon</t>
        </is>
      </c>
    </row>
    <row r="61">
      <c r="A61" t="inlineStr">
        <is>
          <t>tiberiandawn</t>
        </is>
      </c>
      <c r="B61" t="inlineStr">
        <is>
          <t>td_nod_flametankmkii</t>
        </is>
      </c>
      <c r="C61" t="inlineStr">
        <is>
          <t>Flame Tank Mk. II</t>
        </is>
      </c>
      <c r="D61" t="inlineStr"/>
      <c r="E61" s="5" t="n">
        <v>200000</v>
      </c>
      <c r="F61" s="5" t="n">
        <v>75</v>
      </c>
      <c r="G61" t="inlineStr">
        <is>
          <t>Superheavy</t>
        </is>
      </c>
      <c r="H61" s="5" t="n">
        <v>1</v>
      </c>
      <c r="I61" s="5" t="n">
        <v>1</v>
      </c>
      <c r="J61" s="5" t="n">
        <v>1</v>
      </c>
      <c r="O61">
        <f>MAX(O62)</f>
        <v/>
      </c>
      <c r="R61">
        <f>R62</f>
        <v/>
      </c>
      <c r="S61">
        <f>(E61/100000+F61/100+(O61/1000)*J61/5+R61/200)*200*I61*H61</f>
        <v/>
      </c>
      <c r="T61">
        <f>((E61*F61/25000)+((O61/1000)*J61*R61/2.5))*I61*H61</f>
        <v/>
      </c>
      <c r="U61">
        <f>(E61*F61*(O61/1000)*J61*R61*I61*H61)/12500000</f>
        <v/>
      </c>
      <c r="V61">
        <f>(S61+T61+U61)/3</f>
        <v/>
      </c>
      <c r="W61" s="5" t="n">
        <v>1300</v>
      </c>
      <c r="X61">
        <f>IFERROR(V61-W61,"")</f>
        <v/>
      </c>
      <c r="Y61">
        <f>IFERROR(ABS(X61)/MAX(W61,1),"")</f>
        <v/>
      </c>
      <c r="Z61">
        <f>IFERROR((W61-(((E61/100000+F61/100+R61/200)*200*I61*H61)+((E61*F61/25000)*I61*H61))/3)/(((J61/5)*200*I61*H61)+((J61*R61/2.5)*I61*H61)+((E61*F61*J61*R61*I61*H61)/12500000))/3*1000,"")</f>
        <v/>
      </c>
    </row>
    <row r="62">
      <c r="B62" s="6" t="inlineStr">
        <is>
          <t xml:space="preserve">  ↳ BigFlamer2</t>
        </is>
      </c>
      <c r="C62" s="6" t="inlineStr">
        <is>
          <t>Armament</t>
        </is>
      </c>
      <c r="K62" s="5" t="n">
        <v>20000</v>
      </c>
      <c r="L62" s="5" t="n">
        <v>54</v>
      </c>
      <c r="M62" s="5" t="n">
        <v>2</v>
      </c>
      <c r="N62" s="5" t="n">
        <v>10</v>
      </c>
      <c r="O62" s="5" t="n">
        <v>2534</v>
      </c>
      <c r="P62" s="5" t="n">
        <v>1</v>
      </c>
      <c r="Q62">
        <f>L62+IF(M62&gt;1,N(N62)*(M62-1),0)</f>
        <v/>
      </c>
      <c r="R62">
        <f>IFERROR(K62*MAX(M62,1)/Q62*P62,0)</f>
        <v/>
      </c>
      <c r="AA62" s="6" t="inlineStr">
        <is>
          <t>^HeavyFlameWeapon</t>
        </is>
      </c>
    </row>
    <row r="63">
      <c r="A63" t="inlineStr">
        <is>
          <t>tiberiandawn</t>
        </is>
      </c>
      <c r="B63" t="inlineStr">
        <is>
          <t>td_nod_lighttank</t>
        </is>
      </c>
      <c r="C63" t="inlineStr">
        <is>
          <t>Nod Light Tank</t>
        </is>
      </c>
      <c r="D63" t="inlineStr"/>
      <c r="E63" s="5" t="n">
        <v>80000</v>
      </c>
      <c r="F63" s="5" t="n">
        <v>110</v>
      </c>
      <c r="G63" t="inlineStr">
        <is>
          <t>Medium</t>
        </is>
      </c>
      <c r="H63" s="5" t="n">
        <v>1</v>
      </c>
      <c r="I63" s="5" t="n">
        <v>1</v>
      </c>
      <c r="J63" s="5" t="n">
        <v>1</v>
      </c>
      <c r="O63">
        <f>MAX(O64,O65)</f>
        <v/>
      </c>
      <c r="R63">
        <f>R64+R65</f>
        <v/>
      </c>
      <c r="S63">
        <f>(E63/100000+F63/100+(O63/1000)*J63/5+R63/200)*200*I63*H63</f>
        <v/>
      </c>
      <c r="T63">
        <f>((E63*F63/25000)+((O63/1000)*J63*R63/2.5))*I63*H63</f>
        <v/>
      </c>
      <c r="U63">
        <f>(E63*F63*(O63/1000)*J63*R63*I63*H63)/12500000</f>
        <v/>
      </c>
      <c r="V63">
        <f>(S63+T63+U63)/3</f>
        <v/>
      </c>
      <c r="W63" s="5" t="n">
        <v>600</v>
      </c>
      <c r="X63">
        <f>IFERROR(V63-W63,"")</f>
        <v/>
      </c>
      <c r="Y63">
        <f>IFERROR(ABS(X63)/MAX(W63,1),"")</f>
        <v/>
      </c>
      <c r="Z63">
        <f>IFERROR((W63-(((E63/100000+F63/100+R63/200)*200*I63*H63)+((E63*F63/25000)*I63*H63))/3)/(((J63/5)*200*I63*H63)+((J63*R63/2.5)*I63*H63)+((E63*F63*J63*R63*I63*H63)/12500000))/3*1000,"")</f>
        <v/>
      </c>
    </row>
    <row r="64">
      <c r="B64" s="6" t="inlineStr">
        <is>
          <t xml:space="preserve">  ↳ 70mm</t>
        </is>
      </c>
      <c r="C64" s="6" t="inlineStr">
        <is>
          <t>Armament</t>
        </is>
      </c>
      <c r="K64" s="5" t="n">
        <v>6000</v>
      </c>
      <c r="L64" s="5" t="n">
        <v>45</v>
      </c>
      <c r="M64" s="5" t="n">
        <v>1</v>
      </c>
      <c r="N64" s="5" t="n"/>
      <c r="O64" s="5" t="n">
        <v>4993</v>
      </c>
      <c r="P64" s="5" t="n">
        <v>1</v>
      </c>
      <c r="Q64">
        <f>L64+IF(M64&gt;1,N(N64)*(M64-1),0)</f>
        <v/>
      </c>
      <c r="R64">
        <f>IFERROR(K64*MAX(M64,1)/Q64*P64,0)</f>
        <v/>
      </c>
      <c r="AA64" s="6" t="inlineStr">
        <is>
          <t>^MediumCannon</t>
        </is>
      </c>
    </row>
    <row r="65">
      <c r="B65" s="6" t="inlineStr">
        <is>
          <t xml:space="preserve">  ↳ LTNKMissiles</t>
        </is>
      </c>
      <c r="C65" s="6" t="inlineStr">
        <is>
          <t>Armament@Missile</t>
        </is>
      </c>
      <c r="K65" s="5" t="n">
        <v>6000</v>
      </c>
      <c r="L65" s="5" t="n">
        <v>45</v>
      </c>
      <c r="M65" s="5" t="n">
        <v>1</v>
      </c>
      <c r="N65" s="5" t="n"/>
      <c r="O65" s="5" t="n">
        <v>4993</v>
      </c>
      <c r="P65" s="5" t="n">
        <v>1</v>
      </c>
      <c r="Q65">
        <f>L65+IF(M65&gt;1,N(N65)*(M65-1),0)</f>
        <v/>
      </c>
      <c r="R65">
        <f>IFERROR(K65*MAX(M65,1)/Q65*P65,0)</f>
        <v/>
      </c>
      <c r="AA65" s="6" t="inlineStr">
        <is>
          <t>^MediumMissile</t>
        </is>
      </c>
    </row>
    <row r="66">
      <c r="A66" t="inlineStr">
        <is>
          <t>tiberiandawn</t>
        </is>
      </c>
      <c r="B66" t="inlineStr">
        <is>
          <t>td_nod_lighttankmkii</t>
        </is>
      </c>
      <c r="C66" t="inlineStr">
        <is>
          <t>Light Tank Mk. II</t>
        </is>
      </c>
      <c r="D66" t="inlineStr"/>
      <c r="E66" s="5" t="n">
        <v>80000</v>
      </c>
      <c r="F66" s="5" t="n">
        <v>100</v>
      </c>
      <c r="G66" t="inlineStr">
        <is>
          <t>Medium</t>
        </is>
      </c>
      <c r="H66" s="5" t="n">
        <v>1</v>
      </c>
      <c r="I66" s="5" t="n">
        <v>1</v>
      </c>
      <c r="J66" s="5" t="n">
        <v>1</v>
      </c>
      <c r="O66">
        <f>MAX(O67,O68,O69)</f>
        <v/>
      </c>
      <c r="R66">
        <f>R67+R68+R69</f>
        <v/>
      </c>
      <c r="S66">
        <f>(E66/100000+F66/100+(O66/1000)*J66/5+R66/200)*200*I66*H66</f>
        <v/>
      </c>
      <c r="T66">
        <f>((E66*F66/25000)+((O66/1000)*J66*R66/2.5))*I66*H66</f>
        <v/>
      </c>
      <c r="U66">
        <f>(E66*F66*(O66/1000)*J66*R66*I66*H66)/12500000</f>
        <v/>
      </c>
      <c r="V66">
        <f>(S66+T66+U66)/3</f>
        <v/>
      </c>
      <c r="W66" s="5" t="n">
        <v>800</v>
      </c>
      <c r="X66">
        <f>IFERROR(V66-W66,"")</f>
        <v/>
      </c>
      <c r="Y66">
        <f>IFERROR(ABS(X66)/MAX(W66,1),"")</f>
        <v/>
      </c>
      <c r="Z66">
        <f>IFERROR((W66-(((E66/100000+F66/100+R66/200)*200*I66*H66)+((E66*F66/25000)*I66*H66))/3)/(((J66/5)*200*I66*H66)+((J66*R66/2.5)*I66*H66)+((E66*F66*J66*R66*I66*H66)/12500000))/3*1000,"")</f>
        <v/>
      </c>
    </row>
    <row r="67">
      <c r="B67" s="6" t="inlineStr">
        <is>
          <t xml:space="preserve">  ↳ PDLaserLTNK2</t>
        </is>
      </c>
      <c r="C67" s="6" t="inlineStr">
        <is>
          <t>Armament@pointdefense</t>
        </is>
      </c>
      <c r="K67" s="5" t="n">
        <v>1</v>
      </c>
      <c r="L67" s="5" t="n">
        <v>25</v>
      </c>
      <c r="M67" s="5" t="n">
        <v>1</v>
      </c>
      <c r="N67" s="5" t="n"/>
      <c r="O67" s="5" t="n">
        <v>4903</v>
      </c>
      <c r="P67" s="5" t="n">
        <v>1</v>
      </c>
      <c r="Q67">
        <f>L67+IF(M67&gt;1,N(N67)*(M67-1),0)</f>
        <v/>
      </c>
      <c r="R67">
        <f>IFERROR(K67*MAX(M67,1)/Q67*P67,0)</f>
        <v/>
      </c>
      <c r="AA67" s="6" t="inlineStr">
        <is>
          <t>PDLaser</t>
        </is>
      </c>
    </row>
    <row r="68">
      <c r="B68" s="6" t="inlineStr">
        <is>
          <t xml:space="preserve">  ↳ LightTank2Cannon</t>
        </is>
      </c>
      <c r="C68" s="6" t="inlineStr">
        <is>
          <t>Armament</t>
        </is>
      </c>
      <c r="K68" s="5" t="n">
        <v>4000</v>
      </c>
      <c r="L68" s="5" t="n">
        <v>35</v>
      </c>
      <c r="M68" s="5" t="n">
        <v>1</v>
      </c>
      <c r="N68" s="5" t="n"/>
      <c r="O68" s="5" t="n">
        <v>4903</v>
      </c>
      <c r="P68" s="5" t="n">
        <v>1</v>
      </c>
      <c r="Q68">
        <f>L68+IF(M68&gt;1,N(N68)*(M68-1),0)</f>
        <v/>
      </c>
      <c r="R68">
        <f>IFERROR(K68*MAX(M68,1)/Q68*P68,0)</f>
        <v/>
      </c>
      <c r="AA68" s="6" t="inlineStr">
        <is>
          <t>^LightChemicalWeapon, ^MediumCannon</t>
        </is>
      </c>
    </row>
    <row r="69">
      <c r="B69" s="6" t="inlineStr">
        <is>
          <t xml:space="preserve">  ↳ LightTank2Missiles</t>
        </is>
      </c>
      <c r="C69" s="6" t="inlineStr">
        <is>
          <t>Armament@Missile</t>
        </is>
      </c>
      <c r="K69" s="5" t="n">
        <v>4000</v>
      </c>
      <c r="L69" s="5" t="n">
        <v>35</v>
      </c>
      <c r="M69" s="5" t="n">
        <v>1</v>
      </c>
      <c r="N69" s="5" t="n"/>
      <c r="O69" s="5" t="n">
        <v>4903</v>
      </c>
      <c r="P69" s="5" t="n">
        <v>1</v>
      </c>
      <c r="Q69">
        <f>L69+IF(M69&gt;1,N(N69)*(M69-1),0)</f>
        <v/>
      </c>
      <c r="R69">
        <f>IFERROR(K69*MAX(M69,1)/Q69*P69,0)</f>
        <v/>
      </c>
      <c r="AA69" s="6" t="inlineStr">
        <is>
          <t>^LightFlameWeapon, ^MediumMissile</t>
        </is>
      </c>
    </row>
    <row r="70">
      <c r="A70" t="inlineStr">
        <is>
          <t>tiberiandawn</t>
        </is>
      </c>
      <c r="B70" t="inlineStr">
        <is>
          <t>td_nod_mobileconstructionvehicle</t>
        </is>
      </c>
      <c r="C70" t="inlineStr">
        <is>
          <t>Nod Mobile Construction Vehicle</t>
        </is>
      </c>
      <c r="D70" t="inlineStr"/>
      <c r="E70" s="5" t="n">
        <v>300000</v>
      </c>
      <c r="F70" s="5" t="n">
        <v>75</v>
      </c>
      <c r="G70" t="inlineStr">
        <is>
          <t>Medium</t>
        </is>
      </c>
      <c r="H70" s="5" t="n">
        <v>1</v>
      </c>
      <c r="I70" s="5" t="n">
        <v>1</v>
      </c>
      <c r="J70" s="5" t="n">
        <v>1</v>
      </c>
      <c r="W70" s="5" t="n">
        <v>5000</v>
      </c>
    </row>
    <row r="71">
      <c r="A71" t="inlineStr">
        <is>
          <t>tiberiandawn</t>
        </is>
      </c>
      <c r="B71" t="inlineStr">
        <is>
          <t>td_nod_reconbike</t>
        </is>
      </c>
      <c r="C71" t="inlineStr">
        <is>
          <t>Recon Bike</t>
        </is>
      </c>
      <c r="D71" t="inlineStr"/>
      <c r="E71" s="5" t="n">
        <v>17500</v>
      </c>
      <c r="F71" s="5" t="n">
        <v>200</v>
      </c>
      <c r="G71" t="inlineStr">
        <is>
          <t>Scout</t>
        </is>
      </c>
      <c r="H71" s="5" t="n">
        <v>1</v>
      </c>
      <c r="I71" s="5" t="n">
        <v>0.5</v>
      </c>
      <c r="J71" s="5" t="n">
        <v>1</v>
      </c>
      <c r="O71">
        <f>MAX(O72,O73)</f>
        <v/>
      </c>
      <c r="R71">
        <f>R72+R73</f>
        <v/>
      </c>
      <c r="S71">
        <f>(E71/100000+F71/100+(O71/1000)*J71/5+R71/200)*200*I71*H71</f>
        <v/>
      </c>
      <c r="T71">
        <f>((E71*F71/25000)+((O71/1000)*J71*R71/2.5))*I71*H71</f>
        <v/>
      </c>
      <c r="U71">
        <f>(E71*F71*(O71/1000)*J71*R71*I71*H71)/12500000</f>
        <v/>
      </c>
      <c r="V71">
        <f>(S71+T71+U71)/3</f>
        <v/>
      </c>
      <c r="W71" s="5" t="n">
        <v>500</v>
      </c>
      <c r="X71">
        <f>IFERROR(V71-W71,"")</f>
        <v/>
      </c>
      <c r="Y71">
        <f>IFERROR(ABS(X71)/MAX(W71,1),"")</f>
        <v/>
      </c>
      <c r="Z71">
        <f>IFERROR((W71-(((E71/100000+F71/100+R71/200)*200*I71*H71)+((E71*F71/25000)*I71*H71))/3)/(((J71/5)*200*I71*H71)+((J71*R71/2.5)*I71*H71)+((E71*F71*J71*R71*I71*H71)/12500000))/3*1000,"")</f>
        <v/>
      </c>
    </row>
    <row r="72">
      <c r="B72" s="6" t="inlineStr">
        <is>
          <t xml:space="preserve">  ↳ PDLaserBike</t>
        </is>
      </c>
      <c r="C72" s="6" t="inlineStr">
        <is>
          <t>Armament@pointdefense</t>
        </is>
      </c>
      <c r="K72" s="5" t="n">
        <v>1</v>
      </c>
      <c r="L72" s="5" t="n">
        <v>25</v>
      </c>
      <c r="M72" s="5" t="n">
        <v>1</v>
      </c>
      <c r="N72" s="5" t="n"/>
      <c r="O72" s="5" t="n">
        <v>6000</v>
      </c>
      <c r="P72" s="5" t="n">
        <v>1</v>
      </c>
      <c r="Q72">
        <f>L72+IF(M72&gt;1,N(N72)*(M72-1),0)</f>
        <v/>
      </c>
      <c r="R72">
        <f>IFERROR(K72*MAX(M72,1)/Q72*P72,0)</f>
        <v/>
      </c>
      <c r="AA72" s="6" t="inlineStr">
        <is>
          <t>PDLaser</t>
        </is>
      </c>
    </row>
    <row r="73">
      <c r="B73" s="6" t="inlineStr">
        <is>
          <t xml:space="preserve">  ↳ BikeRockets</t>
        </is>
      </c>
      <c r="C73" s="6" t="inlineStr">
        <is>
          <t>Armament</t>
        </is>
      </c>
      <c r="K73" s="5" t="n">
        <v>4000</v>
      </c>
      <c r="L73" s="5" t="n">
        <v>55</v>
      </c>
      <c r="M73" s="5" t="n">
        <v>2</v>
      </c>
      <c r="N73" s="5" t="n">
        <v>10</v>
      </c>
      <c r="O73" s="5" t="n">
        <v>6000</v>
      </c>
      <c r="P73" s="5" t="n">
        <v>1</v>
      </c>
      <c r="Q73">
        <f>L73+IF(M73&gt;1,N(N73)*(M73-1),0)</f>
        <v/>
      </c>
      <c r="R73">
        <f>IFERROR(K73*MAX(M73,1)/Q73*P73,0)</f>
        <v/>
      </c>
      <c r="AA73" s="6" t="inlineStr">
        <is>
          <t>^TankDestroyerCannon, ^ShrapnelWeapon, ^FlakWeapon, ^LightMissile</t>
        </is>
      </c>
    </row>
    <row r="74">
      <c r="A74" t="inlineStr">
        <is>
          <t>tiberiandawn</t>
        </is>
      </c>
      <c r="B74" t="inlineStr">
        <is>
          <t>td_nod_specterartillery</t>
        </is>
      </c>
      <c r="C74" t="inlineStr">
        <is>
          <t>Specter Artillery</t>
        </is>
      </c>
      <c r="D74" t="inlineStr"/>
      <c r="E74" s="5" t="n">
        <v>22500</v>
      </c>
      <c r="F74" s="5" t="n">
        <v>100</v>
      </c>
      <c r="G74" t="inlineStr">
        <is>
          <t>Light</t>
        </is>
      </c>
      <c r="H74" s="5" t="n">
        <v>1</v>
      </c>
      <c r="I74" s="5" t="n">
        <v>1</v>
      </c>
      <c r="J74" s="5" t="n">
        <v>1</v>
      </c>
      <c r="O74">
        <f>MAX(O75,O76)</f>
        <v/>
      </c>
      <c r="R74">
        <f>R75+R76</f>
        <v/>
      </c>
      <c r="S74">
        <f>(E74/100000+F74/100+(O74/1000)*J74/5+R74/200)*200*I74*H74</f>
        <v/>
      </c>
      <c r="T74">
        <f>((E74*F74/25000)+((O74/1000)*J74*R74/2.5))*I74*H74</f>
        <v/>
      </c>
      <c r="U74">
        <f>(E74*F74*(O74/1000)*J74*R74*I74*H74)/12500000</f>
        <v/>
      </c>
      <c r="V74">
        <f>(S74+T74+U74)/3</f>
        <v/>
      </c>
      <c r="W74" s="5" t="n">
        <v>900</v>
      </c>
      <c r="X74">
        <f>IFERROR(V74-W74,"")</f>
        <v/>
      </c>
      <c r="Y74">
        <f>IFERROR(ABS(X74)/MAX(W74,1),"")</f>
        <v/>
      </c>
      <c r="Z74">
        <f>IFERROR((W74-(((E74/100000+F74/100+R74/200)*200*I74*H74)+((E74*F74/25000)*I74*H74))/3)/(((J74/5)*200*I74*H74)+((J74*R74/2.5)*I74*H74)+((E74*F74*J74*R74*I74*H74)/12500000))/3*1000,"")</f>
        <v/>
      </c>
    </row>
    <row r="75">
      <c r="B75" s="6" t="inlineStr">
        <is>
          <t xml:space="preserve">  ↳ SpecterArtilleryShell</t>
        </is>
      </c>
      <c r="C75" s="6" t="inlineStr">
        <is>
          <t>Armament</t>
        </is>
      </c>
      <c r="K75" s="5" t="n">
        <v>16000</v>
      </c>
      <c r="L75" s="5" t="n">
        <v>78</v>
      </c>
      <c r="M75" s="5" t="n">
        <v>1</v>
      </c>
      <c r="N75" s="5" t="n"/>
      <c r="O75" s="5" t="n">
        <v>12640</v>
      </c>
      <c r="P75" s="5" t="n">
        <v>1</v>
      </c>
      <c r="Q75">
        <f>L75+IF(M75&gt;1,N(N75)*(M75-1),0)</f>
        <v/>
      </c>
      <c r="R75">
        <f>IFERROR(K75*MAX(M75,1)/Q75*P75,0)</f>
        <v/>
      </c>
      <c r="AA75" s="6" t="inlineStr">
        <is>
          <t>^Grenade, ^ShrapnelWeapon, ^ImpactGlow</t>
        </is>
      </c>
    </row>
    <row r="76">
      <c r="B76" s="6" t="inlineStr">
        <is>
          <t xml:space="preserve">  ↳ SpecterArtilleryShellUpgrade</t>
        </is>
      </c>
      <c r="C76" s="6" t="inlineStr">
        <is>
          <t>Armament@Upgrade</t>
        </is>
      </c>
      <c r="K76" s="5" t="n">
        <v>4000</v>
      </c>
      <c r="L76" s="5" t="n">
        <v>78</v>
      </c>
      <c r="M76" s="5" t="n">
        <v>1</v>
      </c>
      <c r="N76" s="5" t="n"/>
      <c r="O76" s="5" t="n">
        <v>12640</v>
      </c>
      <c r="P76" s="5" t="n">
        <v>1</v>
      </c>
      <c r="Q76">
        <f>L76+IF(M76&gt;1,N(N76)*(M76-1),0)</f>
        <v/>
      </c>
      <c r="R76">
        <f>IFERROR(K76*MAX(M76,1)/Q76*P76,0)</f>
        <v/>
      </c>
      <c r="AA76" s="6" t="inlineStr">
        <is>
          <t>^MediumChemicalWeapon, ^MediumFlameWeapon, ^HeavyBomb, ^TankDestroyerCannon, ^MediumCannon, ^HeavyCannon, ^Grenade, ^ShrapnelWeapon, ^ImpactGlow</t>
        </is>
      </c>
    </row>
    <row r="77">
      <c r="A77" t="inlineStr">
        <is>
          <t>tiberiandawn</t>
        </is>
      </c>
      <c r="B77" t="inlineStr">
        <is>
          <t>td_nod_ssmlauncher</t>
        </is>
      </c>
      <c r="C77" t="inlineStr">
        <is>
          <t>SSM Launcher</t>
        </is>
      </c>
      <c r="D77" t="inlineStr"/>
      <c r="E77" s="5" t="n">
        <v>20000</v>
      </c>
      <c r="F77" s="5" t="n">
        <v>100</v>
      </c>
      <c r="G77" t="inlineStr">
        <is>
          <t>Light</t>
        </is>
      </c>
      <c r="H77" s="5" t="n">
        <v>0.75</v>
      </c>
      <c r="I77" s="5" t="n">
        <v>1</v>
      </c>
      <c r="J77" s="5" t="n">
        <v>1</v>
      </c>
      <c r="O77">
        <f>MAX(O78)</f>
        <v/>
      </c>
      <c r="R77">
        <f>R78</f>
        <v/>
      </c>
      <c r="S77">
        <f>(E77/100000+F77/100+(O77/1000)*J77/5+R77/200)*200*I77*H77</f>
        <v/>
      </c>
      <c r="T77">
        <f>((E77*F77/25000)+((O77/1000)*J77*R77/2.5))*I77*H77</f>
        <v/>
      </c>
      <c r="U77">
        <f>(E77*F77*(O77/1000)*J77*R77*I77*H77)/12500000</f>
        <v/>
      </c>
      <c r="V77">
        <f>(S77+T77+U77)/3</f>
        <v/>
      </c>
      <c r="W77" s="5" t="n">
        <v>800</v>
      </c>
      <c r="X77">
        <f>IFERROR(V77-W77,"")</f>
        <v/>
      </c>
      <c r="Y77">
        <f>IFERROR(ABS(X77)/MAX(W77,1),"")</f>
        <v/>
      </c>
      <c r="Z77">
        <f>IFERROR((W77-(((E77/100000+F77/100+R77/200)*200*I77*H77)+((E77*F77/25000)*I77*H77))/3)/(((J77/5)*200*I77*H77)+((J77*R77/2.5)*I77*H77)+((E77*F77*J77*R77*I77*H77)/12500000))/3*1000,"")</f>
        <v/>
      </c>
    </row>
    <row r="78">
      <c r="B78" s="6" t="inlineStr">
        <is>
          <t xml:space="preserve">  ↳ HonestJohn</t>
        </is>
      </c>
      <c r="C78" s="6" t="inlineStr">
        <is>
          <t>Armament</t>
        </is>
      </c>
      <c r="K78" s="5" t="n">
        <v>10000</v>
      </c>
      <c r="L78" s="5" t="n">
        <v>225</v>
      </c>
      <c r="M78" s="5" t="n">
        <v>2</v>
      </c>
      <c r="N78" s="5" t="n">
        <v>25</v>
      </c>
      <c r="O78" s="5" t="n">
        <v>8940</v>
      </c>
      <c r="P78" s="5" t="n">
        <v>1</v>
      </c>
      <c r="Q78">
        <f>L78+IF(M78&gt;1,N(N78)*(M78-1),0)</f>
        <v/>
      </c>
      <c r="R78">
        <f>IFERROR(K78*MAX(M78,1)/Q78*P78,0)</f>
        <v/>
      </c>
      <c r="AA78" s="6" t="inlineStr">
        <is>
          <t>^LightFlameWeapon, ^MediumFlameWeapon, ^HeavyFlameWeapon, ^MediumMissile, ^HeavyMissile</t>
        </is>
      </c>
    </row>
    <row r="79">
      <c r="A79" t="inlineStr">
        <is>
          <t>tiberiandawn</t>
        </is>
      </c>
      <c r="B79" t="inlineStr">
        <is>
          <t>td_nod_stealthharvester</t>
        </is>
      </c>
      <c r="C79" t="inlineStr">
        <is>
          <t>Stealth Harvester</t>
        </is>
      </c>
      <c r="D79" t="inlineStr"/>
      <c r="E79" s="5" t="n">
        <v>125000</v>
      </c>
      <c r="F79" s="5" t="n">
        <v>75</v>
      </c>
      <c r="G79" t="inlineStr">
        <is>
          <t>Heavy</t>
        </is>
      </c>
      <c r="H79" s="5" t="n">
        <v>1</v>
      </c>
      <c r="I79" s="5" t="n">
        <v>1</v>
      </c>
      <c r="J79" s="5" t="n">
        <v>1</v>
      </c>
      <c r="W79" s="5" t="n">
        <v>1000</v>
      </c>
    </row>
    <row r="80">
      <c r="A80" t="inlineStr">
        <is>
          <t>tiberiandawn</t>
        </is>
      </c>
      <c r="B80" t="inlineStr">
        <is>
          <t>td_nod_stealthtank</t>
        </is>
      </c>
      <c r="C80" t="inlineStr">
        <is>
          <t>Stealth Tank</t>
        </is>
      </c>
      <c r="D80" t="inlineStr"/>
      <c r="E80" s="5" t="n">
        <v>25000</v>
      </c>
      <c r="F80" s="5" t="n">
        <v>150</v>
      </c>
      <c r="G80" t="inlineStr">
        <is>
          <t>Light</t>
        </is>
      </c>
      <c r="H80" s="5" t="n">
        <v>1</v>
      </c>
      <c r="I80" s="5" t="n">
        <v>1</v>
      </c>
      <c r="J80" s="5" t="n">
        <v>1</v>
      </c>
      <c r="O80">
        <f>MAX(O81,O82)</f>
        <v/>
      </c>
      <c r="R80">
        <f>R81+R82</f>
        <v/>
      </c>
      <c r="S80">
        <f>(E80/100000+F80/100+(O80/1000)*J80/5+R80/200)*200*I80*H80</f>
        <v/>
      </c>
      <c r="T80">
        <f>((E80*F80/25000)+((O80/1000)*J80*R80/2.5))*I80*H80</f>
        <v/>
      </c>
      <c r="U80">
        <f>(E80*F80*(O80/1000)*J80*R80*I80*H80)/12500000</f>
        <v/>
      </c>
      <c r="V80">
        <f>(S80+T80+U80)/3</f>
        <v/>
      </c>
      <c r="W80" s="5" t="n">
        <v>900</v>
      </c>
      <c r="X80">
        <f>IFERROR(V80-W80,"")</f>
        <v/>
      </c>
      <c r="Y80">
        <f>IFERROR(ABS(X80)/MAX(W80,1),"")</f>
        <v/>
      </c>
      <c r="Z80">
        <f>IFERROR((W80-(((E80/100000+F80/100+R80/200)*200*I80*H80)+((E80*F80/25000)*I80*H80))/3)/(((J80/5)*200*I80*H80)+((J80*R80/2.5)*I80*H80)+((E80*F80*J80*R80*I80*H80)/12500000))/3*1000,"")</f>
        <v/>
      </c>
    </row>
    <row r="81">
      <c r="B81" s="6" t="inlineStr">
        <is>
          <t xml:space="preserve">  ↳ StealthTankMissiles</t>
        </is>
      </c>
      <c r="C81" s="6" t="inlineStr">
        <is>
          <t>Armament</t>
        </is>
      </c>
      <c r="K81" s="5" t="n">
        <v>12000</v>
      </c>
      <c r="L81" s="5" t="n">
        <v>58</v>
      </c>
      <c r="M81" s="5" t="n">
        <v>2</v>
      </c>
      <c r="N81" s="5" t="n">
        <v>8</v>
      </c>
      <c r="O81" s="5" t="n">
        <v>7432</v>
      </c>
      <c r="P81" s="5" t="n">
        <v>1</v>
      </c>
      <c r="Q81">
        <f>L81+IF(M81&gt;1,N(N81)*(M81-1),0)</f>
        <v/>
      </c>
      <c r="R81">
        <f>IFERROR(K81*MAX(M81,1)/Q81*P81,0)</f>
        <v/>
      </c>
      <c r="AA81" s="6" t="inlineStr">
        <is>
          <t>^MediumMissile</t>
        </is>
      </c>
    </row>
    <row r="82">
      <c r="B82" s="6" t="inlineStr">
        <is>
          <t xml:space="preserve">  ↳ StealthTankMissilesBlackMarket</t>
        </is>
      </c>
      <c r="C82" s="6" t="inlineStr">
        <is>
          <t>Armament@Upgrade</t>
        </is>
      </c>
      <c r="K82" s="5" t="n">
        <v>12000</v>
      </c>
      <c r="L82" s="5" t="n">
        <v>58</v>
      </c>
      <c r="M82" s="5" t="n">
        <v>2</v>
      </c>
      <c r="N82" s="5" t="n">
        <v>8</v>
      </c>
      <c r="O82" s="5" t="n">
        <v>7432</v>
      </c>
      <c r="P82" s="5" t="n">
        <v>1</v>
      </c>
      <c r="Q82">
        <f>L82+IF(M82&gt;1,N(N82)*(M82-1),0)</f>
        <v/>
      </c>
      <c r="R82">
        <f>IFERROR(K82*MAX(M82,1)/Q82*P82,0)</f>
        <v/>
      </c>
      <c r="AA82" s="6" t="inlineStr">
        <is>
          <t>^MediumMissile</t>
        </is>
      </c>
    </row>
    <row r="83">
      <c r="A83" t="inlineStr">
        <is>
          <t>tiberiandawn</t>
        </is>
      </c>
      <c r="B83" t="inlineStr">
        <is>
          <t>td_nod_tiberiumharvester</t>
        </is>
      </c>
      <c r="C83" t="inlineStr">
        <is>
          <t>Nod Tiberium Harvester</t>
        </is>
      </c>
      <c r="D83" t="inlineStr"/>
      <c r="E83" s="5" t="n">
        <v>150000</v>
      </c>
      <c r="F83" s="5" t="n">
        <v>60</v>
      </c>
      <c r="G83" t="inlineStr">
        <is>
          <t>Heavy</t>
        </is>
      </c>
      <c r="H83" s="5" t="n">
        <v>1</v>
      </c>
      <c r="I83" s="5" t="n">
        <v>1</v>
      </c>
      <c r="J83" s="5" t="n">
        <v>1</v>
      </c>
      <c r="W83" s="5" t="n">
        <v>1000</v>
      </c>
    </row>
    <row r="84">
      <c r="A84" s="3" t="inlineStr">
        <is>
          <t>AIRCRAFT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>
      <c r="A85" t="inlineStr">
        <is>
          <t>tiberiandawn</t>
        </is>
      </c>
      <c r="B85" t="inlineStr">
        <is>
          <t>td_nod_apacheattackhelicopter</t>
        </is>
      </c>
      <c r="C85" t="inlineStr">
        <is>
          <t>Apache Attack Helicopter</t>
        </is>
      </c>
      <c r="D85" t="inlineStr"/>
      <c r="E85" s="5" t="n">
        <v>45000</v>
      </c>
      <c r="F85" s="5" t="n">
        <v>160</v>
      </c>
      <c r="G85" t="inlineStr">
        <is>
          <t>Helicopter</t>
        </is>
      </c>
      <c r="H85" s="5" t="n">
        <v>1</v>
      </c>
      <c r="I85" s="5" t="n">
        <v>1</v>
      </c>
      <c r="J85" s="5" t="n">
        <v>1</v>
      </c>
      <c r="O85">
        <f>MAX(O86,O87)</f>
        <v/>
      </c>
      <c r="R85">
        <f>R86+R87</f>
        <v/>
      </c>
      <c r="S85">
        <f>(E85/100000+F85/100+(O85/1000)*J85/5+R85/200)*200*I85*H85</f>
        <v/>
      </c>
      <c r="T85">
        <f>((E85*F85/25000)+((O85/1000)*J85*R85/2.5))*I85*H85</f>
        <v/>
      </c>
      <c r="U85">
        <f>(E85*F85*(O85/1000)*J85*R85*I85*H85)/12500000</f>
        <v/>
      </c>
      <c r="V85">
        <f>(S85+T85+U85)/3</f>
        <v/>
      </c>
      <c r="W85" s="5" t="n">
        <v>1600</v>
      </c>
      <c r="X85">
        <f>IFERROR(V85-W85,"")</f>
        <v/>
      </c>
      <c r="Y85">
        <f>IFERROR(ABS(X85)/MAX(W85,1),"")</f>
        <v/>
      </c>
      <c r="Z85">
        <f>IFERROR((W85-(((E85/100000+F85/100+R85/200)*200*I85*H85)+((E85*F85/25000)*I85*H85))/3)/(((J85/5)*200*I85*H85)+((J85*R85/2.5)*I85*H85)+((E85*F85*J85*R85*I85*H85)/12500000))/3*1000,"")</f>
        <v/>
      </c>
    </row>
    <row r="86">
      <c r="B86" s="6" t="inlineStr">
        <is>
          <t xml:space="preserve">  ↳ HeliGun</t>
        </is>
      </c>
      <c r="C86" s="6" t="inlineStr">
        <is>
          <t>Armament@PRIMARY</t>
        </is>
      </c>
      <c r="K86" s="5" t="n">
        <v>4000</v>
      </c>
      <c r="L86" s="5" t="n">
        <v>16</v>
      </c>
      <c r="M86" s="5" t="n">
        <v>4</v>
      </c>
      <c r="N86" s="5" t="n">
        <v>2</v>
      </c>
      <c r="O86" s="5" t="n">
        <v>4501</v>
      </c>
      <c r="P86" s="5" t="n">
        <v>1</v>
      </c>
      <c r="Q86">
        <f>L86+IF(M86&gt;1,N(N86)*(M86-1),0)</f>
        <v/>
      </c>
      <c r="R86">
        <f>IFERROR(K86*MAX(M86,1)/Q86*P86,0)</f>
        <v/>
      </c>
      <c r="AA86" s="6" t="inlineStr">
        <is>
          <t>^Chaingun</t>
        </is>
      </c>
    </row>
    <row r="87">
      <c r="B87" s="6" t="inlineStr">
        <is>
          <t xml:space="preserve">  ↳ HeliMissiles</t>
        </is>
      </c>
      <c r="C87" s="6" t="inlineStr">
        <is>
          <t>Armament@Upgrade</t>
        </is>
      </c>
      <c r="K87" s="5" t="n">
        <v>2000</v>
      </c>
      <c r="L87" s="5" t="n">
        <v>16</v>
      </c>
      <c r="M87" s="5" t="n">
        <v>4</v>
      </c>
      <c r="N87" s="5" t="n">
        <v>2</v>
      </c>
      <c r="O87" s="5" t="n">
        <v>4501</v>
      </c>
      <c r="P87" s="5" t="n">
        <v>1</v>
      </c>
      <c r="Q87">
        <f>L87+IF(M87&gt;1,N(N87)*(M87-1),0)</f>
        <v/>
      </c>
      <c r="R87">
        <f>IFERROR(K87*MAX(M87,1)/Q87*P87,0)</f>
        <v/>
      </c>
      <c r="AA87" s="6" t="inlineStr">
        <is>
          <t>^MediumMissile</t>
        </is>
      </c>
    </row>
    <row r="88">
      <c r="A88" t="inlineStr">
        <is>
          <t>tiberiandawn</t>
        </is>
      </c>
      <c r="B88" t="inlineStr">
        <is>
          <t>td_nod_chinooktransport</t>
        </is>
      </c>
      <c r="C88" t="inlineStr">
        <is>
          <t>Nod Chinook Transport</t>
        </is>
      </c>
      <c r="D88" t="inlineStr"/>
      <c r="E88" s="5" t="n">
        <v>100000</v>
      </c>
      <c r="F88" s="5" t="n">
        <v>150</v>
      </c>
      <c r="G88" t="inlineStr">
        <is>
          <t>Helicopter</t>
        </is>
      </c>
      <c r="H88" s="5" t="n">
        <v>1</v>
      </c>
      <c r="I88" s="5" t="n">
        <v>1</v>
      </c>
      <c r="J88" s="5" t="n">
        <v>1</v>
      </c>
      <c r="W88" s="5" t="n">
        <v>3100</v>
      </c>
    </row>
    <row r="89">
      <c r="A89" t="inlineStr">
        <is>
          <t>tiberiandawn</t>
        </is>
      </c>
      <c r="B89" t="inlineStr">
        <is>
          <t>td_nod_venom</t>
        </is>
      </c>
      <c r="C89" t="inlineStr">
        <is>
          <t>Venom</t>
        </is>
      </c>
      <c r="D89" t="inlineStr"/>
      <c r="E89" s="5" t="n">
        <v>27500</v>
      </c>
      <c r="F89" s="5" t="n">
        <v>200</v>
      </c>
      <c r="G89" t="inlineStr">
        <is>
          <t>Helicopter</t>
        </is>
      </c>
      <c r="H89" s="5" t="n">
        <v>0.75</v>
      </c>
      <c r="I89" s="5" t="n">
        <v>1</v>
      </c>
      <c r="J89" s="5" t="n">
        <v>1.5</v>
      </c>
      <c r="O89">
        <f>MAX(O90)</f>
        <v/>
      </c>
      <c r="R89">
        <f>R90</f>
        <v/>
      </c>
      <c r="S89">
        <f>(E89/100000+F89/100+(O89/1000)*J89/5+R89/200)*200*I89*H89</f>
        <v/>
      </c>
      <c r="T89">
        <f>((E89*F89/25000)+((O89/1000)*J89*R89/2.5))*I89*H89</f>
        <v/>
      </c>
      <c r="U89">
        <f>(E89*F89*(O89/1000)*J89*R89*I89*H89)/12500000</f>
        <v/>
      </c>
      <c r="V89">
        <f>(S89+T89+U89)/3</f>
        <v/>
      </c>
      <c r="W89" s="5" t="n">
        <v>900</v>
      </c>
      <c r="X89">
        <f>IFERROR(V89-W89,"")</f>
        <v/>
      </c>
      <c r="Y89">
        <f>IFERROR(ABS(X89)/MAX(W89,1),"")</f>
        <v/>
      </c>
      <c r="Z89">
        <f>IFERROR((W89-(((E89/100000+F89/100+R89/200)*200*I89*H89)+((E89*F89/25000)*I89*H89))/3)/(((J89/5)*200*I89*H89)+((J89*R89/2.5)*I89*H89)+((E89*F89*J89*R89*I89*H89)/12500000))/3*1000,"")</f>
        <v/>
      </c>
    </row>
    <row r="90">
      <c r="B90" s="6" t="inlineStr">
        <is>
          <t xml:space="preserve">  ↳ VenomLaser</t>
        </is>
      </c>
      <c r="C90" s="6" t="inlineStr">
        <is>
          <t>Armament@PRIMARY</t>
        </is>
      </c>
      <c r="K90" s="5" t="n">
        <v>2000</v>
      </c>
      <c r="L90" s="5" t="n">
        <v>18</v>
      </c>
      <c r="M90" s="5" t="n">
        <v>1</v>
      </c>
      <c r="N90" s="5" t="n"/>
      <c r="O90" s="5" t="n">
        <v>4000</v>
      </c>
      <c r="P90" s="5" t="n">
        <v>1</v>
      </c>
      <c r="Q90">
        <f>L90+IF(M90&gt;1,N(N90)*(M90-1),0)</f>
        <v/>
      </c>
      <c r="R90">
        <f>IFERROR(K90*MAX(M90,1)/Q90*P90,0)</f>
        <v/>
      </c>
      <c r="AA90" s="6" t="inlineStr">
        <is>
          <t>^LightFlameWeapon, ^FlakWeapon, ^Chaingun, ^LaserWeapon</t>
        </is>
      </c>
    </row>
    <row r="91">
      <c r="A91" s="3" t="inlineStr">
        <is>
          <t>NAVAL</t>
        </is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  <row r="92">
      <c r="A92" t="inlineStr">
        <is>
          <t>tiberiandawn</t>
        </is>
      </c>
      <c r="B92" t="inlineStr">
        <is>
          <t>CNCRSS</t>
        </is>
      </c>
      <c r="C92" t="inlineStr">
        <is>
          <t>Transport Submarine</t>
        </is>
      </c>
      <c r="D92" t="inlineStr"/>
      <c r="E92" s="5" t="n">
        <v>50000</v>
      </c>
      <c r="F92" s="5" t="n">
        <v>150</v>
      </c>
      <c r="G92" t="inlineStr">
        <is>
          <t>Light</t>
        </is>
      </c>
      <c r="H92" s="5" t="n">
        <v>1</v>
      </c>
      <c r="I92" s="5" t="n">
        <v>1</v>
      </c>
      <c r="J92" s="5" t="n">
        <v>1</v>
      </c>
      <c r="W92" s="5" t="n">
        <v>500</v>
      </c>
    </row>
    <row r="93">
      <c r="A93" t="inlineStr">
        <is>
          <t>tiberiandawn</t>
        </is>
      </c>
      <c r="B93" t="inlineStr">
        <is>
          <t>CNCSS</t>
        </is>
      </c>
      <c r="C93" t="inlineStr">
        <is>
          <t>Nod Attack Submarine</t>
        </is>
      </c>
      <c r="D93" t="inlineStr"/>
      <c r="E93" s="5" t="n">
        <v>160000</v>
      </c>
      <c r="F93" s="5" t="n">
        <v>80</v>
      </c>
      <c r="G93" t="inlineStr">
        <is>
          <t>Heavy</t>
        </is>
      </c>
      <c r="H93" s="5" t="n">
        <v>1</v>
      </c>
      <c r="I93" s="5" t="n">
        <v>1</v>
      </c>
      <c r="J93" s="5" t="n">
        <v>1</v>
      </c>
      <c r="O93">
        <f>MAX(O94,O95)</f>
        <v/>
      </c>
      <c r="R93">
        <f>R94+R95</f>
        <v/>
      </c>
      <c r="S93">
        <f>(E93/100000+F93/100+(O93/1000)*J93/5+R93/200)*200*I93*H93</f>
        <v/>
      </c>
      <c r="T93">
        <f>((E93*F93/25000)+((O93/1000)*J93*R93/2.5))*I93*H93</f>
        <v/>
      </c>
      <c r="U93">
        <f>(E93*F93*(O93/1000)*J93*R93*I93*H93)/12500000</f>
        <v/>
      </c>
      <c r="V93">
        <f>(S93+T93+U93)/3</f>
        <v/>
      </c>
      <c r="W93" s="5" t="n">
        <v>1600</v>
      </c>
      <c r="X93">
        <f>IFERROR(V93-W93,"")</f>
        <v/>
      </c>
      <c r="Y93">
        <f>IFERROR(ABS(X93)/MAX(W93,1),"")</f>
        <v/>
      </c>
      <c r="Z93">
        <f>IFERROR((W93-(((E93/100000+F93/100+R93/200)*200*I93*H93)+((E93*F93/25000)*I93*H93))/3)/(((J93/5)*200*I93*H93)+((J93*R93/2.5)*I93*H93)+((E93*F93*J93*R93*I93*H93)/12500000))/3*1000,"")</f>
        <v/>
      </c>
    </row>
    <row r="94">
      <c r="B94" s="6" t="inlineStr">
        <is>
          <t xml:space="preserve">  ↳ NodTorpTube</t>
        </is>
      </c>
      <c r="C94" s="6" t="inlineStr">
        <is>
          <t>Armament@PRIMARY</t>
        </is>
      </c>
      <c r="K94" s="5" t="n">
        <v>8000</v>
      </c>
      <c r="L94" s="5" t="n">
        <v>64</v>
      </c>
      <c r="M94" s="5" t="n">
        <v>2</v>
      </c>
      <c r="N94" s="5" t="n">
        <v>8</v>
      </c>
      <c r="O94" s="5" t="n">
        <v>8000</v>
      </c>
      <c r="P94" s="5" t="n">
        <v>1</v>
      </c>
      <c r="Q94">
        <f>L94+IF(M94&gt;1,N(N94)*(M94-1),0)</f>
        <v/>
      </c>
      <c r="R94">
        <f>IFERROR(K94*MAX(M94,1)/Q94*P94,0)</f>
        <v/>
      </c>
      <c r="AA94" s="6" t="inlineStr">
        <is>
          <t>^Grenade, ^HeavyMissile</t>
        </is>
      </c>
    </row>
    <row r="95">
      <c r="B95" s="6" t="inlineStr">
        <is>
          <t xml:space="preserve">  ↳ NodTorpTubeBlackMarket</t>
        </is>
      </c>
      <c r="C95" s="6" t="inlineStr">
        <is>
          <t>Armament@Upgrade</t>
        </is>
      </c>
      <c r="K95" s="5" t="n">
        <v>8000</v>
      </c>
      <c r="L95" s="5" t="n">
        <v>64</v>
      </c>
      <c r="M95" s="5" t="n">
        <v>2</v>
      </c>
      <c r="N95" s="5" t="n">
        <v>8</v>
      </c>
      <c r="O95" s="5" t="n">
        <v>8000</v>
      </c>
      <c r="P95" s="5" t="n">
        <v>1</v>
      </c>
      <c r="Q95">
        <f>L95+IF(M95&gt;1,N(N95)*(M95-1),0)</f>
        <v/>
      </c>
      <c r="R95">
        <f>IFERROR(K95*MAX(M95,1)/Q95*P95,0)</f>
        <v/>
      </c>
      <c r="AA95" s="6" t="inlineStr">
        <is>
          <t>^HeavyBomb, ^HeavyMissile</t>
        </is>
      </c>
    </row>
    <row r="96">
      <c r="A96" t="inlineStr">
        <is>
          <t>tiberiandawn</t>
        </is>
      </c>
      <c r="B96" t="inlineStr">
        <is>
          <t>nodlasercorvette</t>
        </is>
      </c>
      <c r="C96" t="inlineStr">
        <is>
          <t>Nod Laser Corvette</t>
        </is>
      </c>
      <c r="D96" t="inlineStr"/>
      <c r="E96" s="5" t="n">
        <v>150000</v>
      </c>
      <c r="F96" s="5" t="n">
        <v>60</v>
      </c>
      <c r="G96" t="inlineStr">
        <is>
          <t>Medium</t>
        </is>
      </c>
      <c r="H96" s="5" t="n">
        <v>1</v>
      </c>
      <c r="I96" s="5" t="n">
        <v>1</v>
      </c>
      <c r="J96" s="5" t="n">
        <v>1</v>
      </c>
      <c r="O96">
        <f>MAX(O97,O98)</f>
        <v/>
      </c>
      <c r="R96">
        <f>R97+R98</f>
        <v/>
      </c>
      <c r="S96">
        <f>(E96/100000+F96/100+(O96/1000)*J96/5+R96/200)*200*I96*H96</f>
        <v/>
      </c>
      <c r="T96">
        <f>((E96*F96/25000)+((O96/1000)*J96*R96/2.5))*I96*H96</f>
        <v/>
      </c>
      <c r="U96">
        <f>(E96*F96*(O96/1000)*J96*R96*I96*H96)/12500000</f>
        <v/>
      </c>
      <c r="V96">
        <f>(S96+T96+U96)/3</f>
        <v/>
      </c>
      <c r="W96" s="5" t="n">
        <v>2300</v>
      </c>
      <c r="X96">
        <f>IFERROR(V96-W96,"")</f>
        <v/>
      </c>
      <c r="Y96">
        <f>IFERROR(ABS(X96)/MAX(W96,1),"")</f>
        <v/>
      </c>
      <c r="Z96">
        <f>IFERROR((W96-(((E96/100000+F96/100+R96/200)*200*I96*H96)+((E96*F96/25000)*I96*H96))/3)/(((J96/5)*200*I96*H96)+((J96*R96/2.5)*I96*H96)+((E96*F96*J96*R96*I96*H96)/12500000))/3*1000,"")</f>
        <v/>
      </c>
    </row>
    <row r="97">
      <c r="B97" s="6" t="inlineStr">
        <is>
          <t xml:space="preserve">  ↳ CorvetteLaserObelisk</t>
        </is>
      </c>
      <c r="C97" s="6" t="inlineStr">
        <is>
          <t>Armament@PRIMARY</t>
        </is>
      </c>
      <c r="K97" s="5" t="n">
        <v>120000</v>
      </c>
      <c r="L97" s="5" t="n">
        <v>90</v>
      </c>
      <c r="M97" s="5" t="n">
        <v>1</v>
      </c>
      <c r="N97" s="5" t="n"/>
      <c r="O97" s="5" t="n">
        <v>9550</v>
      </c>
      <c r="P97" s="5" t="n">
        <v>1</v>
      </c>
      <c r="Q97">
        <f>L97+IF(M97&gt;1,N(N97)*(M97-1),0)</f>
        <v/>
      </c>
      <c r="R97">
        <f>IFERROR(K97*MAX(M97,1)/Q97*P97,0)</f>
        <v/>
      </c>
      <c r="AA97" s="6" t="inlineStr">
        <is>
          <t>^LaserWeapon</t>
        </is>
      </c>
    </row>
    <row r="98">
      <c r="B98" s="6" t="inlineStr">
        <is>
          <t xml:space="preserve">  ↳ CorvetteDragon</t>
        </is>
      </c>
      <c r="C98" s="6" t="inlineStr">
        <is>
          <t>Armament@SECONDARY</t>
        </is>
      </c>
      <c r="K98" s="5" t="n">
        <v>10000</v>
      </c>
      <c r="L98" s="5" t="n">
        <v>35</v>
      </c>
      <c r="M98" s="5" t="n">
        <v>2</v>
      </c>
      <c r="N98" s="5" t="n">
        <v>7</v>
      </c>
      <c r="O98" s="5" t="n">
        <v>9550</v>
      </c>
      <c r="P98" s="5" t="n">
        <v>1</v>
      </c>
      <c r="Q98">
        <f>L98+IF(M98&gt;1,N(N98)*(M98-1),0)</f>
        <v/>
      </c>
      <c r="R98">
        <f>IFERROR(K98*MAX(M98,1)/Q98*P98,0)</f>
        <v/>
      </c>
      <c r="AA98" s="6" t="inlineStr">
        <is>
          <t>^HeavyMissile, ^ImpactGlow</t>
        </is>
      </c>
    </row>
    <row r="99">
      <c r="A99" t="inlineStr">
        <is>
          <t>tiberiandawn</t>
        </is>
      </c>
      <c r="B99" t="inlineStr">
        <is>
          <t>ssmsub</t>
        </is>
      </c>
      <c r="C99" t="inlineStr">
        <is>
          <t>Ballistic Missile Submarine</t>
        </is>
      </c>
      <c r="D99" t="inlineStr"/>
      <c r="E99" s="5" t="n">
        <v>200000</v>
      </c>
      <c r="F99" s="5" t="n">
        <v>60</v>
      </c>
      <c r="G99" t="inlineStr">
        <is>
          <t>Medium</t>
        </is>
      </c>
      <c r="H99" s="5" t="n">
        <v>1</v>
      </c>
      <c r="I99" s="5" t="n">
        <v>1</v>
      </c>
      <c r="J99" s="5" t="n">
        <v>1</v>
      </c>
      <c r="O99">
        <f>MAX(O100)</f>
        <v/>
      </c>
      <c r="R99">
        <f>R100</f>
        <v/>
      </c>
      <c r="S99">
        <f>(E99/100000+F99/100+(O99/1000)*J99/5+R99/200)*200*I99*H99</f>
        <v/>
      </c>
      <c r="T99">
        <f>((E99*F99/25000)+((O99/1000)*J99*R99/2.5))*I99*H99</f>
        <v/>
      </c>
      <c r="U99">
        <f>(E99*F99*(O99/1000)*J99*R99*I99*H99)/12500000</f>
        <v/>
      </c>
      <c r="V99">
        <f>(S99+T99+U99)/3</f>
        <v/>
      </c>
      <c r="W99" s="5" t="n">
        <v>2800</v>
      </c>
      <c r="X99">
        <f>IFERROR(V99-W99,"")</f>
        <v/>
      </c>
      <c r="Y99">
        <f>IFERROR(ABS(X99)/MAX(W99,1),"")</f>
        <v/>
      </c>
      <c r="Z99">
        <f>IFERROR((W99-(((E99/100000+F99/100+R99/200)*200*I99*H99)+((E99*F99/25000)*I99*H99))/3)/(((J99/5)*200*I99*H99)+((J99*R99/2.5)*I99*H99)+((E99*F99*J99*R99*I99*H99)/12500000))/3*1000,"")</f>
        <v/>
      </c>
    </row>
    <row r="100">
      <c r="B100" s="6" t="inlineStr">
        <is>
          <t xml:space="preserve">  ↳ HonestJohn</t>
        </is>
      </c>
      <c r="C100" s="6" t="inlineStr">
        <is>
          <t>Armament</t>
        </is>
      </c>
      <c r="K100" s="5" t="n">
        <v>10000</v>
      </c>
      <c r="L100" s="5" t="n">
        <v>225</v>
      </c>
      <c r="M100" s="5" t="n">
        <v>2</v>
      </c>
      <c r="N100" s="5" t="n">
        <v>25</v>
      </c>
      <c r="O100" s="5" t="n">
        <v>8940</v>
      </c>
      <c r="P100" s="5" t="n">
        <v>1</v>
      </c>
      <c r="Q100">
        <f>L100+IF(M100&gt;1,N(N100)*(M100-1),0)</f>
        <v/>
      </c>
      <c r="R100">
        <f>IFERROR(K100*MAX(M100,1)/Q100*P100,0)</f>
        <v/>
      </c>
      <c r="AA100" s="6" t="inlineStr">
        <is>
          <t>^LightFlameWeapon, ^MediumFlameWeapon, ^HeavyFlameWeapon, ^MediumMissile, ^HeavyMissile</t>
        </is>
      </c>
    </row>
    <row r="101">
      <c r="A101" s="3" t="inlineStr">
        <is>
          <t>BUILDINGS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>
      <c r="A102" t="inlineStr">
        <is>
          <t>tiberiandawn</t>
        </is>
      </c>
      <c r="B102" t="inlineStr">
        <is>
          <t>CNCSPEN</t>
        </is>
      </c>
      <c r="C102" t="inlineStr">
        <is>
          <t>Nod Sub Pen</t>
        </is>
      </c>
      <c r="D102" t="inlineStr"/>
      <c r="E102" s="5" t="n">
        <v>600000</v>
      </c>
      <c r="F102" s="5" t="n"/>
      <c r="G102" t="inlineStr">
        <is>
          <t>Concrete</t>
        </is>
      </c>
      <c r="H102" s="5" t="n">
        <v>1</v>
      </c>
      <c r="I102" s="5" t="n">
        <v>1</v>
      </c>
      <c r="J102" s="5" t="n">
        <v>1</v>
      </c>
      <c r="W102" s="5" t="n">
        <v>800</v>
      </c>
    </row>
    <row r="103">
      <c r="A103" t="inlineStr">
        <is>
          <t>tiberiandawn</t>
        </is>
      </c>
      <c r="B103" t="inlineStr">
        <is>
          <t>td_nod_airstrip</t>
        </is>
      </c>
      <c r="C103" t="inlineStr">
        <is>
          <t>Nod Airstrip</t>
        </is>
      </c>
      <c r="D103" t="inlineStr"/>
      <c r="E103" s="5" t="n">
        <v>400000</v>
      </c>
      <c r="F103" s="5" t="n"/>
      <c r="G103" t="inlineStr">
        <is>
          <t>Concrete</t>
        </is>
      </c>
      <c r="H103" s="5" t="n">
        <v>1</v>
      </c>
      <c r="I103" s="5" t="n">
        <v>1</v>
      </c>
      <c r="J103" s="5" t="n">
        <v>1</v>
      </c>
      <c r="W103" s="5" t="n">
        <v>1500</v>
      </c>
    </row>
    <row r="104">
      <c r="A104" t="inlineStr">
        <is>
          <t>tiberiandawn</t>
        </is>
      </c>
      <c r="B104" t="inlineStr">
        <is>
          <t>td_nod_communicationscenter</t>
        </is>
      </c>
      <c r="C104" t="inlineStr">
        <is>
          <t>Nod Communications Center</t>
        </is>
      </c>
      <c r="D104" t="inlineStr"/>
      <c r="E104" s="5" t="n">
        <v>250000</v>
      </c>
      <c r="F104" s="5" t="n"/>
      <c r="G104" t="inlineStr">
        <is>
          <t>Wood</t>
        </is>
      </c>
      <c r="H104" s="5" t="n">
        <v>1</v>
      </c>
      <c r="I104" s="5" t="n">
        <v>1</v>
      </c>
      <c r="J104" s="5" t="n">
        <v>1</v>
      </c>
      <c r="W104" s="5" t="n">
        <v>2500</v>
      </c>
    </row>
    <row r="105">
      <c r="A105" t="inlineStr">
        <is>
          <t>tiberiandawn</t>
        </is>
      </c>
      <c r="B105" t="inlineStr">
        <is>
          <t>td_nod_constructionyard</t>
        </is>
      </c>
      <c r="C105" t="inlineStr">
        <is>
          <t>Nod Construction Yard</t>
        </is>
      </c>
      <c r="D105" t="inlineStr"/>
      <c r="E105" s="5" t="n">
        <v>1000000</v>
      </c>
      <c r="F105" s="5" t="n"/>
      <c r="G105" t="inlineStr">
        <is>
          <t>Concrete</t>
        </is>
      </c>
      <c r="H105" s="5" t="n">
        <v>1</v>
      </c>
      <c r="I105" s="5" t="n">
        <v>1</v>
      </c>
      <c r="J105" s="5" t="n">
        <v>1</v>
      </c>
      <c r="W105" s="5" t="n">
        <v>5000</v>
      </c>
    </row>
    <row r="106">
      <c r="A106" t="inlineStr">
        <is>
          <t>tiberiandawn</t>
        </is>
      </c>
      <c r="B106" t="inlineStr">
        <is>
          <t>td_nod_gunturret</t>
        </is>
      </c>
      <c r="C106" t="inlineStr">
        <is>
          <t>Nod Gun Turret</t>
        </is>
      </c>
      <c r="D106" t="inlineStr"/>
      <c r="E106" s="5" t="n">
        <v>150000</v>
      </c>
      <c r="F106" s="5" t="n"/>
      <c r="G106" t="inlineStr">
        <is>
          <t>Concrete</t>
        </is>
      </c>
      <c r="H106" s="5" t="n">
        <v>1</v>
      </c>
      <c r="I106" s="5" t="n">
        <v>0.35</v>
      </c>
      <c r="J106" s="5" t="n">
        <v>1</v>
      </c>
      <c r="W106" s="5" t="n">
        <v>700</v>
      </c>
    </row>
    <row r="107">
      <c r="B107" s="6" t="inlineStr">
        <is>
          <t xml:space="preserve">  ↳ TurretGun</t>
        </is>
      </c>
      <c r="C107" s="6" t="inlineStr">
        <is>
          <t>Armament</t>
        </is>
      </c>
      <c r="K107" s="5" t="n">
        <v>6000</v>
      </c>
      <c r="L107" s="5" t="n">
        <v>61</v>
      </c>
      <c r="M107" s="5" t="n">
        <v>1</v>
      </c>
      <c r="N107" s="5" t="n"/>
      <c r="O107" s="5" t="n">
        <v>7711</v>
      </c>
      <c r="P107" s="5" t="n">
        <v>1</v>
      </c>
      <c r="Q107">
        <f>L107+IF(M107&gt;1,N(N107)*(M107-1),0)</f>
        <v/>
      </c>
      <c r="R107">
        <f>IFERROR(K107*MAX(M107,1)/Q107*P107,0)</f>
        <v/>
      </c>
      <c r="AA107" s="6" t="inlineStr">
        <is>
          <t>^ShrapnelWeapon, ^Grenade, ^MediumCannon, ^TankDestroyerCannon</t>
        </is>
      </c>
    </row>
    <row r="108">
      <c r="B108" s="6" t="inlineStr">
        <is>
          <t xml:space="preserve">  ↳ TurretGunBlackMarket</t>
        </is>
      </c>
      <c r="C108" s="6" t="inlineStr">
        <is>
          <t>Armament@Upgrade</t>
        </is>
      </c>
      <c r="K108" s="5" t="n">
        <v>6000</v>
      </c>
      <c r="L108" s="5" t="n">
        <v>61</v>
      </c>
      <c r="M108" s="5" t="n">
        <v>1</v>
      </c>
      <c r="N108" s="5" t="n"/>
      <c r="O108" s="5" t="n">
        <v>7711</v>
      </c>
      <c r="P108" s="5" t="n">
        <v>1</v>
      </c>
      <c r="Q108">
        <f>L108+IF(M108&gt;1,N(N108)*(M108-1),0)</f>
        <v/>
      </c>
      <c r="R108">
        <f>IFERROR(K108*MAX(M108,1)/Q108*P108,0)</f>
        <v/>
      </c>
      <c r="AA108" s="6" t="inlineStr">
        <is>
          <t>^HeavyBomb, ^HeavyCannon, ^ShrapnelWeapon, ^Grenade, ^MediumCannon, ^TankDestroyerCannon</t>
        </is>
      </c>
    </row>
    <row r="109">
      <c r="A109" t="inlineStr">
        <is>
          <t>tiberiandawn</t>
        </is>
      </c>
      <c r="B109" t="inlineStr">
        <is>
          <t>td_nod_handofnod</t>
        </is>
      </c>
      <c r="C109" t="inlineStr">
        <is>
          <t>Hand of Nod</t>
        </is>
      </c>
      <c r="D109" t="inlineStr"/>
      <c r="E109" s="5" t="n">
        <v>200000</v>
      </c>
      <c r="F109" s="5" t="n"/>
      <c r="G109" t="inlineStr">
        <is>
          <t>Wood</t>
        </is>
      </c>
      <c r="H109" s="5" t="n">
        <v>1</v>
      </c>
      <c r="I109" s="5" t="n">
        <v>1</v>
      </c>
      <c r="J109" s="5" t="n">
        <v>1</v>
      </c>
      <c r="W109" s="5" t="n">
        <v>1000</v>
      </c>
    </row>
    <row r="110">
      <c r="A110" t="inlineStr">
        <is>
          <t>tiberiandawn</t>
        </is>
      </c>
      <c r="B110" t="inlineStr">
        <is>
          <t>td_nod_helipad</t>
        </is>
      </c>
      <c r="C110" t="inlineStr">
        <is>
          <t>Nod Helipad</t>
        </is>
      </c>
      <c r="D110" t="inlineStr"/>
      <c r="E110" s="5" t="n">
        <v>300000</v>
      </c>
      <c r="F110" s="5" t="n"/>
      <c r="G110" t="inlineStr">
        <is>
          <t>Wood</t>
        </is>
      </c>
      <c r="H110" s="5" t="n">
        <v>1</v>
      </c>
      <c r="I110" s="5" t="n">
        <v>1</v>
      </c>
      <c r="J110" s="5" t="n">
        <v>1</v>
      </c>
      <c r="W110" s="5" t="n">
        <v>1500</v>
      </c>
    </row>
    <row r="111">
      <c r="A111" t="inlineStr">
        <is>
          <t>tiberiandawn</t>
        </is>
      </c>
      <c r="B111" t="inlineStr">
        <is>
          <t>td_nod_laserturret</t>
        </is>
      </c>
      <c r="C111" t="inlineStr">
        <is>
          <t>Nod Laser Turret</t>
        </is>
      </c>
      <c r="D111" t="inlineStr"/>
      <c r="E111" s="5" t="n">
        <v>72500</v>
      </c>
      <c r="F111" s="5" t="n"/>
      <c r="G111" t="inlineStr">
        <is>
          <t>Concrete</t>
        </is>
      </c>
      <c r="H111" s="5" t="n">
        <v>1</v>
      </c>
      <c r="I111" s="5" t="n">
        <v>0.35</v>
      </c>
      <c r="J111" s="5" t="n">
        <v>1</v>
      </c>
      <c r="W111" s="5" t="n">
        <v>1000</v>
      </c>
    </row>
    <row r="112">
      <c r="B112" s="6" t="inlineStr">
        <is>
          <t xml:space="preserve">  ↳ NodTurretLaser</t>
        </is>
      </c>
      <c r="C112" s="6" t="inlineStr">
        <is>
          <t>Armament</t>
        </is>
      </c>
      <c r="K112" s="5" t="n">
        <v>2000</v>
      </c>
      <c r="L112" s="5" t="n">
        <v>20</v>
      </c>
      <c r="M112" s="5" t="n">
        <v>2</v>
      </c>
      <c r="N112" s="5" t="n">
        <v>4</v>
      </c>
      <c r="O112" s="5" t="n">
        <v>6800</v>
      </c>
      <c r="P112" s="5" t="n">
        <v>1</v>
      </c>
      <c r="Q112">
        <f>L112+IF(M112&gt;1,N(N112)*(M112-1),0)</f>
        <v/>
      </c>
      <c r="R112">
        <f>IFERROR(K112*MAX(M112,1)/Q112*P112,0)</f>
        <v/>
      </c>
      <c r="AA112" s="6" t="inlineStr">
        <is>
          <t>^SmallArms, ^Chaingun, ^HeavyCannon, ^LightFlameWeapon, ^FlakWeapon, ^LaserWeapon</t>
        </is>
      </c>
    </row>
    <row r="113">
      <c r="A113" t="inlineStr">
        <is>
          <t>tiberiandawn</t>
        </is>
      </c>
      <c r="B113" t="inlineStr">
        <is>
          <t>td_nod_nuclearmissilesilo</t>
        </is>
      </c>
      <c r="C113" t="inlineStr">
        <is>
          <t>Nuclear Missile Silo</t>
        </is>
      </c>
      <c r="D113" t="inlineStr"/>
      <c r="E113" s="5" t="n"/>
      <c r="F113" s="5" t="n"/>
      <c r="H113" s="5" t="n">
        <v>1</v>
      </c>
      <c r="I113" s="5" t="n">
        <v>1</v>
      </c>
      <c r="J113" s="5" t="n">
        <v>1</v>
      </c>
      <c r="W113" s="5" t="n">
        <v>5000</v>
      </c>
    </row>
    <row r="114">
      <c r="A114" t="inlineStr">
        <is>
          <t>tiberiandawn</t>
        </is>
      </c>
      <c r="B114" t="inlineStr">
        <is>
          <t>td_nod_obeliskoflight</t>
        </is>
      </c>
      <c r="C114" t="inlineStr">
        <is>
          <t>Obelisk of Light</t>
        </is>
      </c>
      <c r="D114" t="inlineStr"/>
      <c r="E114" s="5" t="n">
        <v>242500</v>
      </c>
      <c r="F114" s="5" t="n"/>
      <c r="G114" t="inlineStr">
        <is>
          <t>Steel</t>
        </is>
      </c>
      <c r="H114" s="5" t="n">
        <v>1</v>
      </c>
      <c r="I114" s="5" t="n">
        <v>1</v>
      </c>
      <c r="J114" s="5" t="n">
        <v>1</v>
      </c>
      <c r="W114" s="5" t="n">
        <v>1800</v>
      </c>
    </row>
    <row r="115">
      <c r="B115" s="6" t="inlineStr">
        <is>
          <t xml:space="preserve">  ↳ LaserObelisk</t>
        </is>
      </c>
      <c r="C115" s="6" t="inlineStr">
        <is>
          <t>Armament</t>
        </is>
      </c>
      <c r="K115" s="5" t="n">
        <v>96000</v>
      </c>
      <c r="L115" s="5" t="n">
        <v>96</v>
      </c>
      <c r="M115" s="5" t="n">
        <v>1</v>
      </c>
      <c r="N115" s="5" t="n"/>
      <c r="O115" s="5" t="n">
        <v>9600</v>
      </c>
      <c r="P115" s="5" t="n">
        <v>1</v>
      </c>
      <c r="Q115">
        <f>L115+IF(M115&gt;1,N(N115)*(M115-1),0)</f>
        <v/>
      </c>
      <c r="R115">
        <f>IFERROR(K115*MAX(M115,1)/Q115*P115,0)</f>
        <v/>
      </c>
      <c r="AA115" s="6" t="inlineStr">
        <is>
          <t>^LaserWeapon</t>
        </is>
      </c>
    </row>
    <row r="116">
      <c r="A116" t="inlineStr">
        <is>
          <t>tiberiandawn</t>
        </is>
      </c>
      <c r="B116" t="inlineStr">
        <is>
          <t>td_nod_repairfacility</t>
        </is>
      </c>
      <c r="C116" t="inlineStr">
        <is>
          <t>Nod Repair Facility</t>
        </is>
      </c>
      <c r="D116" t="inlineStr"/>
      <c r="E116" s="5" t="n">
        <v>250000</v>
      </c>
      <c r="F116" s="5" t="n"/>
      <c r="G116" t="inlineStr">
        <is>
          <t>Concrete</t>
        </is>
      </c>
      <c r="H116" s="5" t="n">
        <v>1</v>
      </c>
      <c r="I116" s="5" t="n">
        <v>1</v>
      </c>
      <c r="J116" s="5" t="n">
        <v>1</v>
      </c>
      <c r="W116" s="5" t="n">
        <v>1000</v>
      </c>
    </row>
    <row r="117">
      <c r="A117" t="inlineStr">
        <is>
          <t>tiberiandawn</t>
        </is>
      </c>
      <c r="B117" t="inlineStr">
        <is>
          <t>td_nod_samsite</t>
        </is>
      </c>
      <c r="C117" t="inlineStr">
        <is>
          <t>Nod SAM Site</t>
        </is>
      </c>
      <c r="D117" t="inlineStr"/>
      <c r="E117" s="5" t="n">
        <v>100000</v>
      </c>
      <c r="F117" s="5" t="n"/>
      <c r="G117" t="inlineStr">
        <is>
          <t>Concrete</t>
        </is>
      </c>
      <c r="H117" s="5" t="n">
        <v>1</v>
      </c>
      <c r="I117" s="5" t="n">
        <v>0.225</v>
      </c>
      <c r="J117" s="5" t="n">
        <v>1</v>
      </c>
      <c r="W117" s="5" t="n">
        <v>800</v>
      </c>
    </row>
    <row r="118">
      <c r="B118" s="6" t="inlineStr">
        <is>
          <t xml:space="preserve">  ↳ Dragon</t>
        </is>
      </c>
      <c r="C118" s="6" t="inlineStr">
        <is>
          <t>Armament</t>
        </is>
      </c>
      <c r="K118" s="5" t="n">
        <v>6000</v>
      </c>
      <c r="L118" s="5" t="n">
        <v>40</v>
      </c>
      <c r="M118" s="5" t="n">
        <v>2</v>
      </c>
      <c r="N118" s="5" t="n">
        <v>10</v>
      </c>
      <c r="O118" s="5" t="n">
        <v>12193</v>
      </c>
      <c r="P118" s="5" t="n">
        <v>1</v>
      </c>
      <c r="Q118">
        <f>L118+IF(M118&gt;1,N(N118)*(M118-1),0)</f>
        <v/>
      </c>
      <c r="R118">
        <f>IFERROR(K118*MAX(M118,1)/Q118*P118,0)</f>
        <v/>
      </c>
      <c r="AA118" s="6" t="inlineStr">
        <is>
          <t>^HeavyAAWeapon, ^ImpactGlow, ^HeavyMissile</t>
        </is>
      </c>
    </row>
    <row r="119">
      <c r="A119" t="inlineStr">
        <is>
          <t>tiberiandawn</t>
        </is>
      </c>
      <c r="B119" t="inlineStr">
        <is>
          <t>td_nod_templeofnod</t>
        </is>
      </c>
      <c r="C119" t="inlineStr">
        <is>
          <t>Temple of Nod</t>
        </is>
      </c>
      <c r="D119" t="inlineStr"/>
      <c r="E119" s="5" t="n">
        <v>1000000</v>
      </c>
      <c r="F119" s="5" t="n"/>
      <c r="G119" t="inlineStr">
        <is>
          <t>Concrete</t>
        </is>
      </c>
      <c r="H119" s="5" t="n">
        <v>1</v>
      </c>
      <c r="I119" s="5" t="n">
        <v>1</v>
      </c>
      <c r="J119" s="5" t="n">
        <v>1</v>
      </c>
      <c r="W119" s="5" t="n">
        <v>10000</v>
      </c>
    </row>
    <row r="120">
      <c r="A120" t="inlineStr">
        <is>
          <t>tiberiandawn</t>
        </is>
      </c>
      <c r="B120" t="inlineStr">
        <is>
          <t>td_nod_templeprime</t>
        </is>
      </c>
      <c r="C120" t="inlineStr">
        <is>
          <t>Temple Prime</t>
        </is>
      </c>
      <c r="D120" t="inlineStr"/>
      <c r="E120" s="5" t="n">
        <v>500000</v>
      </c>
      <c r="F120" s="5" t="n"/>
      <c r="G120" t="inlineStr">
        <is>
          <t>Concrete</t>
        </is>
      </c>
      <c r="H120" s="5" t="n">
        <v>1</v>
      </c>
      <c r="I120" s="5" t="n">
        <v>1</v>
      </c>
      <c r="J120" s="5" t="n">
        <v>1</v>
      </c>
      <c r="W120" s="5" t="n">
        <v>5000</v>
      </c>
    </row>
    <row r="121">
      <c r="A121" t="inlineStr">
        <is>
          <t>tiberiandawn</t>
        </is>
      </c>
      <c r="B121" t="inlineStr">
        <is>
          <t>td_nod_tiberiumrefinery</t>
        </is>
      </c>
      <c r="C121" t="inlineStr">
        <is>
          <t>Nod Tiberium Refinery</t>
        </is>
      </c>
      <c r="D121" t="inlineStr"/>
      <c r="E121" s="5" t="n">
        <v>300000</v>
      </c>
      <c r="F121" s="5" t="n"/>
      <c r="G121" t="inlineStr">
        <is>
          <t>Concrete</t>
        </is>
      </c>
      <c r="H121" s="5" t="n">
        <v>1</v>
      </c>
      <c r="I121" s="5" t="n">
        <v>1</v>
      </c>
      <c r="J121" s="5" t="n">
        <v>1</v>
      </c>
      <c r="W121" s="5" t="n">
        <v>3000</v>
      </c>
    </row>
    <row r="122">
      <c r="A122" s="3" t="inlineStr">
        <is>
          <t>UPGRADES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>
      <c r="A123" t="inlineStr">
        <is>
          <t>tiberiandawn</t>
        </is>
      </c>
      <c r="B123" t="inlineStr">
        <is>
          <t>td_nod_upgrade_advancedguerillatactics</t>
        </is>
      </c>
      <c r="C123" t="inlineStr">
        <is>
          <t>Advanced Guerilla Tactics</t>
        </is>
      </c>
      <c r="D123" t="inlineStr"/>
      <c r="E123" s="5" t="n"/>
      <c r="F123" s="5" t="n"/>
      <c r="H123" s="5" t="n">
        <v>1</v>
      </c>
      <c r="I123" s="5" t="n">
        <v>1</v>
      </c>
      <c r="J123" s="5" t="n">
        <v>1</v>
      </c>
      <c r="W123" s="5" t="n">
        <v>12500</v>
      </c>
    </row>
    <row r="124">
      <c r="A124" t="inlineStr">
        <is>
          <t>tiberiandawn</t>
        </is>
      </c>
      <c r="B124" t="inlineStr">
        <is>
          <t>td_nod_upgrade_blackmarketupgrades</t>
        </is>
      </c>
      <c r="C124" t="inlineStr">
        <is>
          <t>Black Market Upgrades</t>
        </is>
      </c>
      <c r="D124" t="inlineStr"/>
      <c r="E124" s="5" t="n"/>
      <c r="F124" s="5" t="n"/>
      <c r="H124" s="5" t="n">
        <v>1</v>
      </c>
      <c r="I124" s="5" t="n">
        <v>1</v>
      </c>
      <c r="J124" s="5" t="n">
        <v>1</v>
      </c>
      <c r="W124" s="5" t="n">
        <v>7500</v>
      </c>
    </row>
    <row r="125">
      <c r="A125" t="inlineStr">
        <is>
          <t>tiberiandawn</t>
        </is>
      </c>
      <c r="B125" t="inlineStr">
        <is>
          <t>td_nod_upgrade_cyberneticmodifications</t>
        </is>
      </c>
      <c r="C125" t="inlineStr">
        <is>
          <t>Cybernetic Modifications</t>
        </is>
      </c>
      <c r="D125" t="inlineStr"/>
      <c r="E125" s="5" t="n"/>
      <c r="F125" s="5" t="n"/>
      <c r="H125" s="5" t="n">
        <v>1</v>
      </c>
      <c r="I125" s="5" t="n">
        <v>1</v>
      </c>
      <c r="J125" s="5" t="n">
        <v>1</v>
      </c>
      <c r="W125" s="5" t="n">
        <v>10000</v>
      </c>
    </row>
    <row r="126">
      <c r="A126" t="inlineStr">
        <is>
          <t>tiberiandawn</t>
        </is>
      </c>
      <c r="B126" t="inlineStr">
        <is>
          <t>td_nod_upgrade_elementalwarfare</t>
        </is>
      </c>
      <c r="C126" t="inlineStr">
        <is>
          <t>Elemental Warfare</t>
        </is>
      </c>
      <c r="D126" t="inlineStr"/>
      <c r="E126" s="5" t="n"/>
      <c r="F126" s="5" t="n"/>
      <c r="H126" s="5" t="n">
        <v>1</v>
      </c>
      <c r="I126" s="5" t="n">
        <v>1</v>
      </c>
      <c r="J126" s="5" t="n">
        <v>1</v>
      </c>
      <c r="W126" s="5" t="n">
        <v>7500</v>
      </c>
    </row>
    <row r="127">
      <c r="A127" t="inlineStr">
        <is>
          <t>tiberiandawn</t>
        </is>
      </c>
      <c r="B127" t="inlineStr">
        <is>
          <t>td_nod_upgrade_elitecapacitors</t>
        </is>
      </c>
      <c r="C127" t="inlineStr">
        <is>
          <t>Elite Capacitors</t>
        </is>
      </c>
      <c r="D127" t="inlineStr"/>
      <c r="E127" s="5" t="n"/>
      <c r="F127" s="5" t="n"/>
      <c r="H127" s="5" t="n">
        <v>1</v>
      </c>
      <c r="I127" s="5" t="n">
        <v>1</v>
      </c>
      <c r="J127" s="5" t="n">
        <v>1</v>
      </c>
      <c r="W127" s="5" t="n">
        <v>10000</v>
      </c>
    </row>
    <row r="128">
      <c r="A128" t="inlineStr">
        <is>
          <t>tiberiandawn</t>
        </is>
      </c>
      <c r="B128" t="inlineStr">
        <is>
          <t>td_nod_upgrade_guerillatactics</t>
        </is>
      </c>
      <c r="C128" t="inlineStr">
        <is>
          <t>Guerilla Tactics</t>
        </is>
      </c>
      <c r="D128" t="inlineStr"/>
      <c r="E128" s="5" t="n"/>
      <c r="F128" s="5" t="n"/>
      <c r="H128" s="5" t="n">
        <v>1</v>
      </c>
      <c r="I128" s="5" t="n">
        <v>1</v>
      </c>
      <c r="J128" s="5" t="n">
        <v>1</v>
      </c>
      <c r="W128" s="5" t="n">
        <v>5000</v>
      </c>
    </row>
    <row r="129">
      <c r="A129" t="inlineStr">
        <is>
          <t>tiberiandawn</t>
        </is>
      </c>
      <c r="B129" t="inlineStr">
        <is>
          <t>td_nod_upgrade_improvedartilleries</t>
        </is>
      </c>
      <c r="C129" t="inlineStr">
        <is>
          <t>Improved Artilleries</t>
        </is>
      </c>
      <c r="D129" t="inlineStr"/>
      <c r="E129" s="5" t="n"/>
      <c r="F129" s="5" t="n"/>
      <c r="H129" s="5" t="n">
        <v>1</v>
      </c>
      <c r="I129" s="5" t="n">
        <v>1</v>
      </c>
      <c r="J129" s="5" t="n">
        <v>1</v>
      </c>
      <c r="W129" s="5" t="n">
        <v>5000</v>
      </c>
    </row>
    <row r="130">
      <c r="A130" t="inlineStr">
        <is>
          <t>tiberiandawn</t>
        </is>
      </c>
      <c r="B130" t="inlineStr">
        <is>
          <t>td_nod_upgrade_tiberiuminfusion</t>
        </is>
      </c>
      <c r="C130" t="inlineStr">
        <is>
          <t>Tiberium Infusion</t>
        </is>
      </c>
      <c r="D130" t="inlineStr"/>
      <c r="E130" s="5" t="n"/>
      <c r="F130" s="5" t="n"/>
      <c r="H130" s="5" t="n">
        <v>1</v>
      </c>
      <c r="I130" s="5" t="n">
        <v>1</v>
      </c>
      <c r="J130" s="5" t="n">
        <v>1</v>
      </c>
      <c r="W130" s="5" t="n">
        <v>5000</v>
      </c>
    </row>
    <row r="131">
      <c r="A131" t="inlineStr">
        <is>
          <t>tiberiandawn</t>
        </is>
      </c>
      <c r="B131" t="inlineStr">
        <is>
          <t>team_upgrade.up_advancedguerillatactics</t>
        </is>
      </c>
      <c r="C131" t="inlineStr">
        <is>
          <t>Advanced Guerrilla Tactics</t>
        </is>
      </c>
      <c r="D131" t="inlineStr"/>
      <c r="E131" s="5" t="n"/>
      <c r="F131" s="5" t="n"/>
      <c r="H131" s="5" t="n">
        <v>1</v>
      </c>
      <c r="I131" s="5" t="n">
        <v>1</v>
      </c>
      <c r="J131" s="5" t="n">
        <v>1</v>
      </c>
      <c r="W131" s="5" t="n"/>
    </row>
    <row r="132">
      <c r="A132" s="3" t="inlineStr">
        <is>
          <t>PROMOTIONS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>
      <c r="A133" t="inlineStr">
        <is>
          <t>tiberiandawn</t>
        </is>
      </c>
      <c r="B133" t="inlineStr">
        <is>
          <t>td_nod_promotion_unlockblackhandflamer</t>
        </is>
      </c>
      <c r="C133" t="inlineStr">
        <is>
          <t>Unlock Black Hand Flamer</t>
        </is>
      </c>
      <c r="D133" t="inlineStr"/>
      <c r="E133" s="5" t="n"/>
      <c r="F133" s="5" t="n"/>
      <c r="H133" s="5" t="n">
        <v>1</v>
      </c>
      <c r="I133" s="5" t="n">
        <v>1</v>
      </c>
      <c r="J133" s="5" t="n">
        <v>1</v>
      </c>
      <c r="W133" s="5" t="n"/>
    </row>
    <row r="134">
      <c r="A134" t="inlineStr">
        <is>
          <t>tiberiandawn</t>
        </is>
      </c>
      <c r="B134" t="inlineStr">
        <is>
          <t>td_nod_promotion_unlockbuggymkii</t>
        </is>
      </c>
      <c r="C134" t="inlineStr">
        <is>
          <t>Unlock Buggy Mk. II</t>
        </is>
      </c>
      <c r="D134" t="inlineStr"/>
      <c r="E134" s="5" t="n"/>
      <c r="F134" s="5" t="n"/>
      <c r="H134" s="5" t="n">
        <v>1</v>
      </c>
      <c r="I134" s="5" t="n">
        <v>1</v>
      </c>
      <c r="J134" s="5" t="n">
        <v>1</v>
      </c>
      <c r="W134" s="5" t="n"/>
    </row>
    <row r="135">
      <c r="A135" t="inlineStr">
        <is>
          <t>tiberiandawn</t>
        </is>
      </c>
      <c r="B135" t="inlineStr">
        <is>
          <t>td_nod_promotion_unlockchemicalattackbike</t>
        </is>
      </c>
      <c r="C135" t="inlineStr">
        <is>
          <t>Unlock Chemical Attack Bike</t>
        </is>
      </c>
      <c r="D135" t="inlineStr"/>
      <c r="E135" s="5" t="n"/>
      <c r="F135" s="5" t="n"/>
      <c r="H135" s="5" t="n">
        <v>1</v>
      </c>
      <c r="I135" s="5" t="n">
        <v>1</v>
      </c>
      <c r="J135" s="5" t="n">
        <v>1</v>
      </c>
      <c r="W135" s="5" t="n"/>
    </row>
    <row r="136">
      <c r="A136" t="inlineStr">
        <is>
          <t>tiberiandawn</t>
        </is>
      </c>
      <c r="B136" t="inlineStr">
        <is>
          <t>td_nod_promotion_unlockchemicalrocketsoldier</t>
        </is>
      </c>
      <c r="C136" t="inlineStr">
        <is>
          <t>Unlock Chemical Rocket Soldier</t>
        </is>
      </c>
      <c r="D136" t="inlineStr"/>
      <c r="E136" s="5" t="n"/>
      <c r="F136" s="5" t="n"/>
      <c r="H136" s="5" t="n">
        <v>1</v>
      </c>
      <c r="I136" s="5" t="n">
        <v>1</v>
      </c>
      <c r="J136" s="5" t="n">
        <v>1</v>
      </c>
      <c r="W136" s="5" t="n"/>
    </row>
    <row r="137">
      <c r="A137" t="inlineStr">
        <is>
          <t>tiberiandawn</t>
        </is>
      </c>
      <c r="B137" t="inlineStr">
        <is>
          <t>td_nod_promotion_unlockchemicalssmlauncher</t>
        </is>
      </c>
      <c r="C137" t="inlineStr">
        <is>
          <t>Unlock Chemical SSM Launcher</t>
        </is>
      </c>
      <c r="D137" t="inlineStr"/>
      <c r="E137" s="5" t="n"/>
      <c r="F137" s="5" t="n"/>
      <c r="H137" s="5" t="n">
        <v>1</v>
      </c>
      <c r="I137" s="5" t="n">
        <v>1</v>
      </c>
      <c r="J137" s="5" t="n">
        <v>1</v>
      </c>
      <c r="W137" s="5" t="n"/>
    </row>
    <row r="138">
      <c r="A138" t="inlineStr">
        <is>
          <t>tiberiandawn</t>
        </is>
      </c>
      <c r="B138" t="inlineStr">
        <is>
          <t>td_nod_promotion_unlockchemicalstealthtank</t>
        </is>
      </c>
      <c r="C138" t="inlineStr">
        <is>
          <t>Unlock Chemical Stealth Tank</t>
        </is>
      </c>
      <c r="D138" t="inlineStr"/>
      <c r="E138" s="5" t="n"/>
      <c r="F138" s="5" t="n"/>
      <c r="H138" s="5" t="n">
        <v>1</v>
      </c>
      <c r="I138" s="5" t="n">
        <v>1</v>
      </c>
      <c r="J138" s="5" t="n">
        <v>1</v>
      </c>
      <c r="W138" s="5" t="n"/>
    </row>
    <row r="139">
      <c r="A139" t="inlineStr">
        <is>
          <t>tiberiandawn</t>
        </is>
      </c>
      <c r="B139" t="inlineStr">
        <is>
          <t>td_nod_promotion_unlockflametankmkii</t>
        </is>
      </c>
      <c r="C139" t="inlineStr">
        <is>
          <t>Unlock Flame Tank Mk. II</t>
        </is>
      </c>
      <c r="D139" t="inlineStr"/>
      <c r="E139" s="5" t="n"/>
      <c r="F139" s="5" t="n"/>
      <c r="H139" s="5" t="n">
        <v>1</v>
      </c>
      <c r="I139" s="5" t="n">
        <v>1</v>
      </c>
      <c r="J139" s="5" t="n">
        <v>1</v>
      </c>
      <c r="W139" s="5" t="n"/>
    </row>
    <row r="140">
      <c r="A140" t="inlineStr">
        <is>
          <t>tiberiandawn</t>
        </is>
      </c>
      <c r="B140" t="inlineStr">
        <is>
          <t>td_nod_promotion_unlocklasertrooper</t>
        </is>
      </c>
      <c r="C140" t="inlineStr">
        <is>
          <t>Unlock Laser Trooper</t>
        </is>
      </c>
      <c r="D140" t="inlineStr"/>
      <c r="E140" s="5" t="n"/>
      <c r="F140" s="5" t="n"/>
      <c r="H140" s="5" t="n">
        <v>1</v>
      </c>
      <c r="I140" s="5" t="n">
        <v>1</v>
      </c>
      <c r="J140" s="5" t="n">
        <v>1</v>
      </c>
      <c r="W140" s="5" t="n"/>
    </row>
    <row r="141">
      <c r="A141" t="inlineStr">
        <is>
          <t>tiberiandawn</t>
        </is>
      </c>
      <c r="B141" t="inlineStr">
        <is>
          <t>td_nod_promotion_unlocklighttankmkii</t>
        </is>
      </c>
      <c r="C141" t="inlineStr">
        <is>
          <t>Unlock Light Tank Mk. II</t>
        </is>
      </c>
      <c r="D141" t="inlineStr"/>
      <c r="E141" s="5" t="n"/>
      <c r="F141" s="5" t="n"/>
      <c r="H141" s="5" t="n">
        <v>1</v>
      </c>
      <c r="I141" s="5" t="n">
        <v>1</v>
      </c>
      <c r="J141" s="5" t="n">
        <v>1</v>
      </c>
      <c r="W141" s="5" t="n"/>
    </row>
    <row r="142">
      <c r="A142" t="inlineStr">
        <is>
          <t>tiberiandawn</t>
        </is>
      </c>
      <c r="B142" t="inlineStr">
        <is>
          <t>td_nod_promotion_unlockspecter</t>
        </is>
      </c>
      <c r="C142" t="inlineStr">
        <is>
          <t>Unlock Specter</t>
        </is>
      </c>
      <c r="D142" t="inlineStr"/>
      <c r="E142" s="5" t="n"/>
      <c r="F142" s="5" t="n"/>
      <c r="H142" s="5" t="n">
        <v>1</v>
      </c>
      <c r="I142" s="5" t="n">
        <v>1</v>
      </c>
      <c r="J142" s="5" t="n">
        <v>1</v>
      </c>
      <c r="W142" s="5" t="n"/>
    </row>
    <row r="143">
      <c r="A143" t="inlineStr">
        <is>
          <t>tiberiandawn</t>
        </is>
      </c>
      <c r="B143" t="inlineStr">
        <is>
          <t>td_nod_promotion_upgradeupnodstealthname</t>
        </is>
      </c>
      <c r="C143" t="inlineStr">
        <is>
          <t>upgrade_upnodstealth.name</t>
        </is>
      </c>
      <c r="D143" t="inlineStr"/>
      <c r="E143" s="5" t="n"/>
      <c r="F143" s="5" t="n"/>
      <c r="H143" s="5" t="n">
        <v>1</v>
      </c>
      <c r="I143" s="5" t="n">
        <v>1</v>
      </c>
      <c r="J143" s="5" t="n">
        <v>1</v>
      </c>
      <c r="W143" s="5" t="n"/>
    </row>
    <row r="144">
      <c r="A144" t="inlineStr">
        <is>
          <t>tiberiandawn</t>
        </is>
      </c>
      <c r="B144" t="inlineStr">
        <is>
          <t>td_nod_promotion_upgradeupnodvenomname</t>
        </is>
      </c>
      <c r="C144" t="inlineStr">
        <is>
          <t>upgrade_upnodvenom.name</t>
        </is>
      </c>
      <c r="D144" t="inlineStr"/>
      <c r="E144" s="5" t="n"/>
      <c r="F144" s="5" t="n"/>
      <c r="H144" s="5" t="n">
        <v>1</v>
      </c>
      <c r="I144" s="5" t="n">
        <v>1</v>
      </c>
      <c r="J144" s="5" t="n">
        <v>1</v>
      </c>
      <c r="W144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145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16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tiberiansun</t>
        </is>
      </c>
      <c r="B3" t="inlineStr">
        <is>
          <t>cabal_ascended</t>
        </is>
      </c>
      <c r="C3" t="inlineStr">
        <is>
          <t>Ascended</t>
        </is>
      </c>
      <c r="D3" t="inlineStr"/>
      <c r="E3" s="5" t="n">
        <v>70000</v>
      </c>
      <c r="F3" s="5" t="n">
        <v>40</v>
      </c>
      <c r="G3" t="inlineStr">
        <is>
          <t>Flak</t>
        </is>
      </c>
      <c r="H3" s="5" t="n">
        <v>1</v>
      </c>
      <c r="I3" s="5" t="n">
        <v>0.5</v>
      </c>
      <c r="J3" s="5" t="n">
        <v>1.25</v>
      </c>
      <c r="O3">
        <f>MAX(O4)</f>
        <v/>
      </c>
      <c r="R3">
        <f>R4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900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CabalAscendedRockets</t>
        </is>
      </c>
      <c r="C4" s="6" t="inlineStr">
        <is>
          <t>Armament@PRIMARY</t>
        </is>
      </c>
      <c r="K4" s="5" t="n">
        <v>6000</v>
      </c>
      <c r="L4" s="5" t="n">
        <v>60</v>
      </c>
      <c r="M4" s="5" t="n">
        <v>2</v>
      </c>
      <c r="N4" s="5" t="n">
        <v>8</v>
      </c>
      <c r="O4" s="5" t="n">
        <v>9000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^LightMissile, ^MediumMissile, ^HeavyMissile, ^TankDestroyerCannon, ^FlakWeapon, ^HeavyAAWeapon, ^CabalMissile</t>
        </is>
      </c>
    </row>
    <row r="5">
      <c r="B5" s="6" t="inlineStr">
        <is>
          <t xml:space="preserve">  ↳ CabalAscendedRockets</t>
        </is>
      </c>
      <c r="C5" s="6" t="inlineStr">
        <is>
          <t>Armament@GARRISONED</t>
        </is>
      </c>
      <c r="K5" s="5" t="n">
        <v>6000</v>
      </c>
      <c r="L5" s="5" t="n">
        <v>60</v>
      </c>
      <c r="M5" s="5" t="n">
        <v>2</v>
      </c>
      <c r="N5" s="5" t="n">
        <v>8</v>
      </c>
      <c r="O5" s="5" t="n">
        <v>9000</v>
      </c>
      <c r="P5" s="5" t="n">
        <v>1</v>
      </c>
      <c r="Q5">
        <f>L5+IF(M5&gt;1,N(N5)*(M5-1),0)</f>
        <v/>
      </c>
      <c r="R5">
        <f>IFERROR(K5*MAX(M5,1)/Q5*P5,0)</f>
        <v/>
      </c>
      <c r="AA5" s="6" t="inlineStr">
        <is>
          <t>^LightMissile, ^MediumMissile, ^HeavyMissile, ^TankDestroyerCannon, ^FlakWeapon, ^HeavyAAWeapon, ^CabalMissile</t>
        </is>
      </c>
    </row>
    <row r="6">
      <c r="A6" t="inlineStr">
        <is>
          <t>tiberiansun</t>
        </is>
      </c>
      <c r="B6" t="inlineStr">
        <is>
          <t>cabal_cyborgcommando</t>
        </is>
      </c>
      <c r="C6" t="inlineStr">
        <is>
          <t>Cyborg Commando</t>
        </is>
      </c>
      <c r="D6" t="inlineStr"/>
      <c r="E6" s="5" t="n">
        <v>250000</v>
      </c>
      <c r="F6" s="5" t="n">
        <v>40</v>
      </c>
      <c r="G6" t="inlineStr">
        <is>
          <t>Heroic</t>
        </is>
      </c>
      <c r="H6" s="5" t="n">
        <v>0.75</v>
      </c>
      <c r="I6" s="5" t="n">
        <v>1</v>
      </c>
      <c r="J6" s="5" t="n">
        <v>1</v>
      </c>
      <c r="O6">
        <f>MAX(O7,O8)</f>
        <v/>
      </c>
      <c r="R6">
        <f>R7+R8</f>
        <v/>
      </c>
      <c r="S6">
        <f>(E6/100000+F6/100+(O6/1000)*J6/5+R6/200)*200*I6*H6</f>
        <v/>
      </c>
      <c r="T6">
        <f>((E6*F6/25000)+((O6/1000)*J6*R6/2.5))*I6*H6</f>
        <v/>
      </c>
      <c r="U6">
        <f>(E6*F6*(O6/1000)*J6*R6*I6*H6)/12500000</f>
        <v/>
      </c>
      <c r="V6">
        <f>(S6+T6+U6)/3</f>
        <v/>
      </c>
      <c r="W6" s="5" t="n">
        <v>5000</v>
      </c>
      <c r="X6">
        <f>IFERROR(V6-W6,"")</f>
        <v/>
      </c>
      <c r="Y6">
        <f>IFERROR(ABS(X6)/MAX(W6,1),"")</f>
        <v/>
      </c>
      <c r="Z6">
        <f>IFERROR((W6-(((E6/100000+F6/100+R6/200)*200*I6*H6)+((E6*F6/25000)*I6*H6))/3)/(((J6/5)*200*I6*H6)+((J6*R6/2.5)*I6*H6)+((E6*F6*J6*R6*I6*H6)/12500000))/3*1000,"")</f>
        <v/>
      </c>
    </row>
    <row r="7">
      <c r="B7" s="6" t="inlineStr">
        <is>
          <t xml:space="preserve">  ↳ CabalCommandoPlasma</t>
        </is>
      </c>
      <c r="C7" s="6" t="inlineStr">
        <is>
          <t>Armament@PRIMARY</t>
        </is>
      </c>
      <c r="K7" s="5" t="n">
        <v>50000</v>
      </c>
      <c r="L7" s="5" t="n">
        <v>90</v>
      </c>
      <c r="M7" s="5" t="n">
        <v>1</v>
      </c>
      <c r="N7" s="5" t="n"/>
      <c r="O7" s="5" t="n">
        <v>5219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^HeavyCannon, ^MediumFlameWeapon, ^MediumChemicalWeapon</t>
        </is>
      </c>
    </row>
    <row r="8">
      <c r="B8" s="6" t="inlineStr">
        <is>
          <t xml:space="preserve">  ↳ CabalCommandoPlasmaNeutron</t>
        </is>
      </c>
      <c r="C8" s="6" t="inlineStr">
        <is>
          <t>Armament@Upgraded</t>
        </is>
      </c>
      <c r="K8" s="5" t="n">
        <v>50000</v>
      </c>
      <c r="L8" s="5" t="n">
        <v>90</v>
      </c>
      <c r="M8" s="5" t="n">
        <v>1</v>
      </c>
      <c r="N8" s="5" t="n"/>
      <c r="O8" s="5" t="n">
        <v>5219</v>
      </c>
      <c r="P8" s="5" t="n">
        <v>1</v>
      </c>
      <c r="Q8">
        <f>L8+IF(M8&gt;1,N(N8)*(M8-1),0)</f>
        <v/>
      </c>
      <c r="R8">
        <f>IFERROR(K8*MAX(M8,1)/Q8*P8,0)</f>
        <v/>
      </c>
      <c r="AA8" s="6" t="inlineStr">
        <is>
          <t>^HeavyCannon, ^MediumFlameWeapon, ^MediumChemicalWeapon, ^TeslaWeapon, ^MagicWeapon, ^RailgunWeapon</t>
        </is>
      </c>
    </row>
    <row r="9">
      <c r="B9" s="6" t="inlineStr">
        <is>
          <t xml:space="preserve">  ↳ CabalCommandoPlasma</t>
        </is>
      </c>
      <c r="C9" s="6" t="inlineStr">
        <is>
          <t>Armament@GARRISONED</t>
        </is>
      </c>
      <c r="K9" s="5" t="n">
        <v>50000</v>
      </c>
      <c r="L9" s="5" t="n">
        <v>90</v>
      </c>
      <c r="M9" s="5" t="n">
        <v>1</v>
      </c>
      <c r="N9" s="5" t="n"/>
      <c r="O9" s="5" t="n">
        <v>5219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>
        <is>
          <t>^HeavyCannon, ^MediumFlameWeapon, ^MediumChemicalWeapon</t>
        </is>
      </c>
    </row>
    <row r="10">
      <c r="B10" s="6" t="inlineStr">
        <is>
          <t xml:space="preserve">  ↳ CabalCommandoPlasmaNeutron</t>
        </is>
      </c>
      <c r="C10" s="6" t="inlineStr">
        <is>
          <t>Armament@GARRISONEDUpgraded</t>
        </is>
      </c>
      <c r="K10" s="5" t="n">
        <v>50000</v>
      </c>
      <c r="L10" s="5" t="n">
        <v>90</v>
      </c>
      <c r="M10" s="5" t="n">
        <v>1</v>
      </c>
      <c r="N10" s="5" t="n"/>
      <c r="O10" s="5" t="n">
        <v>5219</v>
      </c>
      <c r="P10" s="5" t="n">
        <v>1</v>
      </c>
      <c r="Q10">
        <f>L10+IF(M10&gt;1,N(N10)*(M10-1),0)</f>
        <v/>
      </c>
      <c r="R10">
        <f>IFERROR(K10*MAX(M10,1)/Q10*P10,0)</f>
        <v/>
      </c>
      <c r="AA10" s="6" t="inlineStr">
        <is>
          <t>^HeavyCannon, ^MediumFlameWeapon, ^MediumChemicalWeapon, ^TeslaWeapon, ^MagicWeapon, ^RailgunWeapon</t>
        </is>
      </c>
    </row>
    <row r="11">
      <c r="A11" t="inlineStr">
        <is>
          <t>tiberiansun</t>
        </is>
      </c>
      <c r="B11" t="inlineStr">
        <is>
          <t>cabal_cyborgcommandov2</t>
        </is>
      </c>
      <c r="C11" t="inlineStr">
        <is>
          <t>Cyborg Commando V2</t>
        </is>
      </c>
      <c r="D11" t="inlineStr"/>
      <c r="E11" s="5" t="n">
        <v>400000</v>
      </c>
      <c r="F11" s="5" t="n">
        <v>40</v>
      </c>
      <c r="G11" t="inlineStr">
        <is>
          <t>Heroic</t>
        </is>
      </c>
      <c r="H11" s="5" t="n">
        <v>0.5</v>
      </c>
      <c r="I11" s="5" t="n">
        <v>1</v>
      </c>
      <c r="J11" s="5" t="n">
        <v>1</v>
      </c>
      <c r="O11">
        <f>MAX(O12,O13)</f>
        <v/>
      </c>
      <c r="R11">
        <f>R12+R13</f>
        <v/>
      </c>
      <c r="S11">
        <f>(E11/100000+F11/100+(O11/1000)*J11/5+R11/200)*200*I11*H11</f>
        <v/>
      </c>
      <c r="T11">
        <f>((E11*F11/25000)+((O11/1000)*J11*R11/2.5))*I11*H11</f>
        <v/>
      </c>
      <c r="U11">
        <f>(E11*F11*(O11/1000)*J11*R11*I11*H11)/12500000</f>
        <v/>
      </c>
      <c r="V11">
        <f>(S11+T11+U11)/3</f>
        <v/>
      </c>
      <c r="W11" s="5" t="n">
        <v>10000</v>
      </c>
      <c r="X11">
        <f>IFERROR(V11-W11,"")</f>
        <v/>
      </c>
      <c r="Y11">
        <f>IFERROR(ABS(X11)/MAX(W11,1),"")</f>
        <v/>
      </c>
      <c r="Z11">
        <f>IFERROR((W11-(((E11/100000+F11/100+R11/200)*200*I11*H11)+((E11*F11/25000)*I11*H11))/3)/(((J11/5)*200*I11*H11)+((J11*R11/2.5)*I11*H11)+((E11*F11*J11*R11*I11*H11)/12500000))/3*1000,"")</f>
        <v/>
      </c>
    </row>
    <row r="12">
      <c r="B12" s="6" t="inlineStr">
        <is>
          <t xml:space="preserve">  ↳ CabalCommandoPlasmaMk2</t>
        </is>
      </c>
      <c r="C12" s="6" t="inlineStr">
        <is>
          <t>Armament@PRIMARY</t>
        </is>
      </c>
      <c r="K12" s="5" t="n">
        <v>50000</v>
      </c>
      <c r="L12" s="5" t="n">
        <v>90</v>
      </c>
      <c r="M12" s="5" t="n">
        <v>1</v>
      </c>
      <c r="N12" s="5" t="n"/>
      <c r="O12" s="5" t="n">
        <v>6264</v>
      </c>
      <c r="P12" s="5" t="n">
        <v>1</v>
      </c>
      <c r="Q12">
        <f>L12+IF(M12&gt;1,N(N12)*(M12-1),0)</f>
        <v/>
      </c>
      <c r="R12">
        <f>IFERROR(K12*MAX(M12,1)/Q12*P12,0)</f>
        <v/>
      </c>
      <c r="AA12" s="6" t="inlineStr">
        <is>
          <t>^HeavyCannon, ^MediumFlameWeapon, ^MediumChemicalWeapon</t>
        </is>
      </c>
    </row>
    <row r="13">
      <c r="B13" s="6" t="inlineStr">
        <is>
          <t xml:space="preserve">  ↳ CabalCommandoPlasmaMk2Neutron</t>
        </is>
      </c>
      <c r="C13" s="6" t="inlineStr">
        <is>
          <t>Armament@Upgraded</t>
        </is>
      </c>
      <c r="K13" s="5" t="n">
        <v>50000</v>
      </c>
      <c r="L13" s="5" t="n">
        <v>90</v>
      </c>
      <c r="M13" s="5" t="n">
        <v>1</v>
      </c>
      <c r="N13" s="5" t="n"/>
      <c r="O13" s="5" t="n">
        <v>6264</v>
      </c>
      <c r="P13" s="5" t="n">
        <v>1</v>
      </c>
      <c r="Q13">
        <f>L13+IF(M13&gt;1,N(N13)*(M13-1),0)</f>
        <v/>
      </c>
      <c r="R13">
        <f>IFERROR(K13*MAX(M13,1)/Q13*P13,0)</f>
        <v/>
      </c>
      <c r="AA13" s="6" t="inlineStr">
        <is>
          <t>^HeavyCannon, ^MediumFlameWeapon, ^MediumChemicalWeapon, ^TeslaWeapon, ^MagicWeapon, ^RailgunWeapon</t>
        </is>
      </c>
    </row>
    <row r="14">
      <c r="B14" s="6" t="inlineStr">
        <is>
          <t xml:space="preserve">  ↳ CabalCommandoPlasmaMk2</t>
        </is>
      </c>
      <c r="C14" s="6" t="inlineStr">
        <is>
          <t>Armament@GARRISONED</t>
        </is>
      </c>
      <c r="K14" s="5" t="n">
        <v>50000</v>
      </c>
      <c r="L14" s="5" t="n">
        <v>90</v>
      </c>
      <c r="M14" s="5" t="n">
        <v>1</v>
      </c>
      <c r="N14" s="5" t="n"/>
      <c r="O14" s="5" t="n">
        <v>6264</v>
      </c>
      <c r="P14" s="5" t="n">
        <v>1</v>
      </c>
      <c r="Q14">
        <f>L14+IF(M14&gt;1,N(N14)*(M14-1),0)</f>
        <v/>
      </c>
      <c r="R14">
        <f>IFERROR(K14*MAX(M14,1)/Q14*P14,0)</f>
        <v/>
      </c>
      <c r="AA14" s="6" t="inlineStr">
        <is>
          <t>^HeavyCannon, ^MediumFlameWeapon, ^MediumChemicalWeapon</t>
        </is>
      </c>
    </row>
    <row r="15">
      <c r="B15" s="6" t="inlineStr">
        <is>
          <t xml:space="preserve">  ↳ CabalCommandoPlasmaMk2Neutron</t>
        </is>
      </c>
      <c r="C15" s="6" t="inlineStr">
        <is>
          <t>Armament@GARRISONEDUpgraded</t>
        </is>
      </c>
      <c r="K15" s="5" t="n">
        <v>50000</v>
      </c>
      <c r="L15" s="5" t="n">
        <v>90</v>
      </c>
      <c r="M15" s="5" t="n">
        <v>1</v>
      </c>
      <c r="N15" s="5" t="n"/>
      <c r="O15" s="5" t="n">
        <v>6264</v>
      </c>
      <c r="P15" s="5" t="n">
        <v>1</v>
      </c>
      <c r="Q15">
        <f>L15+IF(M15&gt;1,N(N15)*(M15-1),0)</f>
        <v/>
      </c>
      <c r="R15">
        <f>IFERROR(K15*MAX(M15,1)/Q15*P15,0)</f>
        <v/>
      </c>
      <c r="AA15" s="6" t="inlineStr">
        <is>
          <t>^HeavyCannon, ^MediumFlameWeapon, ^MediumChemicalWeapon, ^TeslaWeapon, ^MagicWeapon, ^RailgunWeapon</t>
        </is>
      </c>
    </row>
    <row r="16">
      <c r="A16" t="inlineStr">
        <is>
          <t>tiberiansun</t>
        </is>
      </c>
      <c r="B16" t="inlineStr">
        <is>
          <t>cabal_cyborginfantry</t>
        </is>
      </c>
      <c r="C16" t="inlineStr">
        <is>
          <t>Cyborg Infantry</t>
        </is>
      </c>
      <c r="D16" t="inlineStr"/>
      <c r="E16" s="5" t="n">
        <v>45000</v>
      </c>
      <c r="F16" s="5" t="n">
        <v>40</v>
      </c>
      <c r="G16" t="inlineStr">
        <is>
          <t>Plate</t>
        </is>
      </c>
      <c r="H16" s="5" t="n">
        <v>1</v>
      </c>
      <c r="I16" s="5" t="n">
        <v>0.8</v>
      </c>
      <c r="J16" s="5" t="n">
        <v>1</v>
      </c>
      <c r="O16">
        <f>MAX(O17)</f>
        <v/>
      </c>
      <c r="R16">
        <f>R17</f>
        <v/>
      </c>
      <c r="S16">
        <f>(E16/100000+F16/100+(O16/1000)*J16/5+R16/200)*200*I16*H16</f>
        <v/>
      </c>
      <c r="T16">
        <f>((E16*F16/25000)+((O16/1000)*J16*R16/2.5))*I16*H16</f>
        <v/>
      </c>
      <c r="U16">
        <f>(E16*F16*(O16/1000)*J16*R16*I16*H16)/12500000</f>
        <v/>
      </c>
      <c r="V16">
        <f>(S16+T16+U16)/3</f>
        <v/>
      </c>
      <c r="W16" s="5" t="n">
        <v>500</v>
      </c>
      <c r="X16">
        <f>IFERROR(V16-W16,"")</f>
        <v/>
      </c>
      <c r="Y16">
        <f>IFERROR(ABS(X16)/MAX(W16,1),"")</f>
        <v/>
      </c>
      <c r="Z16">
        <f>IFERROR((W16-(((E16/100000+F16/100+R16/200)*200*I16*H16)+((E16*F16/25000)*I16*H16))/3)/(((J16/5)*200*I16*H16)+((J16*R16/2.5)*I16*H16)+((E16*F16*J16*R16*I16*H16)/12500000))/3*1000,"")</f>
        <v/>
      </c>
    </row>
    <row r="17">
      <c r="B17" s="6" t="inlineStr">
        <is>
          <t xml:space="preserve">  ↳ CabalCyborgChaingun</t>
        </is>
      </c>
      <c r="C17" s="6" t="inlineStr">
        <is>
          <t>Armament@PRIMARY</t>
        </is>
      </c>
      <c r="K17" s="5" t="n">
        <v>10000</v>
      </c>
      <c r="L17" s="5" t="n">
        <v>60</v>
      </c>
      <c r="M17" s="5" t="n">
        <v>1</v>
      </c>
      <c r="N17" s="5" t="n"/>
      <c r="O17" s="5" t="n">
        <v>5800</v>
      </c>
      <c r="P17" s="5" t="n">
        <v>1</v>
      </c>
      <c r="Q17">
        <f>L17+IF(M17&gt;1,N(N17)*(M17-1),0)</f>
        <v/>
      </c>
      <c r="R17">
        <f>IFERROR(K17*MAX(M17,1)/Q17*P17,0)</f>
        <v/>
      </c>
      <c r="AA17" s="6" t="inlineStr">
        <is>
          <t>^SmallArms, ^Chaingun</t>
        </is>
      </c>
    </row>
    <row r="18">
      <c r="B18" s="6" t="inlineStr">
        <is>
          <t xml:space="preserve">  ↳ CabalCyborgChaingun</t>
        </is>
      </c>
      <c r="C18" s="6" t="inlineStr">
        <is>
          <t>Armament@GARRISONED</t>
        </is>
      </c>
      <c r="K18" s="5" t="n">
        <v>10000</v>
      </c>
      <c r="L18" s="5" t="n">
        <v>60</v>
      </c>
      <c r="M18" s="5" t="n">
        <v>1</v>
      </c>
      <c r="N18" s="5" t="n"/>
      <c r="O18" s="5" t="n">
        <v>5800</v>
      </c>
      <c r="P18" s="5" t="n">
        <v>1</v>
      </c>
      <c r="Q18">
        <f>L18+IF(M18&gt;1,N(N18)*(M18-1),0)</f>
        <v/>
      </c>
      <c r="R18">
        <f>IFERROR(K18*MAX(M18,1)/Q18*P18,0)</f>
        <v/>
      </c>
      <c r="AA18" s="6" t="inlineStr">
        <is>
          <t>^SmallArms, ^Chaingun</t>
        </is>
      </c>
    </row>
    <row r="19">
      <c r="A19" t="inlineStr">
        <is>
          <t>tiberiansun</t>
        </is>
      </c>
      <c r="B19" t="inlineStr">
        <is>
          <t>cabal_devout</t>
        </is>
      </c>
      <c r="C19" t="inlineStr">
        <is>
          <t>Devout</t>
        </is>
      </c>
      <c r="D19" t="inlineStr"/>
      <c r="E19" s="5" t="n">
        <v>80000</v>
      </c>
      <c r="F19" s="5" t="n">
        <v>40</v>
      </c>
      <c r="G19" t="inlineStr">
        <is>
          <t>Plate</t>
        </is>
      </c>
      <c r="H19" s="5" t="n">
        <v>1</v>
      </c>
      <c r="I19" s="5" t="n">
        <v>0.8</v>
      </c>
      <c r="J19" s="5" t="n">
        <v>1.25</v>
      </c>
      <c r="O19">
        <f>MAX(O20)</f>
        <v/>
      </c>
      <c r="R19">
        <f>R20</f>
        <v/>
      </c>
      <c r="S19">
        <f>(E19/100000+F19/100+(O19/1000)*J19/5+R19/200)*200*I19*H19</f>
        <v/>
      </c>
      <c r="T19">
        <f>((E19*F19/25000)+((O19/1000)*J19*R19/2.5))*I19*H19</f>
        <v/>
      </c>
      <c r="U19">
        <f>(E19*F19*(O19/1000)*J19*R19*I19*H19)/12500000</f>
        <v/>
      </c>
      <c r="V19">
        <f>(S19+T19+U19)/3</f>
        <v/>
      </c>
      <c r="W19" s="5" t="n">
        <v>1400</v>
      </c>
      <c r="X19">
        <f>IFERROR(V19-W19,"")</f>
        <v/>
      </c>
      <c r="Y19">
        <f>IFERROR(ABS(X19)/MAX(W19,1),"")</f>
        <v/>
      </c>
      <c r="Z19">
        <f>IFERROR((W19-(((E19/100000+F19/100+R19/200)*200*I19*H19)+((E19*F19/25000)*I19*H19))/3)/(((J19/5)*200*I19*H19)+((J19*R19/2.5)*I19*H19)+((E19*F19*J19*R19*I19*H19)/12500000))/3*1000,"")</f>
        <v/>
      </c>
    </row>
    <row r="20">
      <c r="B20" s="6" t="inlineStr">
        <is>
          <t xml:space="preserve">  ↳ TSDevoutChainguns</t>
        </is>
      </c>
      <c r="C20" s="6" t="inlineStr">
        <is>
          <t>Armament@PRIMARY</t>
        </is>
      </c>
      <c r="K20" s="5" t="n">
        <v>12000</v>
      </c>
      <c r="L20" s="5" t="n">
        <v>45</v>
      </c>
      <c r="M20" s="5" t="n">
        <v>2</v>
      </c>
      <c r="N20" s="5" t="n">
        <v>3</v>
      </c>
      <c r="O20" s="5" t="n">
        <v>6200</v>
      </c>
      <c r="P20" s="5" t="n">
        <v>1</v>
      </c>
      <c r="Q20">
        <f>L20+IF(M20&gt;1,N(N20)*(M20-1),0)</f>
        <v/>
      </c>
      <c r="R20">
        <f>IFERROR(K20*MAX(M20,1)/Q20*P20,0)</f>
        <v/>
      </c>
      <c r="AA20" s="6" t="inlineStr">
        <is>
          <t>^SmallArms, ^Chaingun</t>
        </is>
      </c>
    </row>
    <row r="21">
      <c r="B21" s="6" t="inlineStr">
        <is>
          <t xml:space="preserve">  ↳ TSDevoutChainguns</t>
        </is>
      </c>
      <c r="C21" s="6" t="inlineStr">
        <is>
          <t>Armament@GARRISONED</t>
        </is>
      </c>
      <c r="K21" s="5" t="n">
        <v>12000</v>
      </c>
      <c r="L21" s="5" t="n">
        <v>45</v>
      </c>
      <c r="M21" s="5" t="n">
        <v>2</v>
      </c>
      <c r="N21" s="5" t="n">
        <v>3</v>
      </c>
      <c r="O21" s="5" t="n">
        <v>6200</v>
      </c>
      <c r="P21" s="5" t="n">
        <v>1</v>
      </c>
      <c r="Q21">
        <f>L21+IF(M21&gt;1,N(N21)*(M21-1),0)</f>
        <v/>
      </c>
      <c r="R21">
        <f>IFERROR(K21*MAX(M21,1)/Q21*P21,0)</f>
        <v/>
      </c>
      <c r="AA21" s="6" t="inlineStr">
        <is>
          <t>^SmallArms, ^Chaingun</t>
        </is>
      </c>
    </row>
    <row r="22">
      <c r="A22" t="inlineStr">
        <is>
          <t>tiberiansun</t>
        </is>
      </c>
      <c r="B22" t="inlineStr">
        <is>
          <t>cabal_dissolver</t>
        </is>
      </c>
      <c r="C22" t="inlineStr">
        <is>
          <t>Dissolver</t>
        </is>
      </c>
      <c r="D22" t="inlineStr"/>
      <c r="E22" s="5" t="n">
        <v>50000</v>
      </c>
      <c r="F22" s="5" t="n">
        <v>40</v>
      </c>
      <c r="G22" t="inlineStr">
        <is>
          <t>Flak</t>
        </is>
      </c>
      <c r="H22" s="5" t="n">
        <v>1</v>
      </c>
      <c r="I22" s="5" t="n">
        <v>0.8</v>
      </c>
      <c r="J22" s="5" t="n">
        <v>1</v>
      </c>
      <c r="O22">
        <f>MAX(O23)</f>
        <v/>
      </c>
      <c r="R22">
        <f>R23</f>
        <v/>
      </c>
      <c r="S22">
        <f>(E22/100000+F22/100+(O22/1000)*J22/5+R22/200)*200*I22*H22</f>
        <v/>
      </c>
      <c r="T22">
        <f>((E22*F22/25000)+((O22/1000)*J22*R22/2.5))*I22*H22</f>
        <v/>
      </c>
      <c r="U22">
        <f>(E22*F22*(O22/1000)*J22*R22*I22*H22)/12500000</f>
        <v/>
      </c>
      <c r="V22">
        <f>(S22+T22+U22)/3</f>
        <v/>
      </c>
      <c r="W22" s="5" t="n">
        <v>725</v>
      </c>
      <c r="X22">
        <f>IFERROR(V22-W22,"")</f>
        <v/>
      </c>
      <c r="Y22">
        <f>IFERROR(ABS(X22)/MAX(W22,1),"")</f>
        <v/>
      </c>
      <c r="Z22">
        <f>IFERROR((W22-(((E22/100000+F22/100+R22/200)*200*I22*H22)+((E22*F22/25000)*I22*H22))/3)/(((J22/5)*200*I22*H22)+((J22*R22/2.5)*I22*H22)+((E22*F22*J22*R22*I22*H22)/12500000))/3*1000,"")</f>
        <v/>
      </c>
    </row>
    <row r="23">
      <c r="B23" s="6" t="inlineStr">
        <is>
          <t xml:space="preserve">  ↳ CabalDissolverSpray</t>
        </is>
      </c>
      <c r="C23" s="6" t="inlineStr">
        <is>
          <t>Armament</t>
        </is>
      </c>
      <c r="K23" s="5" t="n">
        <v>2000</v>
      </c>
      <c r="L23" s="5" t="n">
        <v>4</v>
      </c>
      <c r="M23" s="5" t="n">
        <v>1</v>
      </c>
      <c r="N23" s="5" t="n"/>
      <c r="O23" s="5" t="n">
        <v>5142</v>
      </c>
      <c r="P23" s="5" t="n">
        <v>1</v>
      </c>
      <c r="Q23">
        <f>L23+IF(M23&gt;1,N(N23)*(M23-1),0)</f>
        <v/>
      </c>
      <c r="R23">
        <f>IFERROR(K23*MAX(M23,1)/Q23*P23,0)</f>
        <v/>
      </c>
      <c r="AA23" s="6" t="inlineStr">
        <is>
          <t>^LightChemicalWeapon, ^TankDestroyerCannon</t>
        </is>
      </c>
    </row>
    <row r="24">
      <c r="A24" t="inlineStr">
        <is>
          <t>tiberiansun</t>
        </is>
      </c>
      <c r="B24" t="inlineStr">
        <is>
          <t>cabal_eliminator800</t>
        </is>
      </c>
      <c r="C24" t="inlineStr">
        <is>
          <t>Eliminator 800</t>
        </is>
      </c>
      <c r="D24" t="inlineStr"/>
      <c r="E24" s="5" t="n">
        <v>85000</v>
      </c>
      <c r="F24" s="5" t="n">
        <v>40</v>
      </c>
      <c r="G24" t="inlineStr">
        <is>
          <t>Flak</t>
        </is>
      </c>
      <c r="H24" s="5" t="n">
        <v>1</v>
      </c>
      <c r="I24" s="5" t="n">
        <v>0.8</v>
      </c>
      <c r="J24" s="5" t="n">
        <v>1</v>
      </c>
      <c r="O24">
        <f>MAX(O25)</f>
        <v/>
      </c>
      <c r="R24">
        <f>R25</f>
        <v/>
      </c>
      <c r="S24">
        <f>(E24/100000+F24/100+(O24/1000)*J24/5+R24/200)*200*I24*H24</f>
        <v/>
      </c>
      <c r="T24">
        <f>((E24*F24/25000)+((O24/1000)*J24*R24/2.5))*I24*H24</f>
        <v/>
      </c>
      <c r="U24">
        <f>(E24*F24*(O24/1000)*J24*R24*I24*H24)/12500000</f>
        <v/>
      </c>
      <c r="V24">
        <f>(S24+T24+U24)/3</f>
        <v/>
      </c>
      <c r="W24" s="5" t="n">
        <v>1250</v>
      </c>
      <c r="X24">
        <f>IFERROR(V24-W24,"")</f>
        <v/>
      </c>
      <c r="Y24">
        <f>IFERROR(ABS(X24)/MAX(W24,1),"")</f>
        <v/>
      </c>
      <c r="Z24">
        <f>IFERROR((W24-(((E24/100000+F24/100+R24/200)*200*I24*H24)+((E24*F24/25000)*I24*H24))/3)/(((J24/5)*200*I24*H24)+((J24*R24/2.5)*I24*H24)+((E24*F24*J24*R24*I24*H24)/12500000))/3*1000,"")</f>
        <v/>
      </c>
    </row>
    <row r="25">
      <c r="B25" s="6" t="inlineStr">
        <is>
          <t xml:space="preserve">  ↳ CabalEliminatorGatling</t>
        </is>
      </c>
      <c r="C25" s="6" t="inlineStr">
        <is>
          <t>Armament@PRIMARY</t>
        </is>
      </c>
      <c r="K25" s="5" t="n">
        <v>32000</v>
      </c>
      <c r="L25" s="5" t="n">
        <v>32</v>
      </c>
      <c r="M25" s="5" t="n">
        <v>1</v>
      </c>
      <c r="N25" s="5" t="n"/>
      <c r="O25" s="5" t="n">
        <v>6167</v>
      </c>
      <c r="P25" s="5" t="n">
        <v>1</v>
      </c>
      <c r="Q25">
        <f>L25+IF(M25&gt;1,N(N25)*(M25-1),0)</f>
        <v/>
      </c>
      <c r="R25">
        <f>IFERROR(K25*MAX(M25,1)/Q25*P25,0)</f>
        <v/>
      </c>
      <c r="AA25" s="6" t="inlineStr">
        <is>
          <t>^Chaingun</t>
        </is>
      </c>
    </row>
    <row r="26">
      <c r="B26" s="6" t="inlineStr">
        <is>
          <t xml:space="preserve">  ↳ CabalEliminatorGatling</t>
        </is>
      </c>
      <c r="C26" s="6" t="inlineStr">
        <is>
          <t>Armament@GARRISONED</t>
        </is>
      </c>
      <c r="K26" s="5" t="n">
        <v>32000</v>
      </c>
      <c r="L26" s="5" t="n">
        <v>32</v>
      </c>
      <c r="M26" s="5" t="n">
        <v>1</v>
      </c>
      <c r="N26" s="5" t="n"/>
      <c r="O26" s="5" t="n">
        <v>6167</v>
      </c>
      <c r="P26" s="5" t="n">
        <v>1</v>
      </c>
      <c r="Q26">
        <f>L26+IF(M26&gt;1,N(N26)*(M26-1),0)</f>
        <v/>
      </c>
      <c r="R26">
        <f>IFERROR(K26*MAX(M26,1)/Q26*P26,0)</f>
        <v/>
      </c>
      <c r="AA26" s="6" t="inlineStr">
        <is>
          <t>^Chaingun</t>
        </is>
      </c>
    </row>
    <row r="27">
      <c r="A27" t="inlineStr">
        <is>
          <t>tiberiansun</t>
        </is>
      </c>
      <c r="B27" t="inlineStr">
        <is>
          <t>cabal_engineer</t>
        </is>
      </c>
      <c r="C27" t="inlineStr">
        <is>
          <t>CABAL Engineer</t>
        </is>
      </c>
      <c r="D27" t="inlineStr"/>
      <c r="E27" s="5" t="n">
        <v>20000</v>
      </c>
      <c r="F27" s="5" t="n">
        <v>40</v>
      </c>
      <c r="G27" t="inlineStr">
        <is>
          <t>None</t>
        </is>
      </c>
      <c r="H27" s="5" t="n">
        <v>1</v>
      </c>
      <c r="I27" s="5" t="n">
        <v>1</v>
      </c>
      <c r="J27" s="5" t="n">
        <v>1</v>
      </c>
      <c r="O27">
        <f>MAX(O28,O29)</f>
        <v/>
      </c>
      <c r="R27">
        <f>R28+R29</f>
        <v/>
      </c>
      <c r="S27">
        <f>(E27/100000+F27/100+(O27/1000)*J27/5+R27/200)*200*I27*H27</f>
        <v/>
      </c>
      <c r="T27">
        <f>((E27*F27/25000)+((O27/1000)*J27*R27/2.5))*I27*H27</f>
        <v/>
      </c>
      <c r="U27">
        <f>(E27*F27*(O27/1000)*J27*R27*I27*H27)/12500000</f>
        <v/>
      </c>
      <c r="V27">
        <f>(S27+T27+U27)/3</f>
        <v/>
      </c>
      <c r="W27" s="5" t="n">
        <v>800</v>
      </c>
      <c r="X27">
        <f>IFERROR(V27-W27,"")</f>
        <v/>
      </c>
      <c r="Y27">
        <f>IFERROR(ABS(X27)/MAX(W27,1),"")</f>
        <v/>
      </c>
      <c r="Z27">
        <f>IFERROR((W27-(((E27/100000+F27/100+R27/200)*200*I27*H27)+((E27*F27/25000)*I27*H27))/3)/(((J27/5)*200*I27*H27)+((J27*R27/2.5)*I27*H27)+((E27*F27*J27*R27*I27*H27)/12500000))/3*1000,"")</f>
        <v/>
      </c>
    </row>
    <row r="28">
      <c r="B28" s="6" t="inlineStr">
        <is>
          <t xml:space="preserve">  ↳ dummytargeting</t>
        </is>
      </c>
      <c r="C28" s="6" t="inlineStr">
        <is>
          <t>Armament@Dummy</t>
        </is>
      </c>
      <c r="K28" s="5" t="n"/>
      <c r="L28" s="5" t="n"/>
      <c r="M28" s="5" t="n">
        <v>1</v>
      </c>
      <c r="N28" s="5" t="n"/>
      <c r="O28" s="5" t="n">
        <v>10000</v>
      </c>
      <c r="P28" s="5" t="n">
        <v>1</v>
      </c>
      <c r="Q28">
        <f>L28+IF(M28&gt;1,N(N28)*(M28-1),0)</f>
        <v/>
      </c>
      <c r="R28">
        <f>IFERROR(K28*MAX(M28,1)/Q28*P28,0)</f>
        <v/>
      </c>
      <c r="AA28" s="6" t="inlineStr"/>
    </row>
    <row r="29">
      <c r="B29" s="6" t="inlineStr">
        <is>
          <t xml:space="preserve">  ↳ CabalEngineerRepairBeam</t>
        </is>
      </c>
      <c r="C29" s="6" t="inlineStr">
        <is>
          <t>Armament@REPAIRBEAM</t>
        </is>
      </c>
      <c r="K29" s="5" t="n">
        <v>-1</v>
      </c>
      <c r="L29" s="5" t="n">
        <v>31</v>
      </c>
      <c r="M29" s="5" t="n">
        <v>10</v>
      </c>
      <c r="N29" s="5" t="n">
        <v>1</v>
      </c>
      <c r="O29" s="5" t="n">
        <v>6128</v>
      </c>
      <c r="P29" s="5" t="n">
        <v>1</v>
      </c>
      <c r="Q29">
        <f>L29+IF(M29&gt;1,N(N29)*(M29-1),0)</f>
        <v/>
      </c>
      <c r="R29">
        <f>IFERROR(K29*MAX(M29,1)/Q29*P29,0)</f>
        <v/>
      </c>
      <c r="AA29" s="6" t="inlineStr">
        <is>
          <t>^RepairWeapon</t>
        </is>
      </c>
    </row>
    <row r="30">
      <c r="A30" t="inlineStr">
        <is>
          <t>tiberiansun</t>
        </is>
      </c>
      <c r="B30" t="inlineStr">
        <is>
          <t>cabal_enlighted</t>
        </is>
      </c>
      <c r="C30" t="inlineStr">
        <is>
          <t>Enlighted</t>
        </is>
      </c>
      <c r="D30" t="inlineStr"/>
      <c r="E30" s="5" t="n">
        <v>80000</v>
      </c>
      <c r="F30" s="5" t="n">
        <v>40</v>
      </c>
      <c r="G30" t="inlineStr">
        <is>
          <t>Flak</t>
        </is>
      </c>
      <c r="H30" s="5" t="n">
        <v>1</v>
      </c>
      <c r="I30" s="5" t="n">
        <v>1</v>
      </c>
      <c r="J30" s="5" t="n">
        <v>1</v>
      </c>
      <c r="O30">
        <f>MAX(O31,O32)</f>
        <v/>
      </c>
      <c r="R30">
        <f>R31+R32</f>
        <v/>
      </c>
      <c r="S30">
        <f>(E30/100000+F30/100+(O30/1000)*J30/5+R30/200)*200*I30*H30</f>
        <v/>
      </c>
      <c r="T30">
        <f>((E30*F30/25000)+((O30/1000)*J30*R30/2.5))*I30*H30</f>
        <v/>
      </c>
      <c r="U30">
        <f>(E30*F30*(O30/1000)*J30*R30*I30*H30)/12500000</f>
        <v/>
      </c>
      <c r="V30">
        <f>(S30+T30+U30)/3</f>
        <v/>
      </c>
      <c r="W30" s="5" t="n">
        <v>1600</v>
      </c>
      <c r="X30">
        <f>IFERROR(V30-W30,"")</f>
        <v/>
      </c>
      <c r="Y30">
        <f>IFERROR(ABS(X30)/MAX(W30,1),"")</f>
        <v/>
      </c>
      <c r="Z30">
        <f>IFERROR((W30-(((E30/100000+F30/100+R30/200)*200*I30*H30)+((E30*F30/25000)*I30*H30))/3)/(((J30/5)*200*I30*H30)+((J30*R30/2.5)*I30*H30)+((E30*F30*J30*R30*I30*H30)/12500000))/3*1000,"")</f>
        <v/>
      </c>
    </row>
    <row r="31">
      <c r="B31" s="6" t="inlineStr">
        <is>
          <t xml:space="preserve">  ↳ TSCABALEnlightedLaser</t>
        </is>
      </c>
      <c r="C31" s="6" t="inlineStr">
        <is>
          <t>Armament@PRIMARY</t>
        </is>
      </c>
      <c r="K31" s="5" t="n">
        <v>70000</v>
      </c>
      <c r="L31" s="5" t="n">
        <v>25</v>
      </c>
      <c r="M31" s="5" t="n">
        <v>1</v>
      </c>
      <c r="N31" s="5" t="n"/>
      <c r="O31" s="5" t="n">
        <v>5120</v>
      </c>
      <c r="P31" s="5" t="n">
        <v>1</v>
      </c>
      <c r="Q31">
        <f>L31+IF(M31&gt;1,N(N31)*(M31-1),0)</f>
        <v/>
      </c>
      <c r="R31">
        <f>IFERROR(K31*MAX(M31,1)/Q31*P31,0)</f>
        <v/>
      </c>
      <c r="AA31" s="6" t="inlineStr">
        <is>
          <t>^TankDestroyerCannon, ^LaserWeapon, ^MediumFlameWeapon, ^MediumChemicalWeapon, ^TSLaserEffect</t>
        </is>
      </c>
    </row>
    <row r="32">
      <c r="B32" s="6" t="inlineStr">
        <is>
          <t xml:space="preserve">  ↳ SuicideBomberTargeting</t>
        </is>
      </c>
      <c r="C32" s="6" t="inlineStr">
        <is>
          <t>Armament@Suicide</t>
        </is>
      </c>
      <c r="K32" s="5" t="n"/>
      <c r="L32" s="5" t="n"/>
      <c r="M32" s="5" t="n">
        <v>1</v>
      </c>
      <c r="N32" s="5" t="n"/>
      <c r="O32" s="5" t="n">
        <v>1536</v>
      </c>
      <c r="P32" s="5" t="n">
        <v>1</v>
      </c>
      <c r="Q32">
        <f>L32+IF(M32&gt;1,N(N32)*(M32-1),0)</f>
        <v/>
      </c>
      <c r="R32">
        <f>IFERROR(K32*MAX(M32,1)/Q32*P32,0)</f>
        <v/>
      </c>
      <c r="AA32" s="6" t="inlineStr">
        <is>
          <t>DemoTruckTargeting</t>
        </is>
      </c>
    </row>
    <row r="33">
      <c r="B33" s="6" t="inlineStr">
        <is>
          <t xml:space="preserve">  ↳ TSCABALEnlightedLaser</t>
        </is>
      </c>
      <c r="C33" s="6" t="inlineStr">
        <is>
          <t>Armament@GARRISONED</t>
        </is>
      </c>
      <c r="K33" s="5" t="n">
        <v>70000</v>
      </c>
      <c r="L33" s="5" t="n">
        <v>25</v>
      </c>
      <c r="M33" s="5" t="n">
        <v>1</v>
      </c>
      <c r="N33" s="5" t="n"/>
      <c r="O33" s="5" t="n">
        <v>5120</v>
      </c>
      <c r="P33" s="5" t="n">
        <v>1</v>
      </c>
      <c r="Q33">
        <f>L33+IF(M33&gt;1,N(N33)*(M33-1),0)</f>
        <v/>
      </c>
      <c r="R33">
        <f>IFERROR(K33*MAX(M33,1)/Q33*P33,0)</f>
        <v/>
      </c>
      <c r="AA33" s="6" t="inlineStr">
        <is>
          <t>^TankDestroyerCannon, ^LaserWeapon, ^MediumFlameWeapon, ^MediumChemicalWeapon, ^TSLaserEffect</t>
        </is>
      </c>
    </row>
    <row r="34">
      <c r="A34" t="inlineStr">
        <is>
          <t>tiberiansun</t>
        </is>
      </c>
      <c r="B34" t="inlineStr">
        <is>
          <t>cabal_hackercyborg</t>
        </is>
      </c>
      <c r="C34" t="inlineStr">
        <is>
          <t>Hacker Cyborg</t>
        </is>
      </c>
      <c r="D34" t="inlineStr"/>
      <c r="E34" s="5" t="n">
        <v>30000</v>
      </c>
      <c r="F34" s="5" t="n">
        <v>80</v>
      </c>
      <c r="G34" t="inlineStr">
        <is>
          <t>None</t>
        </is>
      </c>
      <c r="H34" s="5" t="n">
        <v>1</v>
      </c>
      <c r="I34" s="5" t="n">
        <v>1</v>
      </c>
      <c r="J34" s="5" t="n">
        <v>1</v>
      </c>
      <c r="O34">
        <f>MAX(O35,O36)</f>
        <v/>
      </c>
      <c r="R34">
        <f>R35+R36</f>
        <v/>
      </c>
      <c r="S34">
        <f>(E34/100000+F34/100+(O34/1000)*J34/5+R34/200)*200*I34*H34</f>
        <v/>
      </c>
      <c r="T34">
        <f>((E34*F34/25000)+((O34/1000)*J34*R34/2.5))*I34*H34</f>
        <v/>
      </c>
      <c r="U34">
        <f>(E34*F34*(O34/1000)*J34*R34*I34*H34)/12500000</f>
        <v/>
      </c>
      <c r="V34">
        <f>(S34+T34+U34)/3</f>
        <v/>
      </c>
      <c r="W34" s="5" t="n">
        <v>1250</v>
      </c>
      <c r="X34">
        <f>IFERROR(V34-W34,"")</f>
        <v/>
      </c>
      <c r="Y34">
        <f>IFERROR(ABS(X34)/MAX(W34,1),"")</f>
        <v/>
      </c>
      <c r="Z34">
        <f>IFERROR((W34-(((E34/100000+F34/100+R34/200)*200*I34*H34)+((E34*F34/25000)*I34*H34))/3)/(((J34/5)*200*I34*H34)+((J34*R34/2.5)*I34*H34)+((E34*F34*J34*R34*I34*H34)/12500000))/3*1000,"")</f>
        <v/>
      </c>
    </row>
    <row r="35">
      <c r="B35" s="6" t="inlineStr">
        <is>
          <t xml:space="preserve">  ↳ TSCABALempdisable.anim</t>
        </is>
      </c>
      <c r="C35" s="6" t="inlineStr">
        <is>
          <t>Armament@Anim</t>
        </is>
      </c>
      <c r="K35" s="5" t="n">
        <v>1</v>
      </c>
      <c r="L35" s="5" t="n">
        <v>6</v>
      </c>
      <c r="M35" s="5" t="n">
        <v>1</v>
      </c>
      <c r="N35" s="5" t="n"/>
      <c r="O35" s="5" t="n">
        <v>8000</v>
      </c>
      <c r="P35" s="5" t="n">
        <v>1</v>
      </c>
      <c r="Q35">
        <f>L35+IF(M35&gt;1,N(N35)*(M35-1),0)</f>
        <v/>
      </c>
      <c r="R35">
        <f>IFERROR(K35*MAX(M35,1)/Q35*P35,0)</f>
        <v/>
      </c>
      <c r="AA35" s="6" t="inlineStr"/>
    </row>
    <row r="36">
      <c r="B36" s="6" t="inlineStr">
        <is>
          <t xml:space="preserve">  ↳ TSCABALempdisable.end</t>
        </is>
      </c>
      <c r="C36" s="6" t="inlineStr">
        <is>
          <t>Armament@End</t>
        </is>
      </c>
      <c r="K36" s="5" t="n">
        <v>2000</v>
      </c>
      <c r="L36" s="5" t="n">
        <v>8</v>
      </c>
      <c r="M36" s="5" t="n">
        <v>1</v>
      </c>
      <c r="N36" s="5" t="n"/>
      <c r="O36" s="5" t="n">
        <v>8000</v>
      </c>
      <c r="P36" s="5" t="n">
        <v>1</v>
      </c>
      <c r="Q36">
        <f>L36+IF(M36&gt;1,N(N36)*(M36-1),0)</f>
        <v/>
      </c>
      <c r="R36">
        <f>IFERROR(K36*MAX(M36,1)/Q36*P36,0)</f>
        <v/>
      </c>
      <c r="AA36" s="6" t="inlineStr">
        <is>
          <t>^TeslaChargedWeapon</t>
        </is>
      </c>
    </row>
    <row r="37">
      <c r="B37" s="6" t="inlineStr">
        <is>
          <t xml:space="preserve">  ↳ TSRobotHackingControl</t>
        </is>
      </c>
      <c r="C37" s="6" t="inlineStr">
        <is>
          <t>Armament@GARRISONED</t>
        </is>
      </c>
      <c r="K37" s="5" t="n">
        <v>0</v>
      </c>
      <c r="L37" s="5" t="n">
        <v>50</v>
      </c>
      <c r="M37" s="5" t="n">
        <v>1</v>
      </c>
      <c r="N37" s="5" t="n"/>
      <c r="O37" s="5" t="n">
        <v>8000</v>
      </c>
      <c r="P37" s="5" t="n">
        <v>1</v>
      </c>
      <c r="Q37">
        <f>L37+IF(M37&gt;1,N(N37)*(M37-1),0)</f>
        <v/>
      </c>
      <c r="R37">
        <f>IFERROR(K37*MAX(M37,1)/Q37*P37,0)</f>
        <v/>
      </c>
      <c r="AA37" s="6" t="inlineStr"/>
    </row>
    <row r="38">
      <c r="A38" t="inlineStr">
        <is>
          <t>tiberiansun</t>
        </is>
      </c>
      <c r="B38" t="inlineStr">
        <is>
          <t>cabal_rocketcyborg</t>
        </is>
      </c>
      <c r="C38" t="inlineStr">
        <is>
          <t>Rocket Cyborg</t>
        </is>
      </c>
      <c r="D38" t="inlineStr"/>
      <c r="E38" s="5" t="n">
        <v>45000</v>
      </c>
      <c r="F38" s="5" t="n">
        <v>40</v>
      </c>
      <c r="G38" t="inlineStr">
        <is>
          <t>Flak</t>
        </is>
      </c>
      <c r="H38" s="5" t="n">
        <v>1</v>
      </c>
      <c r="I38" s="5" t="n">
        <v>0.5</v>
      </c>
      <c r="J38" s="5" t="n">
        <v>1.25</v>
      </c>
      <c r="O38">
        <f>MAX(O39,O40)</f>
        <v/>
      </c>
      <c r="R38">
        <f>R39+R40</f>
        <v/>
      </c>
      <c r="S38">
        <f>(E38/100000+F38/100+(O38/1000)*J38/5+R38/200)*200*I38*H38</f>
        <v/>
      </c>
      <c r="T38">
        <f>((E38*F38/25000)+((O38/1000)*J38*R38/2.5))*I38*H38</f>
        <v/>
      </c>
      <c r="U38">
        <f>(E38*F38*(O38/1000)*J38*R38*I38*H38)/12500000</f>
        <v/>
      </c>
      <c r="V38">
        <f>(S38+T38+U38)/3</f>
        <v/>
      </c>
      <c r="W38" s="5" t="n">
        <v>650</v>
      </c>
      <c r="X38">
        <f>IFERROR(V38-W38,"")</f>
        <v/>
      </c>
      <c r="Y38">
        <f>IFERROR(ABS(X38)/MAX(W38,1),"")</f>
        <v/>
      </c>
      <c r="Z38">
        <f>IFERROR((W38-(((E38/100000+F38/100+R38/200)*200*I38*H38)+((E38*F38/25000)*I38*H38))/3)/(((J38/5)*200*I38*H38)+((J38*R38/2.5)*I38*H38)+((E38*F38*J38*R38*I38*H38)/12500000))/3*1000,"")</f>
        <v/>
      </c>
    </row>
    <row r="39">
      <c r="B39" s="6" t="inlineStr">
        <is>
          <t xml:space="preserve">  ↳ CabalRocketCyborgRockets</t>
        </is>
      </c>
      <c r="C39" s="6" t="inlineStr">
        <is>
          <t>Armament@PRIMARY</t>
        </is>
      </c>
      <c r="K39" s="5" t="n">
        <v>6000</v>
      </c>
      <c r="L39" s="5" t="n">
        <v>52</v>
      </c>
      <c r="M39" s="5" t="n">
        <v>3</v>
      </c>
      <c r="N39" s="5" t="n">
        <v>8</v>
      </c>
      <c r="O39" s="5" t="n">
        <v>8753</v>
      </c>
      <c r="P39" s="5" t="n">
        <v>1</v>
      </c>
      <c r="Q39">
        <f>L39+IF(M39&gt;1,N(N39)*(M39-1),0)</f>
        <v/>
      </c>
      <c r="R39">
        <f>IFERROR(K39*MAX(M39,1)/Q39*P39,0)</f>
        <v/>
      </c>
      <c r="AA39" s="6" t="inlineStr">
        <is>
          <t>^LightMissile, ^MediumMissile, ^CabalMissile</t>
        </is>
      </c>
    </row>
    <row r="40">
      <c r="B40" s="6" t="inlineStr">
        <is>
          <t xml:space="preserve">  ↳ CabalRocketCyborgRocketsUpgraded</t>
        </is>
      </c>
      <c r="C40" s="6" t="inlineStr">
        <is>
          <t>Armament@Upgraded</t>
        </is>
      </c>
      <c r="K40" s="5" t="n">
        <v>6000</v>
      </c>
      <c r="L40" s="5" t="n">
        <v>52</v>
      </c>
      <c r="M40" s="5" t="n">
        <v>4</v>
      </c>
      <c r="N40" s="5" t="n">
        <v>8</v>
      </c>
      <c r="O40" s="5" t="n">
        <v>8753</v>
      </c>
      <c r="P40" s="5" t="n">
        <v>1</v>
      </c>
      <c r="Q40">
        <f>L40+IF(M40&gt;1,N(N40)*(M40-1),0)</f>
        <v/>
      </c>
      <c r="R40">
        <f>IFERROR(K40*MAX(M40,1)/Q40*P40,0)</f>
        <v/>
      </c>
      <c r="AA40" s="6" t="inlineStr">
        <is>
          <t>^LightMissile, ^MediumMissile, ^CabalMissile</t>
        </is>
      </c>
    </row>
    <row r="41">
      <c r="B41" s="6" t="inlineStr">
        <is>
          <t xml:space="preserve">  ↳ CabalRocketCyborgRockets</t>
        </is>
      </c>
      <c r="C41" s="6" t="inlineStr">
        <is>
          <t>Armament@GARRISONED</t>
        </is>
      </c>
      <c r="K41" s="5" t="n">
        <v>6000</v>
      </c>
      <c r="L41" s="5" t="n">
        <v>52</v>
      </c>
      <c r="M41" s="5" t="n">
        <v>3</v>
      </c>
      <c r="N41" s="5" t="n">
        <v>8</v>
      </c>
      <c r="O41" s="5" t="n">
        <v>8753</v>
      </c>
      <c r="P41" s="5" t="n">
        <v>1</v>
      </c>
      <c r="Q41">
        <f>L41+IF(M41&gt;1,N(N41)*(M41-1),0)</f>
        <v/>
      </c>
      <c r="R41">
        <f>IFERROR(K41*MAX(M41,1)/Q41*P41,0)</f>
        <v/>
      </c>
      <c r="AA41" s="6" t="inlineStr">
        <is>
          <t>^LightMissile, ^MediumMissile, ^CabalMissile</t>
        </is>
      </c>
    </row>
    <row r="42">
      <c r="A42" s="3" t="inlineStr">
        <is>
          <t>VEHICLES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>
      <c r="A43" t="inlineStr">
        <is>
          <t>tiberiansun</t>
        </is>
      </c>
      <c r="B43" t="inlineStr">
        <is>
          <t>cabal_artilleryspider</t>
        </is>
      </c>
      <c r="C43" t="inlineStr">
        <is>
          <t>Artillery Spider</t>
        </is>
      </c>
      <c r="D43" t="inlineStr"/>
      <c r="E43" s="5" t="n">
        <v>50000</v>
      </c>
      <c r="F43" s="5" t="n">
        <v>70</v>
      </c>
      <c r="G43" t="inlineStr">
        <is>
          <t>Light</t>
        </is>
      </c>
      <c r="H43" s="5" t="n">
        <v>1</v>
      </c>
      <c r="I43" s="5" t="n">
        <v>0.5</v>
      </c>
      <c r="J43" s="5" t="n">
        <v>1.25</v>
      </c>
      <c r="O43">
        <f>MAX(O44,O45)</f>
        <v/>
      </c>
      <c r="R43">
        <f>R44+R45</f>
        <v/>
      </c>
      <c r="S43">
        <f>(E43/100000+F43/100+(O43/1000)*J43/5+R43/200)*200*I43*H43</f>
        <v/>
      </c>
      <c r="T43">
        <f>((E43*F43/25000)+((O43/1000)*J43*R43/2.5))*I43*H43</f>
        <v/>
      </c>
      <c r="U43">
        <f>(E43*F43*(O43/1000)*J43*R43*I43*H43)/12500000</f>
        <v/>
      </c>
      <c r="V43">
        <f>(S43+T43+U43)/3</f>
        <v/>
      </c>
      <c r="W43" s="5" t="n">
        <v>1250</v>
      </c>
      <c r="X43">
        <f>IFERROR(V43-W43,"")</f>
        <v/>
      </c>
      <c r="Y43">
        <f>IFERROR(ABS(X43)/MAX(W43,1),"")</f>
        <v/>
      </c>
      <c r="Z43">
        <f>IFERROR((W43-(((E43/100000+F43/100+R43/200)*200*I43*H43)+((E43*F43/25000)*I43*H43))/3)/(((J43/5)*200*I43*H43)+((J43*R43/2.5)*I43*H43)+((E43*F43*J43*R43*I43*H43)/12500000))/3*1000,"")</f>
        <v/>
      </c>
    </row>
    <row r="44">
      <c r="B44" s="6" t="inlineStr">
        <is>
          <t xml:space="preserve">  ↳ CabalArtilleryWalkerShell</t>
        </is>
      </c>
      <c r="C44" s="6" t="inlineStr">
        <is>
          <t>Armament@PRIMARY</t>
        </is>
      </c>
      <c r="K44" s="5" t="n">
        <v>42000</v>
      </c>
      <c r="L44" s="5" t="n">
        <v>64</v>
      </c>
      <c r="M44" s="5" t="n">
        <v>1</v>
      </c>
      <c r="N44" s="5" t="n"/>
      <c r="O44" s="5" t="n">
        <v>11580</v>
      </c>
      <c r="P44" s="5" t="n">
        <v>1</v>
      </c>
      <c r="Q44">
        <f>L44+IF(M44&gt;1,N(N44)*(M44-1),0)</f>
        <v/>
      </c>
      <c r="R44">
        <f>IFERROR(K44*MAX(M44,1)/Q44*P44,0)</f>
        <v/>
      </c>
      <c r="AA44" s="6" t="inlineStr">
        <is>
          <t>^Grenade, ^ShrapnelWeapon, ^MediumCannon, ^HeavyCannon</t>
        </is>
      </c>
    </row>
    <row r="45">
      <c r="B45" s="6" t="inlineStr">
        <is>
          <t xml:space="preserve">  ↳ CabalArtilleryWalkerShellUpgraded</t>
        </is>
      </c>
      <c r="C45" s="6" t="inlineStr">
        <is>
          <t>Armament@Upgraded</t>
        </is>
      </c>
      <c r="K45" s="5" t="n">
        <v>42000</v>
      </c>
      <c r="L45" s="5" t="n">
        <v>64</v>
      </c>
      <c r="M45" s="5" t="n">
        <v>1</v>
      </c>
      <c r="N45" s="5" t="n"/>
      <c r="O45" s="5" t="n">
        <v>11580</v>
      </c>
      <c r="P45" s="5" t="n">
        <v>1</v>
      </c>
      <c r="Q45">
        <f>L45+IF(M45&gt;1,N(N45)*(M45-1),0)</f>
        <v/>
      </c>
      <c r="R45">
        <f>IFERROR(K45*MAX(M45,1)/Q45*P45,0)</f>
        <v/>
      </c>
      <c r="AA45" s="6" t="inlineStr">
        <is>
          <t>^Grenade, ^ShrapnelWeapon, ^MediumCannon, ^HeavyCannon, ^MediumChemicalWeapon, ^TeslaChargedWeapon, ^MagicWeapon, ^RailgunWeapon</t>
        </is>
      </c>
    </row>
    <row r="46">
      <c r="A46" t="inlineStr">
        <is>
          <t>tiberiansun</t>
        </is>
      </c>
      <c r="B46" t="inlineStr">
        <is>
          <t>cabal_avatar</t>
        </is>
      </c>
      <c r="C46" t="inlineStr">
        <is>
          <t>Avatar</t>
        </is>
      </c>
      <c r="D46" t="inlineStr"/>
      <c r="E46" s="5" t="n">
        <v>1000000</v>
      </c>
      <c r="F46" s="5" t="n">
        <v>25</v>
      </c>
      <c r="G46" t="inlineStr">
        <is>
          <t>Medium</t>
        </is>
      </c>
      <c r="H46" s="5" t="n">
        <v>0.75</v>
      </c>
      <c r="I46" s="5" t="n">
        <v>1</v>
      </c>
      <c r="J46" s="5" t="n">
        <v>1</v>
      </c>
      <c r="O46">
        <f>MAX(O47,O48)</f>
        <v/>
      </c>
      <c r="R46">
        <f>R47+R48</f>
        <v/>
      </c>
      <c r="S46">
        <f>(E46/100000+F46/100+(O46/1000)*J46/5+R46/200)*200*I46*H46</f>
        <v/>
      </c>
      <c r="T46">
        <f>((E46*F46/25000)+((O46/1000)*J46*R46/2.5))*I46*H46</f>
        <v/>
      </c>
      <c r="U46">
        <f>(E46*F46*(O46/1000)*J46*R46*I46*H46)/12500000</f>
        <v/>
      </c>
      <c r="V46">
        <f>(S46+T46+U46)/3</f>
        <v/>
      </c>
      <c r="W46" s="5" t="n">
        <v>7500</v>
      </c>
      <c r="X46">
        <f>IFERROR(V46-W46,"")</f>
        <v/>
      </c>
      <c r="Y46">
        <f>IFERROR(ABS(X46)/MAX(W46,1),"")</f>
        <v/>
      </c>
      <c r="Z46">
        <f>IFERROR((W46-(((E46/100000+F46/100+R46/200)*200*I46*H46)+((E46*F46/25000)*I46*H46))/3)/(((J46/5)*200*I46*H46)+((J46*R46/2.5)*I46*H46)+((E46*F46*J46*R46*I46*H46)/12500000))/3*1000,"")</f>
        <v/>
      </c>
    </row>
    <row r="47">
      <c r="B47" s="6" t="inlineStr">
        <is>
          <t xml:space="preserve">  ↳ CabalAvatarLaser</t>
        </is>
      </c>
      <c r="C47" s="6" t="inlineStr">
        <is>
          <t>Armament@PRIMARY</t>
        </is>
      </c>
      <c r="K47" s="5" t="n">
        <v>80000</v>
      </c>
      <c r="L47" s="5" t="n">
        <v>70</v>
      </c>
      <c r="M47" s="5" t="n">
        <v>1</v>
      </c>
      <c r="N47" s="5" t="n"/>
      <c r="O47" s="5" t="n">
        <v>6332</v>
      </c>
      <c r="P47" s="5" t="n">
        <v>1</v>
      </c>
      <c r="Q47">
        <f>L47+IF(M47&gt;1,N(N47)*(M47-1),0)</f>
        <v/>
      </c>
      <c r="R47">
        <f>IFERROR(K47*MAX(M47,1)/Q47*P47,0)</f>
        <v/>
      </c>
      <c r="AA47" s="6" t="inlineStr">
        <is>
          <t>^LaserWeapon</t>
        </is>
      </c>
    </row>
    <row r="48">
      <c r="B48" s="6" t="inlineStr">
        <is>
          <t xml:space="preserve">  ↳ CabalAvatarLaser</t>
        </is>
      </c>
      <c r="C48" s="6" t="inlineStr">
        <is>
          <t>Armament@RIGHT</t>
        </is>
      </c>
      <c r="K48" s="5" t="n">
        <v>80000</v>
      </c>
      <c r="L48" s="5" t="n">
        <v>70</v>
      </c>
      <c r="M48" s="5" t="n">
        <v>1</v>
      </c>
      <c r="N48" s="5" t="n"/>
      <c r="O48" s="5" t="n">
        <v>6332</v>
      </c>
      <c r="P48" s="5" t="n">
        <v>1</v>
      </c>
      <c r="Q48">
        <f>L48+IF(M48&gt;1,N(N48)*(M48-1),0)</f>
        <v/>
      </c>
      <c r="R48">
        <f>IFERROR(K48*MAX(M48,1)/Q48*P48,0)</f>
        <v/>
      </c>
      <c r="AA48" s="6" t="inlineStr">
        <is>
          <t>^LaserWeapon</t>
        </is>
      </c>
    </row>
    <row r="49">
      <c r="A49" t="inlineStr">
        <is>
          <t>tiberiansun</t>
        </is>
      </c>
      <c r="B49" t="inlineStr">
        <is>
          <t>cabal_beholder</t>
        </is>
      </c>
      <c r="C49" t="inlineStr">
        <is>
          <t>Beholder</t>
        </is>
      </c>
      <c r="D49" t="inlineStr"/>
      <c r="E49" s="5" t="n">
        <v>125000</v>
      </c>
      <c r="F49" s="5" t="n">
        <v>125</v>
      </c>
      <c r="G49" t="inlineStr">
        <is>
          <t>Heavy</t>
        </is>
      </c>
      <c r="H49" s="5" t="n">
        <v>0.75</v>
      </c>
      <c r="I49" s="5" t="n">
        <v>0.8</v>
      </c>
      <c r="J49" s="5" t="n">
        <v>1.25</v>
      </c>
      <c r="O49">
        <f>MAX(O50)</f>
        <v/>
      </c>
      <c r="R49">
        <f>R50</f>
        <v/>
      </c>
      <c r="S49">
        <f>(E49/100000+F49/100+(O49/1000)*J49/5+R49/200)*200*I49*H49</f>
        <v/>
      </c>
      <c r="T49">
        <f>((E49*F49/25000)+((O49/1000)*J49*R49/2.5))*I49*H49</f>
        <v/>
      </c>
      <c r="U49">
        <f>(E49*F49*(O49/1000)*J49*R49*I49*H49)/12500000</f>
        <v/>
      </c>
      <c r="V49">
        <f>(S49+T49+U49)/3</f>
        <v/>
      </c>
      <c r="W49" s="5" t="n">
        <v>2500</v>
      </c>
      <c r="X49">
        <f>IFERROR(V49-W49,"")</f>
        <v/>
      </c>
      <c r="Y49">
        <f>IFERROR(ABS(X49)/MAX(W49,1),"")</f>
        <v/>
      </c>
      <c r="Z49">
        <f>IFERROR((W49-(((E49/100000+F49/100+R49/200)*200*I49*H49)+((E49*F49/25000)*I49*H49))/3)/(((J49/5)*200*I49*H49)+((J49*R49/2.5)*I49*H49)+((E49*F49*J49*R49*I49*H49)/12500000))/3*1000,"")</f>
        <v/>
      </c>
    </row>
    <row r="50">
      <c r="B50" s="6" t="inlineStr">
        <is>
          <t xml:space="preserve">  ↳ CabalBeholderLaser</t>
        </is>
      </c>
      <c r="C50" s="6" t="inlineStr">
        <is>
          <t>Armament@PRIMARY</t>
        </is>
      </c>
      <c r="K50" s="5" t="n">
        <v>10000</v>
      </c>
      <c r="L50" s="5" t="n">
        <v>50</v>
      </c>
      <c r="M50" s="5" t="n">
        <v>2</v>
      </c>
      <c r="N50" s="5" t="n">
        <v>5</v>
      </c>
      <c r="O50" s="5" t="n">
        <v>2500</v>
      </c>
      <c r="P50" s="5" t="n">
        <v>1</v>
      </c>
      <c r="Q50">
        <f>L50+IF(M50&gt;1,N(N50)*(M50-1),0)</f>
        <v/>
      </c>
      <c r="R50">
        <f>IFERROR(K50*MAX(M50,1)/Q50*P50,0)</f>
        <v/>
      </c>
      <c r="AA50" s="6" t="inlineStr">
        <is>
          <t>^HeavyCannon, ^TeslaWeapon, ^RailgunWeapon, ^LaserWeapon</t>
        </is>
      </c>
    </row>
    <row r="51">
      <c r="A51" t="inlineStr">
        <is>
          <t>tiberiansun</t>
        </is>
      </c>
      <c r="B51" t="inlineStr">
        <is>
          <t>cabal_berserker</t>
        </is>
      </c>
      <c r="C51" t="inlineStr">
        <is>
          <t>Berserker</t>
        </is>
      </c>
      <c r="D51" t="inlineStr"/>
      <c r="E51" s="5" t="n">
        <v>800000</v>
      </c>
      <c r="F51" s="5" t="n">
        <v>60</v>
      </c>
      <c r="G51" t="inlineStr">
        <is>
          <t>Heavy</t>
        </is>
      </c>
      <c r="H51" s="5" t="n">
        <v>0.5</v>
      </c>
      <c r="I51" s="5" t="n">
        <v>1</v>
      </c>
      <c r="J51" s="5" t="n">
        <v>1</v>
      </c>
      <c r="O51">
        <f>MAX(O52)</f>
        <v/>
      </c>
      <c r="R51">
        <f>R52</f>
        <v/>
      </c>
      <c r="S51">
        <f>(E51/100000+F51/100+(O51/1000)*J51/5+R51/200)*200*I51*H51</f>
        <v/>
      </c>
      <c r="T51">
        <f>((E51*F51/25000)+((O51/1000)*J51*R51/2.5))*I51*H51</f>
        <v/>
      </c>
      <c r="U51">
        <f>(E51*F51*(O51/1000)*J51*R51*I51*H51)/12500000</f>
        <v/>
      </c>
      <c r="V51">
        <f>(S51+T51+U51)/3</f>
        <v/>
      </c>
      <c r="W51" s="5" t="n">
        <v>10000</v>
      </c>
      <c r="X51">
        <f>IFERROR(V51-W51,"")</f>
        <v/>
      </c>
      <c r="Y51">
        <f>IFERROR(ABS(X51)/MAX(W51,1),"")</f>
        <v/>
      </c>
      <c r="Z51">
        <f>IFERROR((W51-(((E51/100000+F51/100+R51/200)*200*I51*H51)+((E51*F51/25000)*I51*H51))/3)/(((J51/5)*200*I51*H51)+((J51*R51/2.5)*I51*H51)+((E51*F51*J51*R51*I51*H51)/12500000))/3*1000,"")</f>
        <v/>
      </c>
    </row>
    <row r="52">
      <c r="B52" s="6" t="inlineStr">
        <is>
          <t xml:space="preserve">  ↳ CabalBerserkerBlades</t>
        </is>
      </c>
      <c r="C52" s="6" t="inlineStr">
        <is>
          <t>Armament@PRIMARY</t>
        </is>
      </c>
      <c r="K52" s="5" t="n">
        <v>74000</v>
      </c>
      <c r="L52" s="5" t="n">
        <v>30</v>
      </c>
      <c r="M52" s="5" t="n">
        <v>3</v>
      </c>
      <c r="N52" s="5" t="n">
        <v>5</v>
      </c>
      <c r="O52" s="5" t="n">
        <v>2048</v>
      </c>
      <c r="P52" s="5" t="n">
        <v>1</v>
      </c>
      <c r="Q52">
        <f>L52+IF(M52&gt;1,N(N52)*(M52-1),0)</f>
        <v/>
      </c>
      <c r="R52">
        <f>IFERROR(K52*MAX(M52,1)/Q52*P52,0)</f>
        <v/>
      </c>
      <c r="AA52" s="6" t="inlineStr">
        <is>
          <t>^SwordWeapon</t>
        </is>
      </c>
    </row>
    <row r="53">
      <c r="A53" t="inlineStr">
        <is>
          <t>tiberiansun</t>
        </is>
      </c>
      <c r="B53" t="inlineStr">
        <is>
          <t>cabal_constructionyard</t>
        </is>
      </c>
      <c r="C53" t="inlineStr">
        <is>
          <t>Construction Yard (CABAL)</t>
        </is>
      </c>
      <c r="D53" t="inlineStr"/>
      <c r="E53" s="5" t="n">
        <v>1000000</v>
      </c>
      <c r="F53" s="5" t="n"/>
      <c r="G53" t="inlineStr">
        <is>
          <t>Wood</t>
        </is>
      </c>
      <c r="H53" s="5" t="n">
        <v>1</v>
      </c>
      <c r="I53" s="5" t="n">
        <v>1</v>
      </c>
      <c r="J53" s="5" t="n">
        <v>1</v>
      </c>
      <c r="W53" s="5" t="n">
        <v>2500</v>
      </c>
    </row>
    <row r="54">
      <c r="A54" t="inlineStr">
        <is>
          <t>tiberiansun</t>
        </is>
      </c>
      <c r="B54" t="inlineStr">
        <is>
          <t>cabal_coredefender</t>
        </is>
      </c>
      <c r="C54" t="inlineStr">
        <is>
          <t>Core Defender</t>
        </is>
      </c>
      <c r="D54" t="inlineStr"/>
      <c r="E54" s="5" t="n">
        <v>2000000</v>
      </c>
      <c r="F54" s="5" t="n">
        <v>50</v>
      </c>
      <c r="G54" t="inlineStr">
        <is>
          <t>Superheavy</t>
        </is>
      </c>
      <c r="H54" s="5" t="n">
        <v>1</v>
      </c>
      <c r="I54" s="5" t="n">
        <v>0.3</v>
      </c>
      <c r="J54" s="5" t="n">
        <v>1</v>
      </c>
      <c r="O54">
        <f>MAX(O55,O56)</f>
        <v/>
      </c>
      <c r="R54">
        <f>R55+R56</f>
        <v/>
      </c>
      <c r="S54">
        <f>(E54/100000+F54/100+(O54/1000)*J54/5+R54/200)*200*I54*H54</f>
        <v/>
      </c>
      <c r="T54">
        <f>((E54*F54/25000)+((O54/1000)*J54*R54/2.5))*I54*H54</f>
        <v/>
      </c>
      <c r="U54">
        <f>(E54*F54*(O54/1000)*J54*R54*I54*H54)/12500000</f>
        <v/>
      </c>
      <c r="V54">
        <f>(S54+T54+U54)/3</f>
        <v/>
      </c>
      <c r="W54" s="5" t="n">
        <v>15000</v>
      </c>
      <c r="X54">
        <f>IFERROR(V54-W54,"")</f>
        <v/>
      </c>
      <c r="Y54">
        <f>IFERROR(ABS(X54)/MAX(W54,1),"")</f>
        <v/>
      </c>
      <c r="Z54">
        <f>IFERROR((W54-(((E54/100000+F54/100+R54/200)*200*I54*H54)+((E54*F54/25000)*I54*H54))/3)/(((J54/5)*200*I54*H54)+((J54*R54/2.5)*I54*H54)+((E54*F54*J54*R54*I54*H54)/12500000))/3*1000,"")</f>
        <v/>
      </c>
    </row>
    <row r="55">
      <c r="B55" s="6" t="inlineStr">
        <is>
          <t xml:space="preserve">  ↳ CabalCoreDefenderLaser</t>
        </is>
      </c>
      <c r="C55" s="6" t="inlineStr">
        <is>
          <t>Armament</t>
        </is>
      </c>
      <c r="K55" s="5" t="n">
        <v>160000</v>
      </c>
      <c r="L55" s="5" t="n">
        <v>70</v>
      </c>
      <c r="M55" s="5" t="n">
        <v>1</v>
      </c>
      <c r="N55" s="5" t="n"/>
      <c r="O55" s="5" t="n">
        <v>6332</v>
      </c>
      <c r="P55" s="5" t="n">
        <v>1</v>
      </c>
      <c r="Q55">
        <f>L55+IF(M55&gt;1,N(N55)*(M55-1),0)</f>
        <v/>
      </c>
      <c r="R55">
        <f>IFERROR(K55*MAX(M55,1)/Q55*P55,0)</f>
        <v/>
      </c>
      <c r="AA55" s="6" t="inlineStr">
        <is>
          <t>^LaserWeapon</t>
        </is>
      </c>
    </row>
    <row r="56">
      <c r="B56" s="6" t="inlineStr">
        <is>
          <t xml:space="preserve">  ↳ CabalCoreDefenderLaser</t>
        </is>
      </c>
      <c r="C56" s="6" t="inlineStr">
        <is>
          <t>Armament@RIGHT</t>
        </is>
      </c>
      <c r="K56" s="5" t="n">
        <v>160000</v>
      </c>
      <c r="L56" s="5" t="n">
        <v>70</v>
      </c>
      <c r="M56" s="5" t="n">
        <v>1</v>
      </c>
      <c r="N56" s="5" t="n"/>
      <c r="O56" s="5" t="n">
        <v>6332</v>
      </c>
      <c r="P56" s="5" t="n">
        <v>1</v>
      </c>
      <c r="Q56">
        <f>L56+IF(M56&gt;1,N(N56)*(M56-1),0)</f>
        <v/>
      </c>
      <c r="R56">
        <f>IFERROR(K56*MAX(M56,1)/Q56*P56,0)</f>
        <v/>
      </c>
      <c r="AA56" s="6" t="inlineStr">
        <is>
          <t>^LaserWeapon</t>
        </is>
      </c>
    </row>
    <row r="57">
      <c r="A57" t="inlineStr">
        <is>
          <t>tiberiansun</t>
        </is>
      </c>
      <c r="B57" t="inlineStr">
        <is>
          <t>cabal_cyborgreaper</t>
        </is>
      </c>
      <c r="C57" t="inlineStr">
        <is>
          <t>Cyborg Reaper</t>
        </is>
      </c>
      <c r="D57" t="inlineStr"/>
      <c r="E57" s="5" t="n">
        <v>70000</v>
      </c>
      <c r="F57" s="5" t="n">
        <v>65</v>
      </c>
      <c r="G57" t="inlineStr">
        <is>
          <t>Medium</t>
        </is>
      </c>
      <c r="H57" s="5" t="n">
        <v>1</v>
      </c>
      <c r="I57" s="5" t="n">
        <v>1.25</v>
      </c>
      <c r="J57" s="5" t="n">
        <v>1</v>
      </c>
      <c r="O57">
        <f>MAX(O58,O59,O60,O61)</f>
        <v/>
      </c>
      <c r="R57">
        <f>R58+R59+R60+R61</f>
        <v/>
      </c>
      <c r="S57">
        <f>(E57/100000+F57/100+(O57/1000)*J57/5+R57/200)*200*I57*H57</f>
        <v/>
      </c>
      <c r="T57">
        <f>((E57*F57/25000)+((O57/1000)*J57*R57/2.5))*I57*H57</f>
        <v/>
      </c>
      <c r="U57">
        <f>(E57*F57*(O57/1000)*J57*R57*I57*H57)/12500000</f>
        <v/>
      </c>
      <c r="V57">
        <f>(S57+T57+U57)/3</f>
        <v/>
      </c>
      <c r="W57" s="5" t="n">
        <v>1100</v>
      </c>
      <c r="X57">
        <f>IFERROR(V57-W57,"")</f>
        <v/>
      </c>
      <c r="Y57">
        <f>IFERROR(ABS(X57)/MAX(W57,1),"")</f>
        <v/>
      </c>
      <c r="Z57">
        <f>IFERROR((W57-(((E57/100000+F57/100+R57/200)*200*I57*H57)+((E57*F57/25000)*I57*H57))/3)/(((J57/5)*200*I57*H57)+((J57*R57/2.5)*I57*H57)+((E57*F57*J57*R57*I57*H57)/12500000))/3*1000,"")</f>
        <v/>
      </c>
    </row>
    <row r="58">
      <c r="B58" s="6" t="inlineStr">
        <is>
          <t xml:space="preserve">  ↳ CabalReaperMissiles</t>
        </is>
      </c>
      <c r="C58" s="6" t="inlineStr">
        <is>
          <t>Armament</t>
        </is>
      </c>
      <c r="K58" s="5" t="n">
        <v>8000</v>
      </c>
      <c r="L58" s="5" t="n">
        <v>24</v>
      </c>
      <c r="M58" s="5" t="n">
        <v>2</v>
      </c>
      <c r="N58" s="5" t="n">
        <v>12</v>
      </c>
      <c r="O58" s="5" t="n">
        <v>5785</v>
      </c>
      <c r="P58" s="5" t="n">
        <v>1</v>
      </c>
      <c r="Q58">
        <f>L58+IF(M58&gt;1,N(N58)*(M58-1),0)</f>
        <v/>
      </c>
      <c r="R58">
        <f>IFERROR(K58*MAX(M58,1)/Q58*P58,0)</f>
        <v/>
      </c>
      <c r="AA58" s="6" t="inlineStr">
        <is>
          <t>^Grenade, ^ShrapnelWeapon, ^LightMissile, ^MediumMissile, ^CabalMissile</t>
        </is>
      </c>
    </row>
    <row r="59">
      <c r="B59" s="6" t="inlineStr">
        <is>
          <t xml:space="preserve">  ↳ CabalReaperMissilesAA</t>
        </is>
      </c>
      <c r="C59" s="6" t="inlineStr">
        <is>
          <t>Armament@SECONDARY</t>
        </is>
      </c>
      <c r="K59" s="5" t="n">
        <v>8000</v>
      </c>
      <c r="L59" s="5" t="n">
        <v>24</v>
      </c>
      <c r="M59" s="5" t="n">
        <v>2</v>
      </c>
      <c r="N59" s="5" t="n">
        <v>12</v>
      </c>
      <c r="O59" s="5" t="n">
        <v>8680</v>
      </c>
      <c r="P59" s="5" t="n">
        <v>1</v>
      </c>
      <c r="Q59">
        <f>L59+IF(M59&gt;1,N(N59)*(M59-1),0)</f>
        <v/>
      </c>
      <c r="R59">
        <f>IFERROR(K59*MAX(M59,1)/Q59*P59,0)</f>
        <v/>
      </c>
      <c r="AA59" s="6" t="inlineStr">
        <is>
          <t>^Grenade, ^ShrapnelWeapon, ^LightMissile, ^MediumMissile, ^CabalMissile</t>
        </is>
      </c>
    </row>
    <row r="60">
      <c r="B60" s="6" t="inlineStr">
        <is>
          <t xml:space="preserve">  ↳ CabalReaperTrapGround</t>
        </is>
      </c>
      <c r="C60" s="6" t="inlineStr">
        <is>
          <t>Armament@TRAPGROUND</t>
        </is>
      </c>
      <c r="K60" s="5" t="n"/>
      <c r="L60" s="5" t="n">
        <v>250</v>
      </c>
      <c r="M60" s="5" t="n">
        <v>1</v>
      </c>
      <c r="N60" s="5" t="n"/>
      <c r="O60" s="5" t="n">
        <v>5785</v>
      </c>
      <c r="P60" s="5" t="n">
        <v>1</v>
      </c>
      <c r="Q60">
        <f>L60+IF(M60&gt;1,N(N60)*(M60-1),0)</f>
        <v/>
      </c>
      <c r="R60">
        <f>IFERROR(K60*MAX(M60,1)/Q60*P60,0)</f>
        <v/>
      </c>
      <c r="AA60" s="6" t="inlineStr"/>
    </row>
    <row r="61">
      <c r="B61" s="6" t="inlineStr">
        <is>
          <t xml:space="preserve">  ↳ CabalReaperTrapAir</t>
        </is>
      </c>
      <c r="C61" s="6" t="inlineStr">
        <is>
          <t>Armament@TRAPAIR</t>
        </is>
      </c>
      <c r="K61" s="5" t="n"/>
      <c r="L61" s="5" t="n">
        <v>250</v>
      </c>
      <c r="M61" s="5" t="n">
        <v>1</v>
      </c>
      <c r="N61" s="5" t="n"/>
      <c r="O61" s="5" t="n">
        <v>8680</v>
      </c>
      <c r="P61" s="5" t="n">
        <v>1</v>
      </c>
      <c r="Q61">
        <f>L61+IF(M61&gt;1,N(N61)*(M61-1),0)</f>
        <v/>
      </c>
      <c r="R61">
        <f>IFERROR(K61*MAX(M61,1)/Q61*P61,0)</f>
        <v/>
      </c>
      <c r="AA61" s="6" t="inlineStr"/>
    </row>
    <row r="62">
      <c r="A62" t="inlineStr">
        <is>
          <t>tiberiansun</t>
        </is>
      </c>
      <c r="B62" t="inlineStr">
        <is>
          <t>cabal_heavyreaper</t>
        </is>
      </c>
      <c r="C62" t="inlineStr">
        <is>
          <t>Heavy Reaper</t>
        </is>
      </c>
      <c r="D62" t="inlineStr"/>
      <c r="E62" s="5" t="n">
        <v>75000</v>
      </c>
      <c r="F62" s="5" t="n">
        <v>65</v>
      </c>
      <c r="G62" t="inlineStr">
        <is>
          <t>Medium</t>
        </is>
      </c>
      <c r="H62" s="5" t="n">
        <v>1</v>
      </c>
      <c r="I62" s="5" t="n">
        <v>1.25</v>
      </c>
      <c r="J62" s="5" t="n">
        <v>1.5</v>
      </c>
      <c r="O62">
        <f>MAX(O63,O64,O65)</f>
        <v/>
      </c>
      <c r="R62">
        <f>R63+R64+R65</f>
        <v/>
      </c>
      <c r="S62">
        <f>(E62/100000+F62/100+(O62/1000)*J62/5+R62/200)*200*I62*H62</f>
        <v/>
      </c>
      <c r="T62">
        <f>((E62*F62/25000)+((O62/1000)*J62*R62/2.5))*I62*H62</f>
        <v/>
      </c>
      <c r="U62">
        <f>(E62*F62*(O62/1000)*J62*R62*I62*H62)/12500000</f>
        <v/>
      </c>
      <c r="V62">
        <f>(S62+T62+U62)/3</f>
        <v/>
      </c>
      <c r="W62" s="5" t="n">
        <v>1650</v>
      </c>
      <c r="X62">
        <f>IFERROR(V62-W62,"")</f>
        <v/>
      </c>
      <c r="Y62">
        <f>IFERROR(ABS(X62)/MAX(W62,1),"")</f>
        <v/>
      </c>
      <c r="Z62">
        <f>IFERROR((W62-(((E62/100000+F62/100+R62/200)*200*I62*H62)+((E62*F62/25000)*I62*H62))/3)/(((J62/5)*200*I62*H62)+((J62*R62/2.5)*I62*H62)+((E62*F62*J62*R62*I62*H62)/12500000))/3*1000,"")</f>
        <v/>
      </c>
    </row>
    <row r="63">
      <c r="B63" s="6" t="inlineStr">
        <is>
          <t xml:space="preserve">  ↳ CabalHeavyReaperMissiles</t>
        </is>
      </c>
      <c r="C63" s="6" t="inlineStr">
        <is>
          <t>Armament</t>
        </is>
      </c>
      <c r="K63" s="5" t="n">
        <v>12000</v>
      </c>
      <c r="L63" s="5" t="n">
        <v>30</v>
      </c>
      <c r="M63" s="5" t="n">
        <v>2</v>
      </c>
      <c r="N63" s="5" t="n">
        <v>12</v>
      </c>
      <c r="O63" s="5" t="n">
        <v>6085</v>
      </c>
      <c r="P63" s="5" t="n">
        <v>1</v>
      </c>
      <c r="Q63">
        <f>L63+IF(M63&gt;1,N(N63)*(M63-1),0)</f>
        <v/>
      </c>
      <c r="R63">
        <f>IFERROR(K63*MAX(M63,1)/Q63*P63,0)</f>
        <v/>
      </c>
      <c r="AA63" s="6" t="inlineStr">
        <is>
          <t>^Grenade, ^ShrapnelWeapon, ^MediumMissile, ^HeavyMissile, ^CabalMissile</t>
        </is>
      </c>
    </row>
    <row r="64">
      <c r="B64" s="6" t="inlineStr">
        <is>
          <t xml:space="preserve">  ↳ CabalHeavyReaperMissilesAA</t>
        </is>
      </c>
      <c r="C64" s="6" t="inlineStr">
        <is>
          <t>Armament@SECONDARY</t>
        </is>
      </c>
      <c r="K64" s="5" t="n">
        <v>12000</v>
      </c>
      <c r="L64" s="5" t="n">
        <v>30</v>
      </c>
      <c r="M64" s="5" t="n">
        <v>2</v>
      </c>
      <c r="N64" s="5" t="n">
        <v>12</v>
      </c>
      <c r="O64" s="5" t="n">
        <v>9130</v>
      </c>
      <c r="P64" s="5" t="n">
        <v>1</v>
      </c>
      <c r="Q64">
        <f>L64+IF(M64&gt;1,N(N64)*(M64-1),0)</f>
        <v/>
      </c>
      <c r="R64">
        <f>IFERROR(K64*MAX(M64,1)/Q64*P64,0)</f>
        <v/>
      </c>
      <c r="AA64" s="6" t="inlineStr">
        <is>
          <t>^Grenade, ^ShrapnelWeapon, ^MediumMissile, ^HeavyMissile, ^CabalMissile</t>
        </is>
      </c>
    </row>
    <row r="65">
      <c r="B65" s="6" t="inlineStr">
        <is>
          <t xml:space="preserve">  ↳ CabalHeavyReaperTrap</t>
        </is>
      </c>
      <c r="C65" s="6" t="inlineStr">
        <is>
          <t>Armament@TRAP</t>
        </is>
      </c>
      <c r="K65" s="5" t="n"/>
      <c r="L65" s="5" t="n">
        <v>250</v>
      </c>
      <c r="M65" s="5" t="n">
        <v>1</v>
      </c>
      <c r="N65" s="5" t="n"/>
      <c r="O65" s="5" t="n">
        <v>6085</v>
      </c>
      <c r="P65" s="5" t="n">
        <v>1</v>
      </c>
      <c r="Q65">
        <f>L65+IF(M65&gt;1,N(N65)*(M65-1),0)</f>
        <v/>
      </c>
      <c r="R65">
        <f>IFERROR(K65*MAX(M65,1)/Q65*P65,0)</f>
        <v/>
      </c>
      <c r="AA65" s="6" t="inlineStr"/>
    </row>
    <row r="66">
      <c r="A66" t="inlineStr">
        <is>
          <t>tiberiansun</t>
        </is>
      </c>
      <c r="B66" t="inlineStr">
        <is>
          <t>cabal_laserspider</t>
        </is>
      </c>
      <c r="C66" t="inlineStr">
        <is>
          <t>Laser Spider</t>
        </is>
      </c>
      <c r="D66" t="inlineStr"/>
      <c r="E66" s="5" t="n">
        <v>40000</v>
      </c>
      <c r="F66" s="5" t="n">
        <v>70</v>
      </c>
      <c r="G66" t="inlineStr">
        <is>
          <t>Light</t>
        </is>
      </c>
      <c r="H66" s="5" t="n">
        <v>1</v>
      </c>
      <c r="I66" s="5" t="n">
        <v>1</v>
      </c>
      <c r="J66" s="5" t="n">
        <v>1</v>
      </c>
      <c r="O66">
        <f>MAX(O67)</f>
        <v/>
      </c>
      <c r="R66">
        <f>R67</f>
        <v/>
      </c>
      <c r="S66">
        <f>(E66/100000+F66/100+(O66/1000)*J66/5+R66/200)*200*I66*H66</f>
        <v/>
      </c>
      <c r="T66">
        <f>((E66*F66/25000)+((O66/1000)*J66*R66/2.5))*I66*H66</f>
        <v/>
      </c>
      <c r="U66">
        <f>(E66*F66*(O66/1000)*J66*R66*I66*H66)/12500000</f>
        <v/>
      </c>
      <c r="V66">
        <f>(S66+T66+U66)/3</f>
        <v/>
      </c>
      <c r="W66" s="5" t="n">
        <v>1200</v>
      </c>
      <c r="X66">
        <f>IFERROR(V66-W66,"")</f>
        <v/>
      </c>
      <c r="Y66">
        <f>IFERROR(ABS(X66)/MAX(W66,1),"")</f>
        <v/>
      </c>
      <c r="Z66">
        <f>IFERROR((W66-(((E66/100000+F66/100+R66/200)*200*I66*H66)+((E66*F66/25000)*I66*H66))/3)/(((J66/5)*200*I66*H66)+((J66*R66/2.5)*I66*H66)+((E66*F66*J66*R66*I66*H66)/12500000))/3*1000,"")</f>
        <v/>
      </c>
    </row>
    <row r="67">
      <c r="B67" s="6" t="inlineStr">
        <is>
          <t xml:space="preserve">  ↳ CabalSpiderLaser</t>
        </is>
      </c>
      <c r="C67" s="6" t="inlineStr">
        <is>
          <t>Armament@PRIMARY</t>
        </is>
      </c>
      <c r="K67" s="5" t="n">
        <v>44000</v>
      </c>
      <c r="L67" s="5" t="n">
        <v>90</v>
      </c>
      <c r="M67" s="5" t="n">
        <v>1</v>
      </c>
      <c r="N67" s="5" t="n"/>
      <c r="O67" s="5" t="n">
        <v>6147</v>
      </c>
      <c r="P67" s="5" t="n">
        <v>1</v>
      </c>
      <c r="Q67">
        <f>L67+IF(M67&gt;1,N(N67)*(M67-1),0)</f>
        <v/>
      </c>
      <c r="R67">
        <f>IFERROR(K67*MAX(M67,1)/Q67*P67,0)</f>
        <v/>
      </c>
      <c r="AA67" s="6" t="inlineStr">
        <is>
          <t>^LaserWeapon</t>
        </is>
      </c>
    </row>
    <row r="68">
      <c r="A68" t="inlineStr">
        <is>
          <t>tiberiansun</t>
        </is>
      </c>
      <c r="B68" t="inlineStr">
        <is>
          <t>cabal_manticore</t>
        </is>
      </c>
      <c r="C68" t="inlineStr">
        <is>
          <t>Manticore</t>
        </is>
      </c>
      <c r="D68" t="inlineStr"/>
      <c r="E68" s="5" t="n">
        <v>100000</v>
      </c>
      <c r="F68" s="5" t="n">
        <v>65</v>
      </c>
      <c r="G68" t="inlineStr">
        <is>
          <t>Light</t>
        </is>
      </c>
      <c r="H68" s="5" t="n">
        <v>0.75</v>
      </c>
      <c r="I68" s="5" t="n">
        <v>1.25</v>
      </c>
      <c r="J68" s="5" t="n">
        <v>1</v>
      </c>
      <c r="O68">
        <f>MAX(O69,O70)</f>
        <v/>
      </c>
      <c r="R68">
        <f>R69+R70</f>
        <v/>
      </c>
      <c r="S68">
        <f>(E68/100000+F68/100+(O68/1000)*J68/5+R68/200)*200*I68*H68</f>
        <v/>
      </c>
      <c r="T68">
        <f>((E68*F68/25000)+((O68/1000)*J68*R68/2.5))*I68*H68</f>
        <v/>
      </c>
      <c r="U68">
        <f>(E68*F68*(O68/1000)*J68*R68*I68*H68)/12500000</f>
        <v/>
      </c>
      <c r="V68">
        <f>(S68+T68+U68)/3</f>
        <v/>
      </c>
      <c r="W68" s="5" t="n">
        <v>1400</v>
      </c>
      <c r="X68">
        <f>IFERROR(V68-W68,"")</f>
        <v/>
      </c>
      <c r="Y68">
        <f>IFERROR(ABS(X68)/MAX(W68,1),"")</f>
        <v/>
      </c>
      <c r="Z68">
        <f>IFERROR((W68-(((E68/100000+F68/100+R68/200)*200*I68*H68)+((E68*F68/25000)*I68*H68))/3)/(((J68/5)*200*I68*H68)+((J68*R68/2.5)*I68*H68)+((E68*F68*J68*R68*I68*H68)/12500000))/3*1000,"")</f>
        <v/>
      </c>
    </row>
    <row r="69">
      <c r="B69" s="6" t="inlineStr">
        <is>
          <t xml:space="preserve">  ↳ CabalManticoreLaser</t>
        </is>
      </c>
      <c r="C69" s="6" t="inlineStr">
        <is>
          <t>Armament@PRIMARY</t>
        </is>
      </c>
      <c r="K69" s="5" t="n">
        <v>10000</v>
      </c>
      <c r="L69" s="5" t="n">
        <v>30</v>
      </c>
      <c r="M69" s="5" t="n">
        <v>2</v>
      </c>
      <c r="N69" s="5" t="n">
        <v>3</v>
      </c>
      <c r="O69" s="5" t="n">
        <v>5358</v>
      </c>
      <c r="P69" s="5" t="n">
        <v>1</v>
      </c>
      <c r="Q69">
        <f>L69+IF(M69&gt;1,N(N69)*(M69-1),0)</f>
        <v/>
      </c>
      <c r="R69">
        <f>IFERROR(K69*MAX(M69,1)/Q69*P69,0)</f>
        <v/>
      </c>
      <c r="AA69" s="6" t="inlineStr">
        <is>
          <t>^LaserWeapon</t>
        </is>
      </c>
    </row>
    <row r="70">
      <c r="B70" s="6" t="inlineStr">
        <is>
          <t xml:space="preserve">  ↳ CabalManticoreMissilesAA</t>
        </is>
      </c>
      <c r="C70" s="6" t="inlineStr">
        <is>
          <t>Armament@SECONDARY</t>
        </is>
      </c>
      <c r="K70" s="5" t="n">
        <v>12000</v>
      </c>
      <c r="L70" s="5" t="n">
        <v>30</v>
      </c>
      <c r="M70" s="5" t="n">
        <v>2</v>
      </c>
      <c r="N70" s="5" t="n">
        <v>3</v>
      </c>
      <c r="O70" s="5" t="n">
        <v>5358</v>
      </c>
      <c r="P70" s="5" t="n">
        <v>1</v>
      </c>
      <c r="Q70">
        <f>L70+IF(M70&gt;1,N(N70)*(M70-1),0)</f>
        <v/>
      </c>
      <c r="R70">
        <f>IFERROR(K70*MAX(M70,1)/Q70*P70,0)</f>
        <v/>
      </c>
      <c r="AA70" s="6" t="inlineStr">
        <is>
          <t>^CabalManticoreMissiles</t>
        </is>
      </c>
    </row>
    <row r="71">
      <c r="A71" t="inlineStr">
        <is>
          <t>tiberiansun</t>
        </is>
      </c>
      <c r="B71" t="inlineStr">
        <is>
          <t>cabal_mantis</t>
        </is>
      </c>
      <c r="C71" t="inlineStr">
        <is>
          <t>Mantis</t>
        </is>
      </c>
      <c r="D71" t="inlineStr"/>
      <c r="E71" s="5" t="n">
        <v>35000</v>
      </c>
      <c r="F71" s="5" t="n">
        <v>120</v>
      </c>
      <c r="G71" t="inlineStr">
        <is>
          <t>Scout</t>
        </is>
      </c>
      <c r="H71" s="5" t="n">
        <v>1</v>
      </c>
      <c r="I71" s="5" t="n">
        <v>1</v>
      </c>
      <c r="J71" s="5" t="n">
        <v>1</v>
      </c>
      <c r="O71">
        <f>MAX(O72)</f>
        <v/>
      </c>
      <c r="R71">
        <f>R72</f>
        <v/>
      </c>
      <c r="S71">
        <f>(E71/100000+F71/100+(O71/1000)*J71/5+R71/200)*200*I71*H71</f>
        <v/>
      </c>
      <c r="T71">
        <f>((E71*F71/25000)+((O71/1000)*J71*R71/2.5))*I71*H71</f>
        <v/>
      </c>
      <c r="U71">
        <f>(E71*F71*(O71/1000)*J71*R71*I71*H71)/12500000</f>
        <v/>
      </c>
      <c r="V71">
        <f>(S71+T71+U71)/3</f>
        <v/>
      </c>
      <c r="W71" s="5" t="n">
        <v>500</v>
      </c>
      <c r="X71">
        <f>IFERROR(V71-W71,"")</f>
        <v/>
      </c>
      <c r="Y71">
        <f>IFERROR(ABS(X71)/MAX(W71,1),"")</f>
        <v/>
      </c>
      <c r="Z71">
        <f>IFERROR((W71-(((E71/100000+F71/100+R71/200)*200*I71*H71)+((E71*F71/25000)*I71*H71))/3)/(((J71/5)*200*I71*H71)+((J71*R71/2.5)*I71*H71)+((E71*F71*J71*R71*I71*H71)/12500000))/3*1000,"")</f>
        <v/>
      </c>
    </row>
    <row r="72">
      <c r="B72" s="6" t="inlineStr">
        <is>
          <t xml:space="preserve">  ↳ CabalMantisGun</t>
        </is>
      </c>
      <c r="C72" s="6" t="inlineStr">
        <is>
          <t>Armament@PRIMARY</t>
        </is>
      </c>
      <c r="K72" s="5" t="n">
        <v>6000</v>
      </c>
      <c r="L72" s="5" t="n">
        <v>40</v>
      </c>
      <c r="M72" s="5" t="n">
        <v>1</v>
      </c>
      <c r="N72" s="5" t="n"/>
      <c r="O72" s="5" t="n">
        <v>7082</v>
      </c>
      <c r="P72" s="5" t="n">
        <v>1</v>
      </c>
      <c r="Q72">
        <f>L72+IF(M72&gt;1,N(N72)*(M72-1),0)</f>
        <v/>
      </c>
      <c r="R72">
        <f>IFERROR(K72*MAX(M72,1)/Q72*P72,0)</f>
        <v/>
      </c>
      <c r="AA72" s="6" t="inlineStr">
        <is>
          <t>^SmallArms, ^LaserWeapon</t>
        </is>
      </c>
    </row>
    <row r="73">
      <c r="A73" t="inlineStr">
        <is>
          <t>tiberiansun</t>
        </is>
      </c>
      <c r="B73" t="inlineStr">
        <is>
          <t>cabal_mobileconstructionvehicle</t>
        </is>
      </c>
      <c r="C73" t="inlineStr">
        <is>
          <t>CABAL Mobile Construction Vehicle</t>
        </is>
      </c>
      <c r="D73" t="inlineStr"/>
      <c r="E73" s="5" t="n">
        <v>300000</v>
      </c>
      <c r="F73" s="5" t="n">
        <v>75</v>
      </c>
      <c r="G73" t="inlineStr">
        <is>
          <t>Medium</t>
        </is>
      </c>
      <c r="H73" s="5" t="n">
        <v>1</v>
      </c>
      <c r="I73" s="5" t="n">
        <v>1</v>
      </c>
      <c r="J73" s="5" t="n">
        <v>1</v>
      </c>
      <c r="W73" s="5" t="n">
        <v>5000</v>
      </c>
    </row>
    <row r="74">
      <c r="A74" t="inlineStr">
        <is>
          <t>tiberiansun</t>
        </is>
      </c>
      <c r="B74" t="inlineStr">
        <is>
          <t>cabal_ravager</t>
        </is>
      </c>
      <c r="C74" t="inlineStr">
        <is>
          <t>Ravager</t>
        </is>
      </c>
      <c r="D74" t="inlineStr"/>
      <c r="E74" s="5" t="n">
        <v>70000</v>
      </c>
      <c r="F74" s="5" t="n">
        <v>130</v>
      </c>
      <c r="G74" t="inlineStr">
        <is>
          <t>Plate</t>
        </is>
      </c>
      <c r="H74" s="5" t="n">
        <v>1</v>
      </c>
      <c r="I74" s="5" t="n">
        <v>0.8</v>
      </c>
      <c r="J74" s="5" t="n">
        <v>1</v>
      </c>
      <c r="O74">
        <f>MAX(O75,O76)</f>
        <v/>
      </c>
      <c r="R74">
        <f>R75+R76</f>
        <v/>
      </c>
      <c r="S74">
        <f>(E74/100000+F74/100+(O74/1000)*J74/5+R74/200)*200*I74*H74</f>
        <v/>
      </c>
      <c r="T74">
        <f>((E74*F74/25000)+((O74/1000)*J74*R74/2.5))*I74*H74</f>
        <v/>
      </c>
      <c r="U74">
        <f>(E74*F74*(O74/1000)*J74*R74*I74*H74)/12500000</f>
        <v/>
      </c>
      <c r="V74">
        <f>(S74+T74+U74)/3</f>
        <v/>
      </c>
      <c r="W74" s="5" t="n">
        <v>1500</v>
      </c>
      <c r="X74">
        <f>IFERROR(V74-W74,"")</f>
        <v/>
      </c>
      <c r="Y74">
        <f>IFERROR(ABS(X74)/MAX(W74,1),"")</f>
        <v/>
      </c>
      <c r="Z74">
        <f>IFERROR((W74-(((E74/100000+F74/100+R74/200)*200*I74*H74)+((E74*F74/25000)*I74*H74))/3)/(((J74/5)*200*I74*H74)+((J74*R74/2.5)*I74*H74)+((E74*F74*J74*R74*I74*H74)/12500000))/3*1000,"")</f>
        <v/>
      </c>
    </row>
    <row r="75">
      <c r="B75" s="6" t="inlineStr">
        <is>
          <t xml:space="preserve">  ↳ CabalRavagerPlasma</t>
        </is>
      </c>
      <c r="C75" s="6" t="inlineStr">
        <is>
          <t>Armament@PRIMARY</t>
        </is>
      </c>
      <c r="K75" s="5" t="n">
        <v>32000</v>
      </c>
      <c r="L75" s="5" t="n">
        <v>30</v>
      </c>
      <c r="M75" s="5" t="n">
        <v>1</v>
      </c>
      <c r="N75" s="5" t="n"/>
      <c r="O75" s="5" t="n">
        <v>3000</v>
      </c>
      <c r="P75" s="5" t="n">
        <v>1</v>
      </c>
      <c r="Q75">
        <f>L75+IF(M75&gt;1,N(N75)*(M75-1),0)</f>
        <v/>
      </c>
      <c r="R75">
        <f>IFERROR(K75*MAX(M75,1)/Q75*P75,0)</f>
        <v/>
      </c>
      <c r="AA75" s="6" t="inlineStr">
        <is>
          <t>^MediumChemicalWeapon</t>
        </is>
      </c>
    </row>
    <row r="76">
      <c r="B76" s="6" t="inlineStr">
        <is>
          <t xml:space="preserve">  ↳ CabalRavagerPlasmaNeutron</t>
        </is>
      </c>
      <c r="C76" s="6" t="inlineStr">
        <is>
          <t>Armament@Upgraded</t>
        </is>
      </c>
      <c r="K76" s="5" t="n">
        <v>32000</v>
      </c>
      <c r="L76" s="5" t="n">
        <v>30</v>
      </c>
      <c r="M76" s="5" t="n">
        <v>1</v>
      </c>
      <c r="N76" s="5" t="n"/>
      <c r="O76" s="5" t="n">
        <v>3000</v>
      </c>
      <c r="P76" s="5" t="n">
        <v>1</v>
      </c>
      <c r="Q76">
        <f>L76+IF(M76&gt;1,N(N76)*(M76-1),0)</f>
        <v/>
      </c>
      <c r="R76">
        <f>IFERROR(K76*MAX(M76,1)/Q76*P76,0)</f>
        <v/>
      </c>
      <c r="AA76" s="6" t="inlineStr">
        <is>
          <t>^MediumChemicalWeapon</t>
        </is>
      </c>
    </row>
    <row r="77">
      <c r="A77" t="inlineStr">
        <is>
          <t>tiberiansun</t>
        </is>
      </c>
      <c r="B77" t="inlineStr">
        <is>
          <t>cabal_scarabapc</t>
        </is>
      </c>
      <c r="C77" t="inlineStr">
        <is>
          <t>Scarab APC</t>
        </is>
      </c>
      <c r="D77" t="inlineStr"/>
      <c r="E77" s="5" t="n">
        <v>30000</v>
      </c>
      <c r="F77" s="5" t="n">
        <v>75</v>
      </c>
      <c r="G77" t="inlineStr">
        <is>
          <t>Heavy</t>
        </is>
      </c>
      <c r="H77" s="5" t="n">
        <v>1</v>
      </c>
      <c r="I77" s="5" t="n">
        <v>1</v>
      </c>
      <c r="J77" s="5" t="n">
        <v>1</v>
      </c>
      <c r="W77" s="5" t="n">
        <v>4775</v>
      </c>
    </row>
    <row r="78">
      <c r="A78" t="inlineStr">
        <is>
          <t>tiberiansun</t>
        </is>
      </c>
      <c r="B78" t="inlineStr">
        <is>
          <t>cabal_spidercnc4</t>
        </is>
      </c>
      <c r="C78" t="inlineStr">
        <is>
          <t>Spider CNC4</t>
        </is>
      </c>
      <c r="D78" t="inlineStr"/>
      <c r="E78" s="5" t="n">
        <v>40000</v>
      </c>
      <c r="F78" s="5" t="n">
        <v>70</v>
      </c>
      <c r="G78" t="inlineStr">
        <is>
          <t>Light</t>
        </is>
      </c>
      <c r="H78" s="5" t="n">
        <v>1</v>
      </c>
      <c r="I78" s="5" t="n">
        <v>1</v>
      </c>
      <c r="J78" s="5" t="n">
        <v>1</v>
      </c>
      <c r="O78">
        <f>MAX(O79)</f>
        <v/>
      </c>
      <c r="R78">
        <f>R79</f>
        <v/>
      </c>
      <c r="S78">
        <f>(E78/100000+F78/100+(O78/1000)*J78/5+R78/200)*200*I78*H78</f>
        <v/>
      </c>
      <c r="T78">
        <f>((E78*F78/25000)+((O78/1000)*J78*R78/2.5))*I78*H78</f>
        <v/>
      </c>
      <c r="U78">
        <f>(E78*F78*(O78/1000)*J78*R78*I78*H78)/12500000</f>
        <v/>
      </c>
      <c r="V78">
        <f>(S78+T78+U78)/3</f>
        <v/>
      </c>
      <c r="W78" s="5" t="n">
        <v>1500</v>
      </c>
      <c r="X78">
        <f>IFERROR(V78-W78,"")</f>
        <v/>
      </c>
      <c r="Y78">
        <f>IFERROR(ABS(X78)/MAX(W78,1),"")</f>
        <v/>
      </c>
      <c r="Z78">
        <f>IFERROR((W78-(((E78/100000+F78/100+R78/200)*200*I78*H78)+((E78*F78/25000)*I78*H78))/3)/(((J78/5)*200*I78*H78)+((J78*R78/2.5)*I78*H78)+((E78*F78*J78*R78*I78*H78)/12500000))/3*1000,"")</f>
        <v/>
      </c>
    </row>
    <row r="79">
      <c r="B79" s="6" t="inlineStr">
        <is>
          <t xml:space="preserve">  ↳ CabalSpiderCnc4Laser</t>
        </is>
      </c>
      <c r="C79" s="6" t="inlineStr">
        <is>
          <t>Armament@PRIMARY</t>
        </is>
      </c>
      <c r="K79" s="5" t="n">
        <v>44000</v>
      </c>
      <c r="L79" s="5" t="n">
        <v>80</v>
      </c>
      <c r="M79" s="5" t="n">
        <v>1</v>
      </c>
      <c r="N79" s="5" t="n"/>
      <c r="O79" s="5" t="n">
        <v>7000</v>
      </c>
      <c r="P79" s="5" t="n">
        <v>1</v>
      </c>
      <c r="Q79">
        <f>L79+IF(M79&gt;1,N(N79)*(M79-1),0)</f>
        <v/>
      </c>
      <c r="R79">
        <f>IFERROR(K79*MAX(M79,1)/Q79*P79,0)</f>
        <v/>
      </c>
      <c r="AA79" s="6" t="inlineStr">
        <is>
          <t>^LaserWeapon</t>
        </is>
      </c>
    </row>
    <row r="80">
      <c r="A80" t="inlineStr">
        <is>
          <t>tiberiansun</t>
        </is>
      </c>
      <c r="B80" t="inlineStr">
        <is>
          <t>cabal_tarantula</t>
        </is>
      </c>
      <c r="C80" t="inlineStr">
        <is>
          <t>Tarantula</t>
        </is>
      </c>
      <c r="D80" t="inlineStr"/>
      <c r="E80" s="5" t="n">
        <v>110000</v>
      </c>
      <c r="F80" s="5" t="n">
        <v>70</v>
      </c>
      <c r="G80" t="inlineStr">
        <is>
          <t>Heavy</t>
        </is>
      </c>
      <c r="H80" s="5" t="n">
        <v>1</v>
      </c>
      <c r="I80" s="5" t="n">
        <v>1</v>
      </c>
      <c r="J80" s="5" t="n">
        <v>1</v>
      </c>
      <c r="O80">
        <f>MAX(O81,O82)</f>
        <v/>
      </c>
      <c r="R80">
        <f>R81+R82</f>
        <v/>
      </c>
      <c r="S80">
        <f>(E80/100000+F80/100+(O80/1000)*J80/5+R80/200)*200*I80*H80</f>
        <v/>
      </c>
      <c r="T80">
        <f>((E80*F80/25000)+((O80/1000)*J80*R80/2.5))*I80*H80</f>
        <v/>
      </c>
      <c r="U80">
        <f>(E80*F80*(O80/1000)*J80*R80*I80*H80)/12500000</f>
        <v/>
      </c>
      <c r="V80">
        <f>(S80+T80+U80)/3</f>
        <v/>
      </c>
      <c r="W80" s="5" t="n">
        <v>1000</v>
      </c>
      <c r="X80">
        <f>IFERROR(V80-W80,"")</f>
        <v/>
      </c>
      <c r="Y80">
        <f>IFERROR(ABS(X80)/MAX(W80,1),"")</f>
        <v/>
      </c>
      <c r="Z80">
        <f>IFERROR((W80-(((E80/100000+F80/100+R80/200)*200*I80*H80)+((E80*F80/25000)*I80*H80))/3)/(((J80/5)*200*I80*H80)+((J80*R80/2.5)*I80*H80)+((E80*F80*J80*R80*I80*H80)/12500000))/3*1000,"")</f>
        <v/>
      </c>
    </row>
    <row r="81">
      <c r="B81" s="6" t="inlineStr">
        <is>
          <t xml:space="preserve">  ↳ CabalTarantulaCannon</t>
        </is>
      </c>
      <c r="C81" s="6" t="inlineStr">
        <is>
          <t>Armament@PRIMARY</t>
        </is>
      </c>
      <c r="K81" s="5" t="n">
        <v>16000</v>
      </c>
      <c r="L81" s="5" t="n">
        <v>48</v>
      </c>
      <c r="M81" s="5" t="n">
        <v>1</v>
      </c>
      <c r="N81" s="5" t="n"/>
      <c r="O81" s="5" t="n">
        <v>5278</v>
      </c>
      <c r="P81" s="5" t="n">
        <v>1</v>
      </c>
      <c r="Q81">
        <f>L81+IF(M81&gt;1,N(N81)*(M81-1),0)</f>
        <v/>
      </c>
      <c r="R81">
        <f>IFERROR(K81*MAX(M81,1)/Q81*P81,0)</f>
        <v/>
      </c>
      <c r="AA81" s="6" t="inlineStr">
        <is>
          <t>^MediumCannon</t>
        </is>
      </c>
    </row>
    <row r="82">
      <c r="B82" s="6" t="inlineStr">
        <is>
          <t xml:space="preserve">  ↳ TS120mm_bluenuke</t>
        </is>
      </c>
      <c r="C82" s="6" t="inlineStr">
        <is>
          <t>Armament@Upgraded</t>
        </is>
      </c>
      <c r="K82" s="5" t="n">
        <v>24000</v>
      </c>
      <c r="L82" s="5" t="n">
        <v>44</v>
      </c>
      <c r="M82" s="5" t="n">
        <v>1</v>
      </c>
      <c r="N82" s="5" t="n"/>
      <c r="O82" s="5" t="n">
        <v>6201</v>
      </c>
      <c r="P82" s="5" t="n">
        <v>1</v>
      </c>
      <c r="Q82">
        <f>L82+IF(M82&gt;1,N(N82)*(M82-1),0)</f>
        <v/>
      </c>
      <c r="R82">
        <f>IFERROR(K82*MAX(M82,1)/Q82*P82,0)</f>
        <v/>
      </c>
      <c r="AA82" s="6" t="inlineStr">
        <is>
          <t>^TSCannonEffect, ^MediumCannon</t>
        </is>
      </c>
    </row>
    <row r="83">
      <c r="A83" t="inlineStr">
        <is>
          <t>tiberiansun</t>
        </is>
      </c>
      <c r="B83" t="inlineStr">
        <is>
          <t>cabal_tiberiumharvester</t>
        </is>
      </c>
      <c r="C83" t="inlineStr">
        <is>
          <t>Tiberium Harvester</t>
        </is>
      </c>
      <c r="D83" t="inlineStr"/>
      <c r="E83" s="5" t="n">
        <v>150000</v>
      </c>
      <c r="F83" s="5" t="n">
        <v>60</v>
      </c>
      <c r="G83" t="inlineStr">
        <is>
          <t>Heavy</t>
        </is>
      </c>
      <c r="H83" s="5" t="n">
        <v>1</v>
      </c>
      <c r="I83" s="5" t="n">
        <v>1</v>
      </c>
      <c r="J83" s="5" t="n">
        <v>1</v>
      </c>
      <c r="W83" s="5" t="n">
        <v>1000</v>
      </c>
    </row>
    <row r="84">
      <c r="A84" t="inlineStr">
        <is>
          <t>tiberiansun</t>
        </is>
      </c>
      <c r="B84" t="inlineStr">
        <is>
          <t>cabal_widow</t>
        </is>
      </c>
      <c r="C84" t="inlineStr">
        <is>
          <t>Widow</t>
        </is>
      </c>
      <c r="D84" t="inlineStr"/>
      <c r="E84" s="5" t="n">
        <v>120000</v>
      </c>
      <c r="F84" s="5" t="n">
        <v>60</v>
      </c>
      <c r="G84" t="inlineStr">
        <is>
          <t>Medium</t>
        </is>
      </c>
      <c r="H84" s="5" t="n">
        <v>1</v>
      </c>
      <c r="I84" s="5" t="n">
        <v>1</v>
      </c>
      <c r="J84" s="5" t="n">
        <v>1</v>
      </c>
      <c r="O84">
        <f>MAX(O85)</f>
        <v/>
      </c>
      <c r="R84">
        <f>R85</f>
        <v/>
      </c>
      <c r="S84">
        <f>(E84/100000+F84/100+(O84/1000)*J84/5+R84/200)*200*I84*H84</f>
        <v/>
      </c>
      <c r="T84">
        <f>((E84*F84/25000)+((O84/1000)*J84*R84/2.5))*I84*H84</f>
        <v/>
      </c>
      <c r="U84">
        <f>(E84*F84*(O84/1000)*J84*R84*I84*H84)/12500000</f>
        <v/>
      </c>
      <c r="V84">
        <f>(S84+T84+U84)/3</f>
        <v/>
      </c>
      <c r="W84" s="5" t="n">
        <v>3500</v>
      </c>
      <c r="X84">
        <f>IFERROR(V84-W84,"")</f>
        <v/>
      </c>
      <c r="Y84">
        <f>IFERROR(ABS(X84)/MAX(W84,1),"")</f>
        <v/>
      </c>
      <c r="Z84">
        <f>IFERROR((W84-(((E84/100000+F84/100+R84/200)*200*I84*H84)+((E84*F84/25000)*I84*H84))/3)/(((J84/5)*200*I84*H84)+((J84*R84/2.5)*I84*H84)+((E84*F84*J84*R84*I84*H84)/12500000))/3*1000,"")</f>
        <v/>
      </c>
    </row>
    <row r="85">
      <c r="B85" s="6" t="inlineStr">
        <is>
          <t xml:space="preserve">  ↳ CabalLegionGun</t>
        </is>
      </c>
      <c r="C85" s="6" t="inlineStr">
        <is>
          <t>Armament@PRIMARY</t>
        </is>
      </c>
      <c r="K85" s="5" t="n">
        <v>60000</v>
      </c>
      <c r="L85" s="5" t="n">
        <v>40</v>
      </c>
      <c r="M85" s="5" t="n">
        <v>1</v>
      </c>
      <c r="N85" s="5" t="n"/>
      <c r="O85" s="5" t="n">
        <v>6813</v>
      </c>
      <c r="P85" s="5" t="n">
        <v>1</v>
      </c>
      <c r="Q85">
        <f>L85+IF(M85&gt;1,N(N85)*(M85-1),0)</f>
        <v/>
      </c>
      <c r="R85">
        <f>IFERROR(K85*MAX(M85,1)/Q85*P85,0)</f>
        <v/>
      </c>
      <c r="AA85" s="6" t="inlineStr">
        <is>
          <t>^SmallArms, ^LaserWeapon</t>
        </is>
      </c>
    </row>
    <row r="86">
      <c r="A86" s="3" t="inlineStr">
        <is>
          <t>AIRCRAFT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>
      <c r="A87" t="inlineStr">
        <is>
          <t>tiberiansun</t>
        </is>
      </c>
      <c r="B87" t="inlineStr">
        <is>
          <t>cabal_cyborg_assassin</t>
        </is>
      </c>
      <c r="C87" t="inlineStr">
        <is>
          <t>Cyborg Assassin</t>
        </is>
      </c>
      <c r="D87" t="inlineStr"/>
      <c r="E87" s="5" t="n">
        <v>30000</v>
      </c>
      <c r="F87" s="5" t="n">
        <v>180</v>
      </c>
      <c r="G87" t="inlineStr">
        <is>
          <t>Scout</t>
        </is>
      </c>
      <c r="H87" s="5" t="n">
        <v>1</v>
      </c>
      <c r="I87" s="5" t="n">
        <v>1</v>
      </c>
      <c r="J87" s="5" t="n">
        <v>1</v>
      </c>
      <c r="O87">
        <f>MAX(O88)</f>
        <v/>
      </c>
      <c r="R87">
        <f>R88</f>
        <v/>
      </c>
      <c r="S87">
        <f>(E87/100000+F87/100+(O87/1000)*J87/5+R87/200)*200*I87*H87</f>
        <v/>
      </c>
      <c r="T87">
        <f>((E87*F87/25000)+((O87/1000)*J87*R87/2.5))*I87*H87</f>
        <v/>
      </c>
      <c r="U87">
        <f>(E87*F87*(O87/1000)*J87*R87*I87*H87)/12500000</f>
        <v/>
      </c>
      <c r="V87">
        <f>(S87+T87+U87)/3</f>
        <v/>
      </c>
      <c r="W87" s="5" t="n">
        <v>1000</v>
      </c>
      <c r="X87">
        <f>IFERROR(V87-W87,"")</f>
        <v/>
      </c>
      <c r="Y87">
        <f>IFERROR(ABS(X87)/MAX(W87,1),"")</f>
        <v/>
      </c>
      <c r="Z87">
        <f>IFERROR((W87-(((E87/100000+F87/100+R87/200)*200*I87*H87)+((E87*F87/25000)*I87*H87))/3)/(((J87/5)*200*I87*H87)+((J87*R87/2.5)*I87*H87)+((E87*F87*J87*R87*I87*H87)/12500000))/3*1000,"")</f>
        <v/>
      </c>
    </row>
    <row r="88">
      <c r="B88" s="6" t="inlineStr">
        <is>
          <t xml:space="preserve">  ↳ CabalWaspLaserStriker</t>
        </is>
      </c>
      <c r="C88" s="6" t="inlineStr">
        <is>
          <t>Armament@PRIMARY</t>
        </is>
      </c>
      <c r="K88" s="5" t="n">
        <v>4000</v>
      </c>
      <c r="L88" s="5" t="n">
        <v>18</v>
      </c>
      <c r="M88" s="5" t="n">
        <v>2</v>
      </c>
      <c r="N88" s="5" t="n">
        <v>3</v>
      </c>
      <c r="O88" s="5" t="n">
        <v>6309</v>
      </c>
      <c r="P88" s="5" t="n">
        <v>1</v>
      </c>
      <c r="Q88">
        <f>L88+IF(M88&gt;1,N(N88)*(M88-1),0)</f>
        <v/>
      </c>
      <c r="R88">
        <f>IFERROR(K88*MAX(M88,1)/Q88*P88,0)</f>
        <v/>
      </c>
      <c r="AA88" s="6" t="inlineStr">
        <is>
          <t>^LaserWeapon</t>
        </is>
      </c>
    </row>
    <row r="89">
      <c r="A89" t="inlineStr">
        <is>
          <t>tiberiansun</t>
        </is>
      </c>
      <c r="B89" t="inlineStr">
        <is>
          <t>cabal_hunter_drone</t>
        </is>
      </c>
      <c r="C89" t="inlineStr">
        <is>
          <t>Hunter Drone</t>
        </is>
      </c>
      <c r="D89" t="inlineStr"/>
      <c r="E89" s="5" t="n">
        <v>15000</v>
      </c>
      <c r="F89" s="5" t="n">
        <v>180</v>
      </c>
      <c r="G89" t="inlineStr">
        <is>
          <t>Bomber</t>
        </is>
      </c>
      <c r="H89" s="5" t="n">
        <v>0.75</v>
      </c>
      <c r="I89" s="5" t="n">
        <v>1</v>
      </c>
      <c r="J89" s="5" t="n">
        <v>1</v>
      </c>
      <c r="O89">
        <f>MAX(O90)</f>
        <v/>
      </c>
      <c r="R89">
        <f>R90</f>
        <v/>
      </c>
      <c r="S89">
        <f>(E89/100000+F89/100+(O89/1000)*J89/5+R89/200)*200*I89*H89</f>
        <v/>
      </c>
      <c r="T89">
        <f>((E89*F89/25000)+((O89/1000)*J89*R89/2.5))*I89*H89</f>
        <v/>
      </c>
      <c r="U89">
        <f>(E89*F89*(O89/1000)*J89*R89*I89*H89)/12500000</f>
        <v/>
      </c>
      <c r="V89">
        <f>(S89+T89+U89)/3</f>
        <v/>
      </c>
      <c r="W89" s="5" t="n">
        <v>500</v>
      </c>
      <c r="X89">
        <f>IFERROR(V89-W89,"")</f>
        <v/>
      </c>
      <c r="Y89">
        <f>IFERROR(ABS(X89)/MAX(W89,1),"")</f>
        <v/>
      </c>
      <c r="Z89">
        <f>IFERROR((W89-(((E89/100000+F89/100+R89/200)*200*I89*H89)+((E89*F89/25000)*I89*H89))/3)/(((J89/5)*200*I89*H89)+((J89*R89/2.5)*I89*H89)+((E89*F89*J89*R89*I89*H89)/12500000))/3*1000,"")</f>
        <v/>
      </c>
    </row>
    <row r="90">
      <c r="B90" s="6" t="inlineStr">
        <is>
          <t xml:space="preserve">  ↳ CabalOverkillDroneLaser</t>
        </is>
      </c>
      <c r="C90" s="6" t="inlineStr">
        <is>
          <t>Armament@PRIMARY</t>
        </is>
      </c>
      <c r="K90" s="5" t="n">
        <v>4000</v>
      </c>
      <c r="L90" s="5" t="n">
        <v>30</v>
      </c>
      <c r="M90" s="5" t="n">
        <v>1</v>
      </c>
      <c r="N90" s="5" t="n"/>
      <c r="O90" s="5" t="n">
        <v>4096</v>
      </c>
      <c r="P90" s="5" t="n">
        <v>1</v>
      </c>
      <c r="Q90">
        <f>L90+IF(M90&gt;1,N(N90)*(M90-1),0)</f>
        <v/>
      </c>
      <c r="R90">
        <f>IFERROR(K90*MAX(M90,1)/Q90*P90,0)</f>
        <v/>
      </c>
      <c r="AA90" s="6" t="inlineStr">
        <is>
          <t>^SmallArms, ^LaserWeapon</t>
        </is>
      </c>
    </row>
    <row r="91">
      <c r="A91" t="inlineStr">
        <is>
          <t>tiberiansun</t>
        </is>
      </c>
      <c r="B91" t="inlineStr">
        <is>
          <t>cabal_hunter_drone_carrier</t>
        </is>
      </c>
      <c r="C91" t="inlineStr">
        <is>
          <t>Hunter Drone Carrier</t>
        </is>
      </c>
      <c r="D91" t="inlineStr"/>
      <c r="E91" s="5" t="n">
        <v>300000</v>
      </c>
      <c r="F91" s="5" t="n">
        <v>50</v>
      </c>
      <c r="G91" t="inlineStr">
        <is>
          <t>Spaceship</t>
        </is>
      </c>
      <c r="H91" s="5" t="n">
        <v>0.75</v>
      </c>
      <c r="I91" s="5" t="n">
        <v>0.5</v>
      </c>
      <c r="J91" s="5" t="n">
        <v>1</v>
      </c>
      <c r="O91">
        <f>MAX(O92,O93,O94)</f>
        <v/>
      </c>
      <c r="R91">
        <f>R92+R93+R94</f>
        <v/>
      </c>
      <c r="S91">
        <f>(E91/100000+F91/100+(O91/1000)*J91/5+R91/200)*200*I91*H91</f>
        <v/>
      </c>
      <c r="T91">
        <f>((E91*F91/25000)+((O91/1000)*J91*R91/2.5))*I91*H91</f>
        <v/>
      </c>
      <c r="U91">
        <f>(E91*F91*(O91/1000)*J91*R91*I91*H91)/12500000</f>
        <v/>
      </c>
      <c r="V91">
        <f>(S91+T91+U91)/3</f>
        <v/>
      </c>
      <c r="W91" s="5" t="n">
        <v>4000</v>
      </c>
      <c r="X91">
        <f>IFERROR(V91-W91,"")</f>
        <v/>
      </c>
      <c r="Y91">
        <f>IFERROR(ABS(X91)/MAX(W91,1),"")</f>
        <v/>
      </c>
      <c r="Z91">
        <f>IFERROR((W91-(((E91/100000+F91/100+R91/200)*200*I91*H91)+((E91*F91/25000)*I91*H91))/3)/(((J91/5)*200*I91*H91)+((J91*R91/2.5)*I91*H91)+((E91*F91*J91*R91*I91*H91)/12500000))/3*1000,"")</f>
        <v/>
      </c>
    </row>
    <row r="92">
      <c r="B92" s="6" t="inlineStr">
        <is>
          <t xml:space="preserve">  ↳ CabalOverkillDroneLauncher</t>
        </is>
      </c>
      <c r="C92" s="6" t="inlineStr">
        <is>
          <t>Armament@drones</t>
        </is>
      </c>
      <c r="K92" s="5" t="n"/>
      <c r="L92" s="5" t="n">
        <v>25</v>
      </c>
      <c r="M92" s="5" t="n">
        <v>1</v>
      </c>
      <c r="N92" s="5" t="n"/>
      <c r="O92" s="5" t="n">
        <v>6400</v>
      </c>
      <c r="P92" s="5" t="n">
        <v>1</v>
      </c>
      <c r="Q92">
        <f>L92+IF(M92&gt;1,N(N92)*(M92-1),0)</f>
        <v/>
      </c>
      <c r="R92">
        <f>IFERROR(K92*MAX(M92,1)/Q92*P92,0)</f>
        <v/>
      </c>
      <c r="AA92" s="6" t="inlineStr"/>
    </row>
    <row r="93">
      <c r="B93" s="6" t="inlineStr">
        <is>
          <t xml:space="preserve">  ↳ CabalOverkillCharge</t>
        </is>
      </c>
      <c r="C93" s="6" t="inlineStr">
        <is>
          <t>Armament@charge</t>
        </is>
      </c>
      <c r="K93" s="5" t="n">
        <v>24000</v>
      </c>
      <c r="L93" s="5" t="n">
        <v>125</v>
      </c>
      <c r="M93" s="5" t="n">
        <v>1</v>
      </c>
      <c r="N93" s="5" t="n"/>
      <c r="O93" s="5" t="n">
        <v>6400</v>
      </c>
      <c r="P93" s="5" t="n">
        <v>1</v>
      </c>
      <c r="Q93">
        <f>L93+IF(M93&gt;1,N(N93)*(M93-1),0)</f>
        <v/>
      </c>
      <c r="R93">
        <f>IFERROR(K93*MAX(M93,1)/Q93*P93,0)</f>
        <v/>
      </c>
      <c r="AA93" s="6" t="inlineStr">
        <is>
          <t>^TeslaWeapon</t>
        </is>
      </c>
    </row>
    <row r="94">
      <c r="B94" s="6" t="inlineStr">
        <is>
          <t xml:space="preserve">  ↳ CabalOverkillLaser</t>
        </is>
      </c>
      <c r="C94" s="6" t="inlineStr">
        <is>
          <t>Armament</t>
        </is>
      </c>
      <c r="K94" s="5" t="n">
        <v>2000</v>
      </c>
      <c r="L94" s="5" t="n">
        <v>50</v>
      </c>
      <c r="M94" s="5" t="n">
        <v>50</v>
      </c>
      <c r="N94" s="5" t="n">
        <v>1</v>
      </c>
      <c r="O94" s="5" t="n">
        <v>6400</v>
      </c>
      <c r="P94" s="5" t="n">
        <v>1</v>
      </c>
      <c r="Q94">
        <f>L94+IF(M94&gt;1,N(N94)*(M94-1),0)</f>
        <v/>
      </c>
      <c r="R94">
        <f>IFERROR(K94*MAX(M94,1)/Q94*P94,0)</f>
        <v/>
      </c>
      <c r="AA94" s="6" t="inlineStr">
        <is>
          <t>^LaserWeapon</t>
        </is>
      </c>
    </row>
    <row r="95">
      <c r="A95" t="inlineStr">
        <is>
          <t>tiberiansun</t>
        </is>
      </c>
      <c r="B95" t="inlineStr">
        <is>
          <t>cabal_hunterkillermk1</t>
        </is>
      </c>
      <c r="C95" t="inlineStr">
        <is>
          <t>Hunter Killer</t>
        </is>
      </c>
      <c r="D95" t="inlineStr"/>
      <c r="E95" s="5" t="n">
        <v>35000</v>
      </c>
      <c r="F95" s="5" t="n">
        <v>160</v>
      </c>
      <c r="G95" t="inlineStr">
        <is>
          <t>Helicopter</t>
        </is>
      </c>
      <c r="H95" s="5" t="n">
        <v>1</v>
      </c>
      <c r="I95" s="5" t="n">
        <v>1</v>
      </c>
      <c r="J95" s="5" t="n">
        <v>1</v>
      </c>
      <c r="O95">
        <f>MAX(O96,O97)</f>
        <v/>
      </c>
      <c r="R95">
        <f>R96+R97</f>
        <v/>
      </c>
      <c r="S95">
        <f>(E95/100000+F95/100+(O95/1000)*J95/5+R95/200)*200*I95*H95</f>
        <v/>
      </c>
      <c r="T95">
        <f>((E95*F95/25000)+((O95/1000)*J95*R95/2.5))*I95*H95</f>
        <v/>
      </c>
      <c r="U95">
        <f>(E95*F95*(O95/1000)*J95*R95*I95*H95)/12500000</f>
        <v/>
      </c>
      <c r="V95">
        <f>(S95+T95+U95)/3</f>
        <v/>
      </c>
      <c r="W95" s="5" t="n">
        <v>1500</v>
      </c>
      <c r="X95">
        <f>IFERROR(V95-W95,"")</f>
        <v/>
      </c>
      <c r="Y95">
        <f>IFERROR(ABS(X95)/MAX(W95,1),"")</f>
        <v/>
      </c>
      <c r="Z95">
        <f>IFERROR((W95-(((E95/100000+F95/100+R95/200)*200*I95*H95)+((E95*F95/25000)*I95*H95))/3)/(((J95/5)*200*I95*H95)+((J95*R95/2.5)*I95*H95)+((E95*F95*J95*R95*I95*H95)/12500000))/3*1000,"")</f>
        <v/>
      </c>
    </row>
    <row r="96">
      <c r="B96" s="6" t="inlineStr">
        <is>
          <t xml:space="preserve">  ↳ CabalHunterKillerLasers</t>
        </is>
      </c>
      <c r="C96" s="6" t="inlineStr">
        <is>
          <t>Armament@PRIMARY</t>
        </is>
      </c>
      <c r="K96" s="5" t="n">
        <v>8000</v>
      </c>
      <c r="L96" s="5" t="n">
        <v>24</v>
      </c>
      <c r="M96" s="5" t="n">
        <v>1</v>
      </c>
      <c r="N96" s="5" t="n"/>
      <c r="O96" s="5" t="n">
        <v>5318</v>
      </c>
      <c r="P96" s="5" t="n">
        <v>1</v>
      </c>
      <c r="Q96">
        <f>L96+IF(M96&gt;1,N(N96)*(M96-1),0)</f>
        <v/>
      </c>
      <c r="R96">
        <f>IFERROR(K96*MAX(M96,1)/Q96*P96,0)</f>
        <v/>
      </c>
      <c r="AA96" s="6" t="inlineStr">
        <is>
          <t>^LaserWeapon, ^MediumMissile</t>
        </is>
      </c>
    </row>
    <row r="97">
      <c r="B97" s="6" t="inlineStr">
        <is>
          <t xml:space="preserve">  ↳ TSHellfireTwin</t>
        </is>
      </c>
      <c r="C97" s="6" t="inlineStr">
        <is>
          <t>Armament@ROCKETS</t>
        </is>
      </c>
      <c r="K97" s="5" t="n">
        <v>4000</v>
      </c>
      <c r="L97" s="5" t="n">
        <v>32</v>
      </c>
      <c r="M97" s="5" t="n">
        <v>2</v>
      </c>
      <c r="N97" s="5" t="n">
        <v>8</v>
      </c>
      <c r="O97" s="5" t="n">
        <v>5740</v>
      </c>
      <c r="P97" s="5" t="n">
        <v>1</v>
      </c>
      <c r="Q97">
        <f>L97+IF(M97&gt;1,N(N97)*(M97-1),0)</f>
        <v/>
      </c>
      <c r="R97">
        <f>IFERROR(K97*MAX(M97,1)/Q97*P97,0)</f>
        <v/>
      </c>
      <c r="AA97" s="6" t="inlineStr">
        <is>
          <t>^HeavyCannon, ^TankDestroyerCannon, ^ShrapnelWeapon, ^Grenade, ^HeavyMissile, ^MediumMissile</t>
        </is>
      </c>
    </row>
    <row r="98">
      <c r="A98" t="inlineStr">
        <is>
          <t>tiberiansun</t>
        </is>
      </c>
      <c r="B98" t="inlineStr">
        <is>
          <t>cabal_hunterkillermk1_elite</t>
        </is>
      </c>
      <c r="C98" t="inlineStr">
        <is>
          <t>Super Hunter Killer</t>
        </is>
      </c>
      <c r="D98" t="inlineStr"/>
      <c r="E98" s="5" t="n">
        <v>40000</v>
      </c>
      <c r="F98" s="5" t="n">
        <v>170</v>
      </c>
      <c r="G98" t="inlineStr">
        <is>
          <t>Helicopter</t>
        </is>
      </c>
      <c r="H98" s="5" t="n">
        <v>1</v>
      </c>
      <c r="I98" s="5" t="n">
        <v>1</v>
      </c>
      <c r="J98" s="5" t="n">
        <v>1</v>
      </c>
      <c r="O98">
        <f>MAX(O99,O100)</f>
        <v/>
      </c>
      <c r="R98">
        <f>R99+R100</f>
        <v/>
      </c>
      <c r="S98">
        <f>(E98/100000+F98/100+(O98/1000)*J98/5+R98/200)*200*I98*H98</f>
        <v/>
      </c>
      <c r="T98">
        <f>((E98*F98/25000)+((O98/1000)*J98*R98/2.5))*I98*H98</f>
        <v/>
      </c>
      <c r="U98">
        <f>(E98*F98*(O98/1000)*J98*R98*I98*H98)/12500000</f>
        <v/>
      </c>
      <c r="V98">
        <f>(S98+T98+U98)/3</f>
        <v/>
      </c>
      <c r="W98" s="5" t="n">
        <v>3000</v>
      </c>
      <c r="X98">
        <f>IFERROR(V98-W98,"")</f>
        <v/>
      </c>
      <c r="Y98">
        <f>IFERROR(ABS(X98)/MAX(W98,1),"")</f>
        <v/>
      </c>
      <c r="Z98">
        <f>IFERROR((W98-(((E98/100000+F98/100+R98/200)*200*I98*H98)+((E98*F98/25000)*I98*H98))/3)/(((J98/5)*200*I98*H98)+((J98*R98/2.5)*I98*H98)+((E98*F98*J98*R98*I98*H98)/12500000))/3*1000,"")</f>
        <v/>
      </c>
    </row>
    <row r="99">
      <c r="B99" s="6" t="inlineStr">
        <is>
          <t xml:space="preserve">  ↳ CabalHunterKillerLasersE</t>
        </is>
      </c>
      <c r="C99" s="6" t="inlineStr">
        <is>
          <t>Armament@PRIMARY</t>
        </is>
      </c>
      <c r="K99" s="5" t="n">
        <v>10000</v>
      </c>
      <c r="L99" s="5" t="n">
        <v>20</v>
      </c>
      <c r="M99" s="5" t="n">
        <v>1</v>
      </c>
      <c r="N99" s="5" t="n"/>
      <c r="O99" s="5" t="n">
        <v>6000</v>
      </c>
      <c r="P99" s="5" t="n">
        <v>1</v>
      </c>
      <c r="Q99">
        <f>L99+IF(M99&gt;1,N(N99)*(M99-1),0)</f>
        <v/>
      </c>
      <c r="R99">
        <f>IFERROR(K99*MAX(M99,1)/Q99*P99,0)</f>
        <v/>
      </c>
      <c r="AA99" s="6" t="inlineStr">
        <is>
          <t>^LaserWeapon, ^RailgunWeapon, ^HeavyMissile</t>
        </is>
      </c>
    </row>
    <row r="100">
      <c r="B100" s="6" t="inlineStr">
        <is>
          <t xml:space="preserve">  ↳ TSHellfireTwin</t>
        </is>
      </c>
      <c r="C100" s="6" t="inlineStr">
        <is>
          <t>Armament@ROCKETS</t>
        </is>
      </c>
      <c r="K100" s="5" t="n">
        <v>4000</v>
      </c>
      <c r="L100" s="5" t="n">
        <v>32</v>
      </c>
      <c r="M100" s="5" t="n">
        <v>2</v>
      </c>
      <c r="N100" s="5" t="n">
        <v>8</v>
      </c>
      <c r="O100" s="5" t="n">
        <v>5740</v>
      </c>
      <c r="P100" s="5" t="n">
        <v>1</v>
      </c>
      <c r="Q100">
        <f>L100+IF(M100&gt;1,N(N100)*(M100-1),0)</f>
        <v/>
      </c>
      <c r="R100">
        <f>IFERROR(K100*MAX(M100,1)/Q100*P100,0)</f>
        <v/>
      </c>
      <c r="AA100" s="6" t="inlineStr">
        <is>
          <t>^HeavyCannon, ^TankDestroyerCannon, ^ShrapnelWeapon, ^Grenade, ^HeavyMissile, ^MediumMissile</t>
        </is>
      </c>
    </row>
    <row r="101">
      <c r="A101" t="inlineStr">
        <is>
          <t>tiberiansun</t>
        </is>
      </c>
      <c r="B101" t="inlineStr">
        <is>
          <t>cabal_mothership</t>
        </is>
      </c>
      <c r="C101" t="inlineStr">
        <is>
          <t>Mothership</t>
        </is>
      </c>
      <c r="D101" t="inlineStr"/>
      <c r="E101" s="5" t="n">
        <v>500000</v>
      </c>
      <c r="F101" s="5" t="n">
        <v>50</v>
      </c>
      <c r="G101" t="inlineStr">
        <is>
          <t>Spaceship</t>
        </is>
      </c>
      <c r="H101" s="5" t="n">
        <v>1</v>
      </c>
      <c r="I101" s="5" t="n">
        <v>0.3</v>
      </c>
      <c r="J101" s="5" t="n">
        <v>1</v>
      </c>
      <c r="O101">
        <f>MAX(O102,O103)</f>
        <v/>
      </c>
      <c r="R101">
        <f>R102+R103</f>
        <v/>
      </c>
      <c r="S101">
        <f>(E101/100000+F101/100+(O101/1000)*J101/5+R101/200)*200*I101*H101</f>
        <v/>
      </c>
      <c r="T101">
        <f>((E101*F101/25000)+((O101/1000)*J101*R101/2.5))*I101*H101</f>
        <v/>
      </c>
      <c r="U101">
        <f>(E101*F101*(O101/1000)*J101*R101*I101*H101)/12500000</f>
        <v/>
      </c>
      <c r="V101">
        <f>(S101+T101+U101)/3</f>
        <v/>
      </c>
      <c r="W101" s="5" t="n">
        <v>10000</v>
      </c>
      <c r="X101">
        <f>IFERROR(V101-W101,"")</f>
        <v/>
      </c>
      <c r="Y101">
        <f>IFERROR(ABS(X101)/MAX(W101,1),"")</f>
        <v/>
      </c>
      <c r="Z101">
        <f>IFERROR((W101-(((E101/100000+F101/100+R101/200)*200*I101*H101)+((E101*F101/25000)*I101*H101))/3)/(((J101/5)*200*I101*H101)+((J101*R101/2.5)*I101*H101)+((E101*F101*J101*R101*I101*H101)/12500000))/3*1000,"")</f>
        <v/>
      </c>
    </row>
    <row r="102">
      <c r="B102" s="6" t="inlineStr">
        <is>
          <t xml:space="preserve">  ↳ CabalHunterKillerHeavyLaser</t>
        </is>
      </c>
      <c r="C102" s="6" t="inlineStr">
        <is>
          <t>Armament@PRIMARY</t>
        </is>
      </c>
      <c r="K102" s="5" t="n">
        <v>20000</v>
      </c>
      <c r="L102" s="5" t="n">
        <v>26</v>
      </c>
      <c r="M102" s="5" t="n">
        <v>1</v>
      </c>
      <c r="N102" s="5" t="n"/>
      <c r="O102" s="5" t="n">
        <v>6170</v>
      </c>
      <c r="P102" s="5" t="n">
        <v>1</v>
      </c>
      <c r="Q102">
        <f>L102+IF(M102&gt;1,N(N102)*(M102-1),0)</f>
        <v/>
      </c>
      <c r="R102">
        <f>IFERROR(K102*MAX(M102,1)/Q102*P102,0)</f>
        <v/>
      </c>
      <c r="AA102" s="6" t="inlineStr">
        <is>
          <t>^LaserWeapon</t>
        </is>
      </c>
    </row>
    <row r="103">
      <c r="B103" s="6" t="inlineStr">
        <is>
          <t xml:space="preserve">  ↳ CabalMothershipRockets</t>
        </is>
      </c>
      <c r="C103" s="6" t="inlineStr">
        <is>
          <t>Armament@ROCKETS</t>
        </is>
      </c>
      <c r="K103" s="5" t="n">
        <v>10000</v>
      </c>
      <c r="L103" s="5" t="n">
        <v>34</v>
      </c>
      <c r="M103" s="5" t="n">
        <v>4</v>
      </c>
      <c r="N103" s="5" t="n">
        <v>2</v>
      </c>
      <c r="O103" s="5" t="n">
        <v>5846</v>
      </c>
      <c r="P103" s="5" t="n">
        <v>1</v>
      </c>
      <c r="Q103">
        <f>L103+IF(M103&gt;1,N(N103)*(M103-1),0)</f>
        <v/>
      </c>
      <c r="R103">
        <f>IFERROR(K103*MAX(M103,1)/Q103*P103,0)</f>
        <v/>
      </c>
      <c r="AA103" s="6" t="inlineStr">
        <is>
          <t>^TeslaWeapon, ^HeavyMissile, ^MediumFlameWeapon, ^MediumChemicalWeapon, ^Grenade, ^ArrowWeapon</t>
        </is>
      </c>
    </row>
    <row r="104">
      <c r="A104" t="inlineStr">
        <is>
          <t>tiberiansun</t>
        </is>
      </c>
      <c r="B104" t="inlineStr">
        <is>
          <t>cabal_orb_drone</t>
        </is>
      </c>
      <c r="C104" t="inlineStr">
        <is>
          <t>Orb Drone</t>
        </is>
      </c>
      <c r="D104" t="inlineStr"/>
      <c r="E104" s="5" t="n">
        <v>25000</v>
      </c>
      <c r="F104" s="5" t="n">
        <v>140</v>
      </c>
      <c r="G104" t="inlineStr">
        <is>
          <t>Scout</t>
        </is>
      </c>
      <c r="H104" s="5" t="n">
        <v>1</v>
      </c>
      <c r="I104" s="5" t="n">
        <v>1</v>
      </c>
      <c r="J104" s="5" t="n">
        <v>1</v>
      </c>
      <c r="O104">
        <f>MAX(O105)</f>
        <v/>
      </c>
      <c r="R104">
        <f>R105</f>
        <v/>
      </c>
      <c r="S104">
        <f>(E104/100000+F104/100+(O104/1000)*J104/5+R104/200)*200*I104*H104</f>
        <v/>
      </c>
      <c r="T104">
        <f>((E104*F104/25000)+((O104/1000)*J104*R104/2.5))*I104*H104</f>
        <v/>
      </c>
      <c r="U104">
        <f>(E104*F104*(O104/1000)*J104*R104*I104*H104)/12500000</f>
        <v/>
      </c>
      <c r="V104">
        <f>(S104+T104+U104)/3</f>
        <v/>
      </c>
      <c r="W104" s="5" t="n">
        <v>600</v>
      </c>
      <c r="X104">
        <f>IFERROR(V104-W104,"")</f>
        <v/>
      </c>
      <c r="Y104">
        <f>IFERROR(ABS(X104)/MAX(W104,1),"")</f>
        <v/>
      </c>
      <c r="Z104">
        <f>IFERROR((W104-(((E104/100000+F104/100+R104/200)*200*I104*H104)+((E104*F104/25000)*I104*H104))/3)/(((J104/5)*200*I104*H104)+((J104*R104/2.5)*I104*H104)+((E104*F104*J104*R104*I104*H104)/12500000))/3*1000,"")</f>
        <v/>
      </c>
    </row>
    <row r="105">
      <c r="B105" s="6" t="inlineStr">
        <is>
          <t xml:space="preserve">  ↳ CabalWaspLaser</t>
        </is>
      </c>
      <c r="C105" s="6" t="inlineStr">
        <is>
          <t>Armament@PRIMARY</t>
        </is>
      </c>
      <c r="K105" s="5" t="n">
        <v>4000</v>
      </c>
      <c r="L105" s="5" t="n">
        <v>20</v>
      </c>
      <c r="M105" s="5" t="n">
        <v>1</v>
      </c>
      <c r="N105" s="5" t="n"/>
      <c r="O105" s="5" t="n">
        <v>6420</v>
      </c>
      <c r="P105" s="5" t="n">
        <v>1</v>
      </c>
      <c r="Q105">
        <f>L105+IF(M105&gt;1,N(N105)*(M105-1),0)</f>
        <v/>
      </c>
      <c r="R105">
        <f>IFERROR(K105*MAX(M105,1)/Q105*P105,0)</f>
        <v/>
      </c>
      <c r="AA105" s="6" t="inlineStr">
        <is>
          <t>^LaserWeapon</t>
        </is>
      </c>
    </row>
    <row r="106">
      <c r="A106" t="inlineStr">
        <is>
          <t>tiberiansun</t>
        </is>
      </c>
      <c r="B106" t="inlineStr">
        <is>
          <t>cabal_orb_drone_slave</t>
        </is>
      </c>
      <c r="C106" t="inlineStr">
        <is>
          <t>Orb Drone</t>
        </is>
      </c>
      <c r="D106" t="inlineStr"/>
      <c r="E106" s="5" t="n">
        <v>25000</v>
      </c>
      <c r="F106" s="5" t="n">
        <v>140</v>
      </c>
      <c r="G106" t="inlineStr">
        <is>
          <t>Scout</t>
        </is>
      </c>
      <c r="H106" s="5" t="n">
        <v>1</v>
      </c>
      <c r="I106" s="5" t="n">
        <v>1</v>
      </c>
      <c r="J106" s="5" t="n">
        <v>1</v>
      </c>
      <c r="O106">
        <f>MAX(O107)</f>
        <v/>
      </c>
      <c r="R106">
        <f>R107</f>
        <v/>
      </c>
      <c r="S106">
        <f>(E106/100000+F106/100+(O106/1000)*J106/5+R106/200)*200*I106*H106</f>
        <v/>
      </c>
      <c r="T106">
        <f>((E106*F106/25000)+((O106/1000)*J106*R106/2.5))*I106*H106</f>
        <v/>
      </c>
      <c r="U106">
        <f>(E106*F106*(O106/1000)*J106*R106*I106*H106)/12500000</f>
        <v/>
      </c>
      <c r="V106">
        <f>(S106+T106+U106)/3</f>
        <v/>
      </c>
      <c r="W106" s="5" t="n">
        <v>600</v>
      </c>
      <c r="X106">
        <f>IFERROR(V106-W106,"")</f>
        <v/>
      </c>
      <c r="Y106">
        <f>IFERROR(ABS(X106)/MAX(W106,1),"")</f>
        <v/>
      </c>
      <c r="Z106">
        <f>IFERROR((W106-(((E106/100000+F106/100+R106/200)*200*I106*H106)+((E106*F106/25000)*I106*H106))/3)/(((J106/5)*200*I106*H106)+((J106*R106/2.5)*I106*H106)+((E106*F106*J106*R106*I106*H106)/12500000))/3*1000,"")</f>
        <v/>
      </c>
    </row>
    <row r="107">
      <c r="B107" s="6" t="inlineStr">
        <is>
          <t xml:space="preserve">  ↳ CabalWaspLaser</t>
        </is>
      </c>
      <c r="C107" s="6" t="inlineStr">
        <is>
          <t>Armament@PRIMARY</t>
        </is>
      </c>
      <c r="K107" s="5" t="n">
        <v>4000</v>
      </c>
      <c r="L107" s="5" t="n">
        <v>20</v>
      </c>
      <c r="M107" s="5" t="n">
        <v>1</v>
      </c>
      <c r="N107" s="5" t="n"/>
      <c r="O107" s="5" t="n">
        <v>6420</v>
      </c>
      <c r="P107" s="5" t="n">
        <v>1</v>
      </c>
      <c r="Q107">
        <f>L107+IF(M107&gt;1,N(N107)*(M107-1),0)</f>
        <v/>
      </c>
      <c r="R107">
        <f>IFERROR(K107*MAX(M107,1)/Q107*P107,0)</f>
        <v/>
      </c>
      <c r="AA107" s="6" t="inlineStr">
        <is>
          <t>^LaserWeapon</t>
        </is>
      </c>
    </row>
    <row r="108">
      <c r="A108" t="inlineStr">
        <is>
          <t>tiberiansun</t>
        </is>
      </c>
      <c r="B108" t="inlineStr">
        <is>
          <t>cabal_overkill_gunship</t>
        </is>
      </c>
      <c r="C108" t="inlineStr">
        <is>
          <t>Overkill Gunship</t>
        </is>
      </c>
      <c r="D108" t="inlineStr"/>
      <c r="E108" s="5" t="n">
        <v>45000</v>
      </c>
      <c r="F108" s="5" t="n">
        <v>150</v>
      </c>
      <c r="G108" t="inlineStr">
        <is>
          <t>Helicopter</t>
        </is>
      </c>
      <c r="H108" s="5" t="n">
        <v>1</v>
      </c>
      <c r="I108" s="5" t="n">
        <v>1</v>
      </c>
      <c r="J108" s="5" t="n">
        <v>1</v>
      </c>
      <c r="O108">
        <f>MAX(O109,O110)</f>
        <v/>
      </c>
      <c r="R108">
        <f>R109+R110</f>
        <v/>
      </c>
      <c r="S108">
        <f>(E108/100000+F108/100+(O108/1000)*J108/5+R108/200)*200*I108*H108</f>
        <v/>
      </c>
      <c r="T108">
        <f>((E108*F108/25000)+((O108/1000)*J108*R108/2.5))*I108*H108</f>
        <v/>
      </c>
      <c r="U108">
        <f>(E108*F108*(O108/1000)*J108*R108*I108*H108)/12500000</f>
        <v/>
      </c>
      <c r="V108">
        <f>(S108+T108+U108)/3</f>
        <v/>
      </c>
      <c r="W108" s="5" t="n">
        <v>1000</v>
      </c>
      <c r="X108">
        <f>IFERROR(V108-W108,"")</f>
        <v/>
      </c>
      <c r="Y108">
        <f>IFERROR(ABS(X108)/MAX(W108,1),"")</f>
        <v/>
      </c>
      <c r="Z108">
        <f>IFERROR((W108-(((E108/100000+F108/100+R108/200)*200*I108*H108)+((E108*F108/25000)*I108*H108))/3)/(((J108/5)*200*I108*H108)+((J108*R108/2.5)*I108*H108)+((E108*F108*J108*R108*I108*H108)/12500000))/3*1000,"")</f>
        <v/>
      </c>
    </row>
    <row r="109">
      <c r="B109" s="6" t="inlineStr">
        <is>
          <t xml:space="preserve">  ↳ CabalOverkillGunshipLaser</t>
        </is>
      </c>
      <c r="C109" s="6" t="inlineStr">
        <is>
          <t>Armament@LEFT</t>
        </is>
      </c>
      <c r="K109" s="5" t="n">
        <v>12500</v>
      </c>
      <c r="L109" s="5" t="n">
        <v>40</v>
      </c>
      <c r="M109" s="5" t="n">
        <v>1</v>
      </c>
      <c r="N109" s="5" t="n"/>
      <c r="O109" s="5" t="n">
        <v>6000</v>
      </c>
      <c r="P109" s="5" t="n">
        <v>1</v>
      </c>
      <c r="Q109">
        <f>L109+IF(M109&gt;1,N(N109)*(M109-1),0)</f>
        <v/>
      </c>
      <c r="R109">
        <f>IFERROR(K109*MAX(M109,1)/Q109*P109,0)</f>
        <v/>
      </c>
      <c r="AA109" s="6" t="inlineStr">
        <is>
          <t>^LaserWeapon</t>
        </is>
      </c>
    </row>
    <row r="110">
      <c r="B110" s="6" t="inlineStr">
        <is>
          <t xml:space="preserve">  ↳ CabalOverkillGunshipLaser</t>
        </is>
      </c>
      <c r="C110" s="6" t="inlineStr">
        <is>
          <t>Armament@RIGHT</t>
        </is>
      </c>
      <c r="K110" s="5" t="n">
        <v>12500</v>
      </c>
      <c r="L110" s="5" t="n">
        <v>40</v>
      </c>
      <c r="M110" s="5" t="n">
        <v>1</v>
      </c>
      <c r="N110" s="5" t="n"/>
      <c r="O110" s="5" t="n">
        <v>6000</v>
      </c>
      <c r="P110" s="5" t="n">
        <v>1</v>
      </c>
      <c r="Q110">
        <f>L110+IF(M110&gt;1,N(N110)*(M110-1),0)</f>
        <v/>
      </c>
      <c r="R110">
        <f>IFERROR(K110*MAX(M110,1)/Q110*P110,0)</f>
        <v/>
      </c>
      <c r="AA110" s="6" t="inlineStr">
        <is>
          <t>^LaserWeapon</t>
        </is>
      </c>
    </row>
    <row r="111">
      <c r="A111" t="inlineStr">
        <is>
          <t>tiberiansun</t>
        </is>
      </c>
      <c r="B111" t="inlineStr">
        <is>
          <t>cabal_repair_drone</t>
        </is>
      </c>
      <c r="C111" t="inlineStr">
        <is>
          <t>Repair Drone</t>
        </is>
      </c>
      <c r="D111" t="inlineStr"/>
      <c r="E111" s="5" t="n">
        <v>25000</v>
      </c>
      <c r="F111" s="5" t="n">
        <v>140</v>
      </c>
      <c r="G111" t="inlineStr">
        <is>
          <t>Helicopter</t>
        </is>
      </c>
      <c r="H111" s="5" t="n">
        <v>1</v>
      </c>
      <c r="I111" s="5" t="n">
        <v>1</v>
      </c>
      <c r="J111" s="5" t="n">
        <v>1</v>
      </c>
      <c r="O111">
        <f>MAX(O112)</f>
        <v/>
      </c>
      <c r="R111">
        <f>R112</f>
        <v/>
      </c>
      <c r="S111">
        <f>(E111/100000+F111/100+(O111/1000)*J111/5+R111/200)*200*I111*H111</f>
        <v/>
      </c>
      <c r="T111">
        <f>((E111*F111/25000)+((O111/1000)*J111*R111/2.5))*I111*H111</f>
        <v/>
      </c>
      <c r="U111">
        <f>(E111*F111*(O111/1000)*J111*R111*I111*H111)/12500000</f>
        <v/>
      </c>
      <c r="V111">
        <f>(S111+T111+U111)/3</f>
        <v/>
      </c>
      <c r="W111" s="5" t="n">
        <v>1000</v>
      </c>
      <c r="X111">
        <f>IFERROR(V111-W111,"")</f>
        <v/>
      </c>
      <c r="Y111">
        <f>IFERROR(ABS(X111)/MAX(W111,1),"")</f>
        <v/>
      </c>
      <c r="Z111">
        <f>IFERROR((W111-(((E111/100000+F111/100+R111/200)*200*I111*H111)+((E111*F111/25000)*I111*H111))/3)/(((J111/5)*200*I111*H111)+((J111*R111/2.5)*I111*H111)+((E111*F111*J111*R111*I111*H111)/12500000))/3*1000,"")</f>
        <v/>
      </c>
    </row>
    <row r="112">
      <c r="B112" s="6" t="inlineStr">
        <is>
          <t xml:space="preserve">  ↳ CabalEngineerRepairBeam</t>
        </is>
      </c>
      <c r="C112" s="6" t="inlineStr">
        <is>
          <t>Armament@PRIMARY</t>
        </is>
      </c>
      <c r="K112" s="5" t="n">
        <v>-1</v>
      </c>
      <c r="L112" s="5" t="n">
        <v>31</v>
      </c>
      <c r="M112" s="5" t="n">
        <v>10</v>
      </c>
      <c r="N112" s="5" t="n">
        <v>1</v>
      </c>
      <c r="O112" s="5" t="n">
        <v>6128</v>
      </c>
      <c r="P112" s="5" t="n">
        <v>1</v>
      </c>
      <c r="Q112">
        <f>L112+IF(M112&gt;1,N(N112)*(M112-1),0)</f>
        <v/>
      </c>
      <c r="R112">
        <f>IFERROR(K112*MAX(M112,1)/Q112*P112,0)</f>
        <v/>
      </c>
      <c r="AA112" s="6" t="inlineStr">
        <is>
          <t>^RepairWeapon</t>
        </is>
      </c>
    </row>
    <row r="113">
      <c r="A113" s="3" t="inlineStr">
        <is>
          <t>DEFENSES</t>
        </is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>
      <c r="A114" t="inlineStr">
        <is>
          <t>tiberiansun</t>
        </is>
      </c>
      <c r="B114" t="inlineStr">
        <is>
          <t>cabal_heavycabalobelisk</t>
        </is>
      </c>
      <c r="C114" t="inlineStr">
        <is>
          <t>Fortified Obelisk</t>
        </is>
      </c>
      <c r="D114" t="inlineStr"/>
      <c r="E114" s="5" t="n">
        <v>300000</v>
      </c>
      <c r="F114" s="5" t="n">
        <v>100</v>
      </c>
      <c r="G114" t="inlineStr">
        <is>
          <t>Steel</t>
        </is>
      </c>
      <c r="H114" s="5" t="n">
        <v>1</v>
      </c>
      <c r="I114" s="5" t="n">
        <v>1</v>
      </c>
      <c r="J114" s="5" t="n">
        <v>1</v>
      </c>
      <c r="O114">
        <f>MAX(O115)</f>
        <v/>
      </c>
      <c r="R114">
        <f>R115</f>
        <v/>
      </c>
      <c r="S114">
        <f>(E114/100000+F114/100+(O114/1000)*J114/5+R114/200)*200*I114*H114</f>
        <v/>
      </c>
      <c r="T114">
        <f>((E114*F114/25000)+((O114/1000)*J114*R114/2.5))*I114*H114</f>
        <v/>
      </c>
      <c r="U114">
        <f>(E114*F114*(O114/1000)*J114*R114*I114*H114)/12500000</f>
        <v/>
      </c>
      <c r="V114">
        <f>(S114+T114+U114)/3</f>
        <v/>
      </c>
      <c r="W114" s="5" t="n">
        <v>2400</v>
      </c>
      <c r="X114">
        <f>IFERROR(V114-W114,"")</f>
        <v/>
      </c>
      <c r="Y114">
        <f>IFERROR(ABS(X114)/MAX(W114,1),"")</f>
        <v/>
      </c>
      <c r="Z114">
        <f>IFERROR((W114-(((E114/100000+F114/100+R114/200)*200*I114*H114)+((E114*F114/25000)*I114*H114))/3)/(((J114/5)*200*I114*H114)+((J114*R114/2.5)*I114*H114)+((E114*F114*J114*R114*I114*H114)/12500000))/3*1000,"")</f>
        <v/>
      </c>
    </row>
    <row r="115">
      <c r="B115" s="6" t="inlineStr">
        <is>
          <t xml:space="preserve">  ↳ TSCABALObeliskLaserFire</t>
        </is>
      </c>
      <c r="C115" s="6" t="inlineStr">
        <is>
          <t>Armament@PRIMARY</t>
        </is>
      </c>
      <c r="K115" s="5" t="n">
        <v>70000</v>
      </c>
      <c r="L115" s="5" t="n">
        <v>90</v>
      </c>
      <c r="M115" s="5" t="n">
        <v>1</v>
      </c>
      <c r="N115" s="5" t="n"/>
      <c r="O115" s="5" t="n">
        <v>12288</v>
      </c>
      <c r="P115" s="5" t="n">
        <v>1</v>
      </c>
      <c r="Q115">
        <f>L115+IF(M115&gt;1,N(N115)*(M115-1),0)</f>
        <v/>
      </c>
      <c r="R115">
        <f>IFERROR(K115*MAX(M115,1)/Q115*P115,0)</f>
        <v/>
      </c>
      <c r="AA115" s="6" t="inlineStr">
        <is>
          <t>^TankDestroyerCannon, ^LaserWeapon, ^MediumFlameWeapon, ^MediumChemicalWeapon, ^TSLaserEffect</t>
        </is>
      </c>
    </row>
    <row r="116">
      <c r="A116" t="inlineStr">
        <is>
          <t>tiberiansun</t>
        </is>
      </c>
      <c r="B116" t="inlineStr">
        <is>
          <t>cabal_missilesilo</t>
        </is>
      </c>
      <c r="C116" t="inlineStr">
        <is>
          <t>CABAL Missile Silo</t>
        </is>
      </c>
      <c r="D116" t="inlineStr"/>
      <c r="E116" s="5" t="n"/>
      <c r="F116" s="5" t="n">
        <v>100</v>
      </c>
      <c r="H116" s="5" t="n">
        <v>1</v>
      </c>
      <c r="I116" s="5" t="n">
        <v>1</v>
      </c>
      <c r="J116" s="5" t="n">
        <v>1</v>
      </c>
      <c r="W116" s="5" t="n">
        <v>5000</v>
      </c>
    </row>
    <row r="117">
      <c r="A117" t="inlineStr">
        <is>
          <t>tiberiansun</t>
        </is>
      </c>
      <c r="B117" t="inlineStr">
        <is>
          <t>cabal_obeliskofdarkness</t>
        </is>
      </c>
      <c r="C117" t="inlineStr">
        <is>
          <t>Obelisk of Darkness</t>
        </is>
      </c>
      <c r="D117" t="inlineStr"/>
      <c r="E117" s="5" t="n">
        <v>120000</v>
      </c>
      <c r="F117" s="5" t="n">
        <v>100</v>
      </c>
      <c r="G117" t="inlineStr">
        <is>
          <t>Heavy</t>
        </is>
      </c>
      <c r="H117" s="5" t="n">
        <v>1</v>
      </c>
      <c r="I117" s="5" t="n">
        <v>1</v>
      </c>
      <c r="J117" s="5" t="n">
        <v>1</v>
      </c>
      <c r="O117">
        <f>MAX(O118)</f>
        <v/>
      </c>
      <c r="R117">
        <f>R118</f>
        <v/>
      </c>
      <c r="S117">
        <f>(E117/100000+F117/100+(O117/1000)*J117/5+R117/200)*200*I117*H117</f>
        <v/>
      </c>
      <c r="T117">
        <f>((E117*F117/25000)+((O117/1000)*J117*R117/2.5))*I117*H117</f>
        <v/>
      </c>
      <c r="U117">
        <f>(E117*F117*(O117/1000)*J117*R117*I117*H117)/12500000</f>
        <v/>
      </c>
      <c r="V117">
        <f>(S117+T117+U117)/3</f>
        <v/>
      </c>
      <c r="W117" s="5" t="n">
        <v>1200</v>
      </c>
      <c r="X117">
        <f>IFERROR(V117-W117,"")</f>
        <v/>
      </c>
      <c r="Y117">
        <f>IFERROR(ABS(X117)/MAX(W117,1),"")</f>
        <v/>
      </c>
      <c r="Z117">
        <f>IFERROR((W117-(((E117/100000+F117/100+R117/200)*200*I117*H117)+((E117*F117/25000)*I117*H117))/3)/(((J117/5)*200*I117*H117)+((J117*R117/2.5)*I117*H117)+((E117*F117*J117*R117*I117*H117)/12500000))/3*1000,"")</f>
        <v/>
      </c>
    </row>
    <row r="118">
      <c r="B118" s="6" t="inlineStr">
        <is>
          <t xml:space="preserve">  ↳ DarkObeliskLaser</t>
        </is>
      </c>
      <c r="C118" s="6" t="inlineStr">
        <is>
          <t>Armament</t>
        </is>
      </c>
      <c r="K118" s="5" t="n">
        <v>36000</v>
      </c>
      <c r="L118" s="5" t="n">
        <v>50</v>
      </c>
      <c r="M118" s="5" t="n">
        <v>1</v>
      </c>
      <c r="N118" s="5" t="n"/>
      <c r="O118" s="5" t="n">
        <v>12288</v>
      </c>
      <c r="P118" s="5" t="n">
        <v>1</v>
      </c>
      <c r="Q118">
        <f>L118+IF(M118&gt;1,N(N118)*(M118-1),0)</f>
        <v/>
      </c>
      <c r="R118">
        <f>IFERROR(K118*MAX(M118,1)/Q118*P118,0)</f>
        <v/>
      </c>
      <c r="AA118" s="6" t="inlineStr">
        <is>
          <t>^LaserWeapon</t>
        </is>
      </c>
    </row>
    <row r="119">
      <c r="A119" t="inlineStr">
        <is>
          <t>tiberiansun</t>
        </is>
      </c>
      <c r="B119" t="inlineStr">
        <is>
          <t>cabal_pillbox</t>
        </is>
      </c>
      <c r="C119" t="inlineStr">
        <is>
          <t>Pillbox</t>
        </is>
      </c>
      <c r="D119" t="inlineStr"/>
      <c r="E119" s="5" t="n">
        <v>85000</v>
      </c>
      <c r="F119" s="5" t="n">
        <v>100</v>
      </c>
      <c r="G119" t="inlineStr">
        <is>
          <t>Concrete</t>
        </is>
      </c>
      <c r="H119" s="5" t="n">
        <v>1</v>
      </c>
      <c r="I119" s="5" t="n">
        <v>1</v>
      </c>
      <c r="J119" s="5" t="n">
        <v>1</v>
      </c>
      <c r="W119" s="5" t="n">
        <v>800</v>
      </c>
    </row>
    <row r="120">
      <c r="A120" t="inlineStr">
        <is>
          <t>tiberiansun</t>
        </is>
      </c>
      <c r="B120" t="inlineStr">
        <is>
          <t>cabal_plasmaturret</t>
        </is>
      </c>
      <c r="C120" t="inlineStr">
        <is>
          <t>Plasma Turret</t>
        </is>
      </c>
      <c r="D120" t="inlineStr"/>
      <c r="E120" s="5" t="n">
        <v>60000</v>
      </c>
      <c r="F120" s="5" t="n">
        <v>100</v>
      </c>
      <c r="G120" t="inlineStr">
        <is>
          <t>Concrete</t>
        </is>
      </c>
      <c r="H120" s="5" t="n">
        <v>1</v>
      </c>
      <c r="I120" s="5" t="n">
        <v>1</v>
      </c>
      <c r="J120" s="5" t="n">
        <v>1</v>
      </c>
      <c r="O120">
        <f>MAX(O121)</f>
        <v/>
      </c>
      <c r="R120">
        <f>R121</f>
        <v/>
      </c>
      <c r="S120">
        <f>(E120/100000+F120/100+(O120/1000)*J120/5+R120/200)*200*I120*H120</f>
        <v/>
      </c>
      <c r="T120">
        <f>((E120*F120/25000)+((O120/1000)*J120*R120/2.5))*I120*H120</f>
        <v/>
      </c>
      <c r="U120">
        <f>(E120*F120*(O120/1000)*J120*R120*I120*H120)/12500000</f>
        <v/>
      </c>
      <c r="V120">
        <f>(S120+T120+U120)/3</f>
        <v/>
      </c>
      <c r="W120" s="5" t="n">
        <v>800</v>
      </c>
      <c r="X120">
        <f>IFERROR(V120-W120,"")</f>
        <v/>
      </c>
      <c r="Y120">
        <f>IFERROR(ABS(X120)/MAX(W120,1),"")</f>
        <v/>
      </c>
      <c r="Z120">
        <f>IFERROR((W120-(((E120/100000+F120/100+R120/200)*200*I120*H120)+((E120*F120/25000)*I120*H120))/3)/(((J120/5)*200*I120*H120)+((J120*R120/2.5)*I120*H120)+((E120*F120*J120*R120*I120*H120)/12500000))/3*1000,"")</f>
        <v/>
      </c>
    </row>
    <row r="121">
      <c r="B121" s="6" t="inlineStr">
        <is>
          <t xml:space="preserve">  ↳ TSCABALPlasmaFire</t>
        </is>
      </c>
      <c r="C121" s="6" t="inlineStr">
        <is>
          <t>Armament@PRIMARY</t>
        </is>
      </c>
      <c r="K121" s="5" t="n">
        <v>10000</v>
      </c>
      <c r="L121" s="5" t="n">
        <v>25</v>
      </c>
      <c r="M121" s="5" t="n">
        <v>1</v>
      </c>
      <c r="N121" s="5" t="n"/>
      <c r="O121" s="5" t="n">
        <v>6487</v>
      </c>
      <c r="P121" s="5" t="n">
        <v>1</v>
      </c>
      <c r="Q121">
        <f>L121+IF(M121&gt;1,N(N121)*(M121-1),0)</f>
        <v/>
      </c>
      <c r="R121">
        <f>IFERROR(K121*MAX(M121,1)/Q121*P121,0)</f>
        <v/>
      </c>
      <c r="AA121" s="6" t="inlineStr">
        <is>
          <t>^Chaingun, ^LaserWeapon, ^TSLaserEffect</t>
        </is>
      </c>
    </row>
    <row r="122">
      <c r="A122" t="inlineStr">
        <is>
          <t>tiberiansun</t>
        </is>
      </c>
      <c r="B122" t="inlineStr">
        <is>
          <t>cabal_silo</t>
        </is>
      </c>
      <c r="C122" t="inlineStr">
        <is>
          <t>Silo</t>
        </is>
      </c>
      <c r="D122" t="inlineStr"/>
      <c r="E122" s="5" t="n">
        <v>100000</v>
      </c>
      <c r="F122" s="5" t="n">
        <v>100</v>
      </c>
      <c r="G122" t="inlineStr">
        <is>
          <t>Wood</t>
        </is>
      </c>
      <c r="H122" s="5" t="n">
        <v>1</v>
      </c>
      <c r="I122" s="5" t="n">
        <v>1</v>
      </c>
      <c r="J122" s="5" t="n">
        <v>1</v>
      </c>
      <c r="W122" s="5" t="n">
        <v>150</v>
      </c>
    </row>
    <row r="123">
      <c r="A123" t="inlineStr">
        <is>
          <t>tiberiansun</t>
        </is>
      </c>
      <c r="B123" t="inlineStr">
        <is>
          <t>cabal_stealthgenerator</t>
        </is>
      </c>
      <c r="C123" t="inlineStr">
        <is>
          <t>Stealth Generator</t>
        </is>
      </c>
      <c r="D123" t="inlineStr"/>
      <c r="E123" s="5" t="n">
        <v>100000</v>
      </c>
      <c r="F123" s="5" t="n">
        <v>100</v>
      </c>
      <c r="G123" t="inlineStr">
        <is>
          <t>Concrete</t>
        </is>
      </c>
      <c r="H123" s="5" t="n">
        <v>1</v>
      </c>
      <c r="I123" s="5" t="n">
        <v>1</v>
      </c>
      <c r="J123" s="5" t="n">
        <v>1</v>
      </c>
      <c r="W123" s="5" t="n">
        <v>2500</v>
      </c>
    </row>
    <row r="124">
      <c r="A124" s="3" t="inlineStr">
        <is>
          <t>BUILDINGS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</row>
    <row r="125">
      <c r="A125" t="inlineStr">
        <is>
          <t>tiberiansun</t>
        </is>
      </c>
      <c r="B125" t="inlineStr">
        <is>
          <t>cabal_core</t>
        </is>
      </c>
      <c r="C125" t="inlineStr">
        <is>
          <t>CABAL Core</t>
        </is>
      </c>
      <c r="D125" t="inlineStr"/>
      <c r="E125" s="5" t="n">
        <v>1000000</v>
      </c>
      <c r="F125" s="5" t="n"/>
      <c r="G125" t="inlineStr">
        <is>
          <t>Wood</t>
        </is>
      </c>
      <c r="H125" s="5" t="n">
        <v>1</v>
      </c>
      <c r="I125" s="5" t="n">
        <v>1</v>
      </c>
      <c r="J125" s="5" t="n">
        <v>1</v>
      </c>
      <c r="W125" s="5" t="n">
        <v>10000</v>
      </c>
    </row>
    <row r="126">
      <c r="B126" s="6" t="inlineStr">
        <is>
          <t xml:space="preserve">  ↳ TSHSeekerLaunch</t>
        </is>
      </c>
      <c r="C126" s="6" t="inlineStr">
        <is>
          <t>Armament@HunterSeeker</t>
        </is>
      </c>
      <c r="K126" s="5" t="n"/>
      <c r="L126" s="5" t="n">
        <v>50</v>
      </c>
      <c r="M126" s="5" t="n">
        <v>1</v>
      </c>
      <c r="N126" s="5" t="n"/>
      <c r="O126" s="5" t="n">
        <v>10238976</v>
      </c>
      <c r="P126" s="5" t="n">
        <v>1</v>
      </c>
      <c r="Q126">
        <f>L126+IF(M126&gt;1,N(N126)*(M126-1),0)</f>
        <v/>
      </c>
      <c r="R126">
        <f>IFERROR(K126*MAX(M126,1)/Q126*P126,0)</f>
        <v/>
      </c>
      <c r="AA126" s="6" t="inlineStr"/>
    </row>
    <row r="127">
      <c r="A127" t="inlineStr">
        <is>
          <t>tiberiansun</t>
        </is>
      </c>
      <c r="B127" t="inlineStr">
        <is>
          <t>cabal_cyborgfactory</t>
        </is>
      </c>
      <c r="C127" t="inlineStr">
        <is>
          <t>Cyborg Factory</t>
        </is>
      </c>
      <c r="D127" t="inlineStr"/>
      <c r="E127" s="5" t="n">
        <v>200000</v>
      </c>
      <c r="F127" s="5" t="n"/>
      <c r="G127" t="inlineStr">
        <is>
          <t>Wood</t>
        </is>
      </c>
      <c r="H127" s="5" t="n">
        <v>1</v>
      </c>
      <c r="I127" s="5" t="n">
        <v>1</v>
      </c>
      <c r="J127" s="5" t="n">
        <v>1</v>
      </c>
      <c r="W127" s="5" t="n">
        <v>500</v>
      </c>
    </row>
    <row r="128">
      <c r="A128" t="inlineStr">
        <is>
          <t>tiberiansun</t>
        </is>
      </c>
      <c r="B128" t="inlineStr">
        <is>
          <t>cabal_helipad</t>
        </is>
      </c>
      <c r="C128" t="inlineStr">
        <is>
          <t>CABAL Helipad</t>
        </is>
      </c>
      <c r="D128" t="inlineStr"/>
      <c r="E128" s="5" t="n">
        <v>300000</v>
      </c>
      <c r="F128" s="5" t="n"/>
      <c r="G128" t="inlineStr">
        <is>
          <t>Wood</t>
        </is>
      </c>
      <c r="H128" s="5" t="n">
        <v>1</v>
      </c>
      <c r="I128" s="5" t="n">
        <v>1</v>
      </c>
      <c r="J128" s="5" t="n">
        <v>1</v>
      </c>
      <c r="W128" s="5" t="n">
        <v>1000</v>
      </c>
    </row>
    <row r="129">
      <c r="A129" t="inlineStr">
        <is>
          <t>tiberiansun</t>
        </is>
      </c>
      <c r="B129" t="inlineStr">
        <is>
          <t>cabal_mechfactory</t>
        </is>
      </c>
      <c r="C129" t="inlineStr">
        <is>
          <t>CABAL War Factory</t>
        </is>
      </c>
      <c r="D129" t="inlineStr"/>
      <c r="E129" s="5" t="n">
        <v>400000</v>
      </c>
      <c r="F129" s="5" t="n"/>
      <c r="G129" t="inlineStr">
        <is>
          <t>Concrete</t>
        </is>
      </c>
      <c r="H129" s="5" t="n">
        <v>1</v>
      </c>
      <c r="I129" s="5" t="n">
        <v>1</v>
      </c>
      <c r="J129" s="5" t="n">
        <v>1</v>
      </c>
      <c r="W129" s="5" t="n">
        <v>2000</v>
      </c>
    </row>
    <row r="130">
      <c r="A130" t="inlineStr">
        <is>
          <t>tiberiansun</t>
        </is>
      </c>
      <c r="B130" t="inlineStr">
        <is>
          <t>cabal_powerplant</t>
        </is>
      </c>
      <c r="C130" t="inlineStr">
        <is>
          <t>CABAL Power Plant</t>
        </is>
      </c>
      <c r="D130" t="inlineStr"/>
      <c r="E130" s="5" t="n">
        <v>160000</v>
      </c>
      <c r="F130" s="5" t="n"/>
      <c r="G130" t="inlineStr">
        <is>
          <t>Wood</t>
        </is>
      </c>
      <c r="H130" s="5" t="n">
        <v>1</v>
      </c>
      <c r="I130" s="5" t="n">
        <v>1</v>
      </c>
      <c r="J130" s="5" t="n">
        <v>1</v>
      </c>
      <c r="W130" s="5" t="n">
        <v>800</v>
      </c>
    </row>
    <row r="131">
      <c r="A131" t="inlineStr">
        <is>
          <t>tiberiansun</t>
        </is>
      </c>
      <c r="B131" t="inlineStr">
        <is>
          <t>cabal_radar</t>
        </is>
      </c>
      <c r="C131" t="inlineStr">
        <is>
          <t>Radar</t>
        </is>
      </c>
      <c r="D131" t="inlineStr"/>
      <c r="E131" s="5" t="n">
        <v>250000</v>
      </c>
      <c r="F131" s="5" t="n"/>
      <c r="G131" t="inlineStr">
        <is>
          <t>Wood</t>
        </is>
      </c>
      <c r="H131" s="5" t="n">
        <v>1</v>
      </c>
      <c r="I131" s="5" t="n">
        <v>1</v>
      </c>
      <c r="J131" s="5" t="n">
        <v>1</v>
      </c>
      <c r="W131" s="5" t="n">
        <v>1000</v>
      </c>
    </row>
    <row r="132">
      <c r="A132" t="inlineStr">
        <is>
          <t>tiberiansun</t>
        </is>
      </c>
      <c r="B132" t="inlineStr">
        <is>
          <t>cabal_refinery</t>
        </is>
      </c>
      <c r="C132" t="inlineStr">
        <is>
          <t>CABAL Refinery</t>
        </is>
      </c>
      <c r="D132" t="inlineStr"/>
      <c r="E132" s="5" t="n">
        <v>300000</v>
      </c>
      <c r="F132" s="5" t="n"/>
      <c r="G132" t="inlineStr">
        <is>
          <t>Concrete</t>
        </is>
      </c>
      <c r="H132" s="5" t="n">
        <v>1</v>
      </c>
      <c r="I132" s="5" t="n">
        <v>1</v>
      </c>
      <c r="J132" s="5" t="n">
        <v>1</v>
      </c>
      <c r="W132" s="5" t="n">
        <v>1500</v>
      </c>
    </row>
    <row r="133">
      <c r="A133" t="inlineStr">
        <is>
          <t>tiberiansun</t>
        </is>
      </c>
      <c r="B133" t="inlineStr">
        <is>
          <t>cabal_servicedepot</t>
        </is>
      </c>
      <c r="C133" t="inlineStr">
        <is>
          <t>Service Depot</t>
        </is>
      </c>
      <c r="D133" t="inlineStr"/>
      <c r="E133" s="5" t="n">
        <v>250000</v>
      </c>
      <c r="F133" s="5" t="n"/>
      <c r="G133" t="inlineStr">
        <is>
          <t>Concrete</t>
        </is>
      </c>
      <c r="H133" s="5" t="n">
        <v>1</v>
      </c>
      <c r="I133" s="5" t="n">
        <v>1</v>
      </c>
      <c r="J133" s="5" t="n">
        <v>1</v>
      </c>
      <c r="W133" s="5" t="n">
        <v>800</v>
      </c>
    </row>
    <row r="134">
      <c r="A134" t="inlineStr">
        <is>
          <t>tiberiansun</t>
        </is>
      </c>
      <c r="B134" t="inlineStr">
        <is>
          <t>cabal_techcenter</t>
        </is>
      </c>
      <c r="C134" t="inlineStr">
        <is>
          <t>CABAL Tech Center</t>
        </is>
      </c>
      <c r="D134" t="inlineStr"/>
      <c r="E134" s="5" t="n">
        <v>500000</v>
      </c>
      <c r="F134" s="5" t="n"/>
      <c r="G134" t="inlineStr">
        <is>
          <t>Concrete</t>
        </is>
      </c>
      <c r="H134" s="5" t="n">
        <v>1</v>
      </c>
      <c r="I134" s="5" t="n">
        <v>1</v>
      </c>
      <c r="J134" s="5" t="n">
        <v>1</v>
      </c>
      <c r="W134" s="5" t="n">
        <v>5000</v>
      </c>
    </row>
    <row r="135">
      <c r="A135" s="3" t="inlineStr">
        <is>
          <t>UPGRADES</t>
        </is>
      </c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>
      <c r="A136" t="inlineStr">
        <is>
          <t>tiberiansun</t>
        </is>
      </c>
      <c r="B136" t="inlineStr">
        <is>
          <t>cabal_upgrade_backupsystems</t>
        </is>
      </c>
      <c r="C136" t="inlineStr">
        <is>
          <t>Backup Systems</t>
        </is>
      </c>
      <c r="D136" t="inlineStr"/>
      <c r="E136" s="5" t="n"/>
      <c r="F136" s="5" t="n"/>
      <c r="H136" s="5" t="n">
        <v>1</v>
      </c>
      <c r="I136" s="5" t="n">
        <v>1</v>
      </c>
      <c r="J136" s="5" t="n">
        <v>1</v>
      </c>
      <c r="W136" s="5" t="n">
        <v>5000</v>
      </c>
    </row>
    <row r="137">
      <c r="A137" t="inlineStr">
        <is>
          <t>tiberiansun</t>
        </is>
      </c>
      <c r="B137" t="inlineStr">
        <is>
          <t>cabal_upgrade_cyberneticplating</t>
        </is>
      </c>
      <c r="C137" t="inlineStr">
        <is>
          <t>Cybernetic Plating</t>
        </is>
      </c>
      <c r="D137" t="inlineStr"/>
      <c r="E137" s="5" t="n"/>
      <c r="F137" s="5" t="n"/>
      <c r="H137" s="5" t="n">
        <v>1</v>
      </c>
      <c r="I137" s="5" t="n">
        <v>1</v>
      </c>
      <c r="J137" s="5" t="n">
        <v>1</v>
      </c>
      <c r="W137" s="5" t="n">
        <v>5000</v>
      </c>
    </row>
    <row r="138">
      <c r="A138" t="inlineStr">
        <is>
          <t>tiberiansun</t>
        </is>
      </c>
      <c r="B138" t="inlineStr">
        <is>
          <t>cabal_upgrade_darkarmament</t>
        </is>
      </c>
      <c r="C138" t="inlineStr">
        <is>
          <t>Dark Armament</t>
        </is>
      </c>
      <c r="D138" t="inlineStr"/>
      <c r="E138" s="5" t="n"/>
      <c r="F138" s="5" t="n"/>
      <c r="H138" s="5" t="n">
        <v>1</v>
      </c>
      <c r="I138" s="5" t="n">
        <v>1</v>
      </c>
      <c r="J138" s="5" t="n">
        <v>1</v>
      </c>
      <c r="W138" s="5" t="n">
        <v>2500</v>
      </c>
    </row>
    <row r="139">
      <c r="A139" t="inlineStr">
        <is>
          <t>tiberiansun</t>
        </is>
      </c>
      <c r="B139" t="inlineStr">
        <is>
          <t>cabal_upgrade_dataworm</t>
        </is>
      </c>
      <c r="C139" t="inlineStr">
        <is>
          <t>Data Worm</t>
        </is>
      </c>
      <c r="D139" t="inlineStr"/>
      <c r="E139" s="5" t="n"/>
      <c r="F139" s="5" t="n"/>
      <c r="H139" s="5" t="n">
        <v>1</v>
      </c>
      <c r="I139" s="5" t="n">
        <v>1</v>
      </c>
      <c r="J139" s="5" t="n">
        <v>1</v>
      </c>
      <c r="W139" s="5" t="n">
        <v>10000</v>
      </c>
    </row>
    <row r="140">
      <c r="A140" t="inlineStr">
        <is>
          <t>tiberiansun</t>
        </is>
      </c>
      <c r="B140" t="inlineStr">
        <is>
          <t>cabal_upgrade_firewallprotocol</t>
        </is>
      </c>
      <c r="C140" t="inlineStr">
        <is>
          <t>Firewall Protocol</t>
        </is>
      </c>
      <c r="D140" t="inlineStr"/>
      <c r="E140" s="5" t="n"/>
      <c r="F140" s="5" t="n"/>
      <c r="H140" s="5" t="n">
        <v>1</v>
      </c>
      <c r="I140" s="5" t="n">
        <v>1</v>
      </c>
      <c r="J140" s="5" t="n">
        <v>1</v>
      </c>
      <c r="W140" s="5" t="n">
        <v>5000</v>
      </c>
    </row>
    <row r="141">
      <c r="A141" t="inlineStr">
        <is>
          <t>tiberiansun</t>
        </is>
      </c>
      <c r="B141" t="inlineStr">
        <is>
          <t>cabal_upgrade_fullassimilation</t>
        </is>
      </c>
      <c r="C141" t="inlineStr">
        <is>
          <t>Full Assimilation</t>
        </is>
      </c>
      <c r="D141" t="inlineStr"/>
      <c r="E141" s="5" t="n"/>
      <c r="F141" s="5" t="n"/>
      <c r="H141" s="5" t="n">
        <v>1</v>
      </c>
      <c r="I141" s="5" t="n">
        <v>1</v>
      </c>
      <c r="J141" s="5" t="n">
        <v>1</v>
      </c>
      <c r="W141" s="5" t="n">
        <v>10000</v>
      </c>
    </row>
    <row r="142">
      <c r="A142" t="inlineStr">
        <is>
          <t>tiberiansun</t>
        </is>
      </c>
      <c r="B142" t="inlineStr">
        <is>
          <t>cabal_upgrade_handof</t>
        </is>
      </c>
      <c r="C142" t="inlineStr">
        <is>
          <t>Hand of CABAL</t>
        </is>
      </c>
      <c r="D142" t="inlineStr"/>
      <c r="E142" s="5" t="n"/>
      <c r="F142" s="5" t="n"/>
      <c r="H142" s="5" t="n">
        <v>1</v>
      </c>
      <c r="I142" s="5" t="n">
        <v>1</v>
      </c>
      <c r="J142" s="5" t="n">
        <v>1</v>
      </c>
      <c r="W142" s="5" t="n">
        <v>12500</v>
      </c>
    </row>
    <row r="143">
      <c r="A143" t="inlineStr">
        <is>
          <t>tiberiansun</t>
        </is>
      </c>
      <c r="B143" t="inlineStr">
        <is>
          <t>cabal_upgrade_mobilitymatrix</t>
        </is>
      </c>
      <c r="C143" t="inlineStr">
        <is>
          <t>Mobility Matrix</t>
        </is>
      </c>
      <c r="D143" t="inlineStr"/>
      <c r="E143" s="5" t="n"/>
      <c r="F143" s="5" t="n"/>
      <c r="H143" s="5" t="n">
        <v>1</v>
      </c>
      <c r="I143" s="5" t="n">
        <v>1</v>
      </c>
      <c r="J143" s="5" t="n">
        <v>1</v>
      </c>
      <c r="W143" s="5" t="n">
        <v>2500</v>
      </c>
    </row>
    <row r="144">
      <c r="A144" t="inlineStr">
        <is>
          <t>tiberiansun</t>
        </is>
      </c>
      <c r="B144" t="inlineStr">
        <is>
          <t>cabal_upgrade_networkedcombatprotocols</t>
        </is>
      </c>
      <c r="C144" t="inlineStr">
        <is>
          <t>Networked Combat Protocols</t>
        </is>
      </c>
      <c r="D144" t="inlineStr"/>
      <c r="E144" s="5" t="n"/>
      <c r="F144" s="5" t="n"/>
      <c r="H144" s="5" t="n">
        <v>1</v>
      </c>
      <c r="I144" s="5" t="n">
        <v>1</v>
      </c>
      <c r="J144" s="5" t="n">
        <v>1</v>
      </c>
      <c r="W144" s="5" t="n">
        <v>3500</v>
      </c>
    </row>
    <row r="145">
      <c r="A145" t="inlineStr">
        <is>
          <t>tiberiansun</t>
        </is>
      </c>
      <c r="B145" t="inlineStr">
        <is>
          <t>cabal_upgrade_neuraluplink</t>
        </is>
      </c>
      <c r="C145" t="inlineStr">
        <is>
          <t>Neural Uplink</t>
        </is>
      </c>
      <c r="D145" t="inlineStr"/>
      <c r="E145" s="5" t="n"/>
      <c r="F145" s="5" t="n"/>
      <c r="H145" s="5" t="n">
        <v>1</v>
      </c>
      <c r="I145" s="5" t="n">
        <v>1</v>
      </c>
      <c r="J145" s="5" t="n">
        <v>1</v>
      </c>
      <c r="W145" s="5" t="n">
        <v>5000</v>
      </c>
    </row>
    <row r="146">
      <c r="A146" t="inlineStr">
        <is>
          <t>tiberiansun</t>
        </is>
      </c>
      <c r="B146" t="inlineStr">
        <is>
          <t>cabal_upgrade_neutronnuclearcatalyst</t>
        </is>
      </c>
      <c r="C146" t="inlineStr">
        <is>
          <t>Neutron Nuclear Catalyst</t>
        </is>
      </c>
      <c r="D146" t="inlineStr"/>
      <c r="E146" s="5" t="n"/>
      <c r="F146" s="5" t="n"/>
      <c r="H146" s="5" t="n">
        <v>1</v>
      </c>
      <c r="I146" s="5" t="n">
        <v>1</v>
      </c>
      <c r="J146" s="5" t="n">
        <v>1</v>
      </c>
      <c r="W146" s="5" t="n">
        <v>5000</v>
      </c>
    </row>
    <row r="147">
      <c r="A147" t="inlineStr">
        <is>
          <t>tiberiansun</t>
        </is>
      </c>
      <c r="B147" t="inlineStr">
        <is>
          <t>cabal_upgrade_overchargedservos</t>
        </is>
      </c>
      <c r="C147" t="inlineStr">
        <is>
          <t>Overcharged Servos</t>
        </is>
      </c>
      <c r="D147" t="inlineStr"/>
      <c r="E147" s="5" t="n"/>
      <c r="F147" s="5" t="n"/>
      <c r="H147" s="5" t="n">
        <v>1</v>
      </c>
      <c r="I147" s="5" t="n">
        <v>1</v>
      </c>
      <c r="J147" s="5" t="n">
        <v>1</v>
      </c>
      <c r="W147" s="5" t="n">
        <v>7500</v>
      </c>
    </row>
    <row r="148">
      <c r="A148" t="inlineStr">
        <is>
          <t>tiberiansun</t>
        </is>
      </c>
      <c r="B148" t="inlineStr">
        <is>
          <t>cabal_upgrade_radarhack</t>
        </is>
      </c>
      <c r="C148" t="inlineStr">
        <is>
          <t>Radar Hack</t>
        </is>
      </c>
      <c r="D148" t="inlineStr"/>
      <c r="E148" s="5" t="n"/>
      <c r="F148" s="5" t="n"/>
      <c r="H148" s="5" t="n">
        <v>1</v>
      </c>
      <c r="I148" s="5" t="n">
        <v>1</v>
      </c>
      <c r="J148" s="5" t="n">
        <v>1</v>
      </c>
      <c r="W148" s="5" t="n">
        <v>2500</v>
      </c>
    </row>
    <row r="149">
      <c r="A149" t="inlineStr">
        <is>
          <t>tiberiansun</t>
        </is>
      </c>
      <c r="B149" t="inlineStr">
        <is>
          <t>cabal_upgrade_reclamationprotocols</t>
        </is>
      </c>
      <c r="C149" t="inlineStr">
        <is>
          <t>Reclamation Protocols</t>
        </is>
      </c>
      <c r="D149" t="inlineStr"/>
      <c r="E149" s="5" t="n"/>
      <c r="F149" s="5" t="n"/>
      <c r="H149" s="5" t="n">
        <v>1</v>
      </c>
      <c r="I149" s="5" t="n">
        <v>1</v>
      </c>
      <c r="J149" s="5" t="n">
        <v>1</v>
      </c>
      <c r="W149" s="5" t="n">
        <v>5000</v>
      </c>
    </row>
    <row r="150">
      <c r="A150" t="inlineStr">
        <is>
          <t>tiberiansun</t>
        </is>
      </c>
      <c r="B150" t="inlineStr">
        <is>
          <t>cabal_upgrade_reinforcedchassis</t>
        </is>
      </c>
      <c r="C150" t="inlineStr">
        <is>
          <t>Reinforced Chassis</t>
        </is>
      </c>
      <c r="D150" t="inlineStr"/>
      <c r="E150" s="5" t="n"/>
      <c r="F150" s="5" t="n"/>
      <c r="H150" s="5" t="n">
        <v>1</v>
      </c>
      <c r="I150" s="5" t="n">
        <v>1</v>
      </c>
      <c r="J150" s="5" t="n">
        <v>1</v>
      </c>
      <c r="W150" s="5" t="n">
        <v>7500</v>
      </c>
    </row>
    <row r="151">
      <c r="A151" s="3" t="inlineStr">
        <is>
          <t>PROMOTIONS</t>
        </is>
      </c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>
      <c r="A152" t="inlineStr">
        <is>
          <t>tiberiansun</t>
        </is>
      </c>
      <c r="B152" t="inlineStr">
        <is>
          <t>cabal_promotion_ascended</t>
        </is>
      </c>
      <c r="C152" t="inlineStr">
        <is>
          <t>Unlock Ascended</t>
        </is>
      </c>
      <c r="D152" t="inlineStr"/>
      <c r="E152" s="5" t="n"/>
      <c r="F152" s="5" t="n"/>
      <c r="H152" s="5" t="n">
        <v>1</v>
      </c>
      <c r="I152" s="5" t="n">
        <v>1</v>
      </c>
      <c r="J152" s="5" t="n">
        <v>1</v>
      </c>
      <c r="W152" s="5" t="n"/>
    </row>
    <row r="153">
      <c r="A153" t="inlineStr">
        <is>
          <t>tiberiansun</t>
        </is>
      </c>
      <c r="B153" t="inlineStr">
        <is>
          <t>cabal_promotion_beholder</t>
        </is>
      </c>
      <c r="C153" t="inlineStr">
        <is>
          <t>Unlock Beholder</t>
        </is>
      </c>
      <c r="D153" t="inlineStr"/>
      <c r="E153" s="5" t="n"/>
      <c r="F153" s="5" t="n"/>
      <c r="H153" s="5" t="n">
        <v>1</v>
      </c>
      <c r="I153" s="5" t="n">
        <v>1</v>
      </c>
      <c r="J153" s="5" t="n">
        <v>1</v>
      </c>
      <c r="W153" s="5" t="n"/>
    </row>
    <row r="154">
      <c r="A154" t="inlineStr">
        <is>
          <t>tiberiansun</t>
        </is>
      </c>
      <c r="B154" t="inlineStr">
        <is>
          <t>cabal_promotion_coredefender</t>
        </is>
      </c>
      <c r="C154" t="inlineStr">
        <is>
          <t>Unlock Core Defender</t>
        </is>
      </c>
      <c r="D154" t="inlineStr"/>
      <c r="E154" s="5" t="n"/>
      <c r="F154" s="5" t="n"/>
      <c r="H154" s="5" t="n">
        <v>1</v>
      </c>
      <c r="I154" s="5" t="n">
        <v>1</v>
      </c>
      <c r="J154" s="5" t="n">
        <v>1</v>
      </c>
      <c r="W154" s="5" t="n"/>
    </row>
    <row r="155">
      <c r="A155" t="inlineStr">
        <is>
          <t>tiberiansun</t>
        </is>
      </c>
      <c r="B155" t="inlineStr">
        <is>
          <t>cabal_promotion_cyborgassassin</t>
        </is>
      </c>
      <c r="C155" t="inlineStr">
        <is>
          <t>Unlock Cyborg Assassin</t>
        </is>
      </c>
      <c r="D155" t="inlineStr"/>
      <c r="E155" s="5" t="n"/>
      <c r="F155" s="5" t="n"/>
      <c r="H155" s="5" t="n">
        <v>1</v>
      </c>
      <c r="I155" s="5" t="n">
        <v>1</v>
      </c>
      <c r="J155" s="5" t="n">
        <v>1</v>
      </c>
      <c r="W155" s="5" t="n"/>
    </row>
    <row r="156">
      <c r="A156" t="inlineStr">
        <is>
          <t>tiberiansun</t>
        </is>
      </c>
      <c r="B156" t="inlineStr">
        <is>
          <t>cabal_promotion_cyborgcommandov2</t>
        </is>
      </c>
      <c r="C156" t="inlineStr">
        <is>
          <t>Unlock Cyborg Commando V2</t>
        </is>
      </c>
      <c r="D156" t="inlineStr"/>
      <c r="E156" s="5" t="n"/>
      <c r="F156" s="5" t="n"/>
      <c r="H156" s="5" t="n">
        <v>1</v>
      </c>
      <c r="I156" s="5" t="n">
        <v>1</v>
      </c>
      <c r="J156" s="5" t="n">
        <v>1</v>
      </c>
      <c r="W156" s="5" t="n"/>
    </row>
    <row r="157">
      <c r="A157" t="inlineStr">
        <is>
          <t>tiberiansun</t>
        </is>
      </c>
      <c r="B157" t="inlineStr">
        <is>
          <t>cabal_promotion_devout</t>
        </is>
      </c>
      <c r="C157" t="inlineStr">
        <is>
          <t>Unlock Devout</t>
        </is>
      </c>
      <c r="D157" t="inlineStr"/>
      <c r="E157" s="5" t="n"/>
      <c r="F157" s="5" t="n"/>
      <c r="H157" s="5" t="n">
        <v>1</v>
      </c>
      <c r="I157" s="5" t="n">
        <v>1</v>
      </c>
      <c r="J157" s="5" t="n">
        <v>1</v>
      </c>
      <c r="W157" s="5" t="n"/>
    </row>
    <row r="158">
      <c r="A158" t="inlineStr">
        <is>
          <t>tiberiansun</t>
        </is>
      </c>
      <c r="B158" t="inlineStr">
        <is>
          <t>cabal_promotion_hunterdronecarrier</t>
        </is>
      </c>
      <c r="C158" t="inlineStr">
        <is>
          <t>Unlock Hunter Drone Carrier</t>
        </is>
      </c>
      <c r="D158" t="inlineStr"/>
      <c r="E158" s="5" t="n"/>
      <c r="F158" s="5" t="n"/>
      <c r="H158" s="5" t="n">
        <v>1</v>
      </c>
      <c r="I158" s="5" t="n">
        <v>1</v>
      </c>
      <c r="J158" s="5" t="n">
        <v>1</v>
      </c>
      <c r="W158" s="5" t="n"/>
    </row>
    <row r="159">
      <c r="A159" t="inlineStr">
        <is>
          <t>tiberiansun</t>
        </is>
      </c>
      <c r="B159" t="inlineStr">
        <is>
          <t>cabal_promotion_manticore</t>
        </is>
      </c>
      <c r="C159" t="inlineStr">
        <is>
          <t>Unlock Heavy Reaper</t>
        </is>
      </c>
      <c r="D159" t="inlineStr"/>
      <c r="E159" s="5" t="n"/>
      <c r="F159" s="5" t="n"/>
      <c r="H159" s="5" t="n">
        <v>1</v>
      </c>
      <c r="I159" s="5" t="n">
        <v>1</v>
      </c>
      <c r="J159" s="5" t="n">
        <v>1</v>
      </c>
      <c r="W159" s="5" t="n"/>
    </row>
    <row r="160">
      <c r="A160" t="inlineStr">
        <is>
          <t>tiberiansun</t>
        </is>
      </c>
      <c r="B160" t="inlineStr">
        <is>
          <t>cabal_promotion_mothership</t>
        </is>
      </c>
      <c r="C160" t="inlineStr">
        <is>
          <t>Unlock Mothership</t>
        </is>
      </c>
      <c r="D160" t="inlineStr"/>
      <c r="E160" s="5" t="n"/>
      <c r="F160" s="5" t="n"/>
      <c r="H160" s="5" t="n">
        <v>1</v>
      </c>
      <c r="I160" s="5" t="n">
        <v>1</v>
      </c>
      <c r="J160" s="5" t="n">
        <v>1</v>
      </c>
      <c r="W160" s="5" t="n"/>
    </row>
    <row r="161">
      <c r="A161" t="inlineStr">
        <is>
          <t>tiberiansun</t>
        </is>
      </c>
      <c r="B161" t="inlineStr">
        <is>
          <t>cabal_promotion_overkillgunship</t>
        </is>
      </c>
      <c r="C161" t="inlineStr">
        <is>
          <t>Unlock Overkill Gunship</t>
        </is>
      </c>
      <c r="D161" t="inlineStr"/>
      <c r="E161" s="5" t="n"/>
      <c r="F161" s="5" t="n"/>
      <c r="H161" s="5" t="n">
        <v>1</v>
      </c>
      <c r="I161" s="5" t="n">
        <v>1</v>
      </c>
      <c r="J161" s="5" t="n">
        <v>1</v>
      </c>
      <c r="W161" s="5" t="n"/>
    </row>
    <row r="162">
      <c r="A162" t="inlineStr">
        <is>
          <t>tiberiansun</t>
        </is>
      </c>
      <c r="B162" t="inlineStr">
        <is>
          <t>cabal_promotion_spidercnc4</t>
        </is>
      </c>
      <c r="C162" t="inlineStr">
        <is>
          <t>Unlock Spider CNC4</t>
        </is>
      </c>
      <c r="D162" t="inlineStr"/>
      <c r="E162" s="5" t="n"/>
      <c r="F162" s="5" t="n"/>
      <c r="H162" s="5" t="n">
        <v>1</v>
      </c>
      <c r="I162" s="5" t="n">
        <v>1</v>
      </c>
      <c r="J162" s="5" t="n">
        <v>1</v>
      </c>
      <c r="W162" s="5" t="n"/>
    </row>
    <row r="163">
      <c r="A163" t="inlineStr">
        <is>
          <t>tiberiansun</t>
        </is>
      </c>
      <c r="B163" t="inlineStr">
        <is>
          <t>cabal_promotion_widow</t>
        </is>
      </c>
      <c r="C163" t="inlineStr">
        <is>
          <t>Unlock Widow</t>
        </is>
      </c>
      <c r="D163" t="inlineStr"/>
      <c r="E163" s="5" t="n"/>
      <c r="F163" s="5" t="n"/>
      <c r="H163" s="5" t="n">
        <v>1</v>
      </c>
      <c r="I163" s="5" t="n">
        <v>1</v>
      </c>
      <c r="J163" s="5" t="n">
        <v>1</v>
      </c>
      <c r="W163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164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23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tiberiansun</t>
        </is>
      </c>
      <c r="B3" t="inlineStr">
        <is>
          <t>forgotten_chemsprayinfantry</t>
        </is>
      </c>
      <c r="C3" t="inlineStr">
        <is>
          <t>actor_forgotten_chemsprayinfantry.name</t>
        </is>
      </c>
      <c r="D3" t="inlineStr"/>
      <c r="E3" s="5" t="n">
        <v>64000</v>
      </c>
      <c r="F3" s="5" t="n">
        <v>55</v>
      </c>
      <c r="G3" t="inlineStr">
        <is>
          <t>Plate</t>
        </is>
      </c>
      <c r="H3" s="5" t="n">
        <v>1</v>
      </c>
      <c r="I3" s="5" t="n">
        <v>1</v>
      </c>
      <c r="J3" s="5" t="n">
        <v>1</v>
      </c>
      <c r="O3">
        <f>MAX(O4,O5)</f>
        <v/>
      </c>
      <c r="R3">
        <f>R4+R5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700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TSChemspray</t>
        </is>
      </c>
      <c r="C4" s="6" t="inlineStr">
        <is>
          <t>Armament@PRIMARY</t>
        </is>
      </c>
      <c r="K4" s="5" t="n">
        <v>32000</v>
      </c>
      <c r="L4" s="5" t="n">
        <v>55</v>
      </c>
      <c r="M4" s="5" t="n">
        <v>1</v>
      </c>
      <c r="N4" s="5" t="n"/>
      <c r="O4" s="5" t="n">
        <v>3183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^LightChemicalWeapon, ^MediumChemicalWeapon</t>
        </is>
      </c>
    </row>
    <row r="5">
      <c r="B5" s="6" t="inlineStr">
        <is>
          <t xml:space="preserve">  ↳ TSChemsprayUp</t>
        </is>
      </c>
      <c r="C5" s="6" t="inlineStr">
        <is>
          <t>Armament@UPGRADE</t>
        </is>
      </c>
      <c r="K5" s="5" t="n">
        <v>32000</v>
      </c>
      <c r="L5" s="5" t="n">
        <v>55</v>
      </c>
      <c r="M5" s="5" t="n">
        <v>1</v>
      </c>
      <c r="N5" s="5" t="n"/>
      <c r="O5" s="5" t="n">
        <v>3183</v>
      </c>
      <c r="P5" s="5" t="n">
        <v>1</v>
      </c>
      <c r="Q5">
        <f>L5+IF(M5&gt;1,N(N5)*(M5-1),0)</f>
        <v/>
      </c>
      <c r="R5">
        <f>IFERROR(K5*MAX(M5,1)/Q5*P5,0)</f>
        <v/>
      </c>
      <c r="AA5" s="6" t="inlineStr">
        <is>
          <t>^LightChemicalWeapon, ^MediumChemicalWeapon, ^HeavyChemicalWeapon</t>
        </is>
      </c>
    </row>
    <row r="6">
      <c r="B6" s="6" t="inlineStr">
        <is>
          <t xml:space="preserve">  ↳ TSChemspray</t>
        </is>
      </c>
      <c r="C6" s="6" t="inlineStr">
        <is>
          <t>Armament@GARRISONED</t>
        </is>
      </c>
      <c r="K6" s="5" t="n">
        <v>32000</v>
      </c>
      <c r="L6" s="5" t="n">
        <v>55</v>
      </c>
      <c r="M6" s="5" t="n">
        <v>1</v>
      </c>
      <c r="N6" s="5" t="n"/>
      <c r="O6" s="5" t="n">
        <v>3183</v>
      </c>
      <c r="P6" s="5" t="n">
        <v>1</v>
      </c>
      <c r="Q6">
        <f>L6+IF(M6&gt;1,N(N6)*(M6-1),0)</f>
        <v/>
      </c>
      <c r="R6">
        <f>IFERROR(K6*MAX(M6,1)/Q6*P6,0)</f>
        <v/>
      </c>
      <c r="AA6" s="6" t="inlineStr">
        <is>
          <t>^LightChemicalWeapon, ^MediumChemicalWeapon</t>
        </is>
      </c>
    </row>
    <row r="7">
      <c r="B7" s="6" t="inlineStr">
        <is>
          <t xml:space="preserve">  ↳ TSChemsprayUP</t>
        </is>
      </c>
      <c r="C7" s="6" t="inlineStr">
        <is>
          <t>Armament@GARRISONEDUPGRADE</t>
        </is>
      </c>
      <c r="K7" s="5" t="n">
        <v>32000</v>
      </c>
      <c r="L7" s="5" t="n">
        <v>55</v>
      </c>
      <c r="M7" s="5" t="n">
        <v>1</v>
      </c>
      <c r="N7" s="5" t="n"/>
      <c r="O7" s="5" t="n">
        <v>3183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^LightChemicalWeapon, ^MediumChemicalWeapon, ^HeavyChemicalWeapon</t>
        </is>
      </c>
    </row>
    <row r="8">
      <c r="A8" t="inlineStr">
        <is>
          <t>tiberiansun</t>
        </is>
      </c>
      <c r="B8" t="inlineStr">
        <is>
          <t>forgotten_engineer</t>
        </is>
      </c>
      <c r="C8" t="inlineStr">
        <is>
          <t>actor_forgotten_engineer.name</t>
        </is>
      </c>
      <c r="D8" t="inlineStr"/>
      <c r="E8" s="5" t="n">
        <v>10000</v>
      </c>
      <c r="F8" s="5" t="n">
        <v>55</v>
      </c>
      <c r="G8" t="inlineStr">
        <is>
          <t>Flak</t>
        </is>
      </c>
      <c r="H8" s="5" t="n">
        <v>1</v>
      </c>
      <c r="I8" s="5" t="n">
        <v>1</v>
      </c>
      <c r="J8" s="5" t="n">
        <v>1</v>
      </c>
      <c r="O8">
        <f>MAX(O9,O10,O11)</f>
        <v/>
      </c>
      <c r="R8">
        <f>R9+R10+R11</f>
        <v/>
      </c>
      <c r="S8">
        <f>(E8/100000+F8/100+(O8/1000)*J8/5+R8/200)*200*I8*H8</f>
        <v/>
      </c>
      <c r="T8">
        <f>((E8*F8/25000)+((O8/1000)*J8*R8/2.5))*I8*H8</f>
        <v/>
      </c>
      <c r="U8">
        <f>(E8*F8*(O8/1000)*J8*R8*I8*H8)/12500000</f>
        <v/>
      </c>
      <c r="V8">
        <f>(S8+T8+U8)/3</f>
        <v/>
      </c>
      <c r="W8" s="5" t="n">
        <v>600</v>
      </c>
      <c r="X8">
        <f>IFERROR(V8-W8,"")</f>
        <v/>
      </c>
      <c r="Y8">
        <f>IFERROR(ABS(X8)/MAX(W8,1),"")</f>
        <v/>
      </c>
      <c r="Z8">
        <f>IFERROR((W8-(((E8/100000+F8/100+R8/200)*200*I8*H8)+((E8*F8/25000)*I8*H8))/3)/(((J8/5)*200*I8*H8)+((J8*R8/2.5)*I8*H8)+((E8*F8*J8*R8*I8*H8)/12500000))/3*1000,"")</f>
        <v/>
      </c>
    </row>
    <row r="9">
      <c r="B9" s="6" t="inlineStr">
        <is>
          <t xml:space="preserve">  ↳ DefuseKit</t>
        </is>
      </c>
      <c r="C9" s="6" t="inlineStr">
        <is>
          <t>Armament@defuse</t>
        </is>
      </c>
      <c r="K9" s="5" t="n"/>
      <c r="L9" s="5" t="n">
        <v>20</v>
      </c>
      <c r="M9" s="5" t="n">
        <v>1</v>
      </c>
      <c r="N9" s="5" t="n"/>
      <c r="O9" s="5" t="n">
        <v>1536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>
        <is>
          <t>^RemovesIvanBombs, ^RemovesTerrorDrone</t>
        </is>
      </c>
    </row>
    <row r="10">
      <c r="B10" s="6" t="inlineStr">
        <is>
          <t xml:space="preserve">  ↳ LeechDisinfect</t>
        </is>
      </c>
      <c r="C10" s="6" t="inlineStr">
        <is>
          <t>Armament@leechdisinfect</t>
        </is>
      </c>
      <c r="K10" s="5" t="n"/>
      <c r="L10" s="5" t="n">
        <v>100</v>
      </c>
      <c r="M10" s="5" t="n">
        <v>1</v>
      </c>
      <c r="N10" s="5" t="n"/>
      <c r="O10" s="5" t="n">
        <v>1536</v>
      </c>
      <c r="P10" s="5" t="n">
        <v>1</v>
      </c>
      <c r="Q10">
        <f>L10+IF(M10&gt;1,N(N10)*(M10-1),0)</f>
        <v/>
      </c>
      <c r="R10">
        <f>IFERROR(K10*MAX(M10,1)/Q10*P10,0)</f>
        <v/>
      </c>
      <c r="AA10" s="6" t="inlineStr"/>
    </row>
    <row r="11">
      <c r="B11" s="6" t="inlineStr">
        <is>
          <t xml:space="preserve">  ↳ TSEngineerPistol</t>
        </is>
      </c>
      <c r="C11" s="6" t="inlineStr">
        <is>
          <t>Armament@PRIMARY</t>
        </is>
      </c>
      <c r="K11" s="5" t="n">
        <v>20000</v>
      </c>
      <c r="L11" s="5" t="n">
        <v>25</v>
      </c>
      <c r="M11" s="5" t="n">
        <v>1</v>
      </c>
      <c r="N11" s="5" t="n"/>
      <c r="O11" s="5" t="n">
        <v>4303</v>
      </c>
      <c r="P11" s="5" t="n">
        <v>1</v>
      </c>
      <c r="Q11">
        <f>L11+IF(M11&gt;1,N(N11)*(M11-1),0)</f>
        <v/>
      </c>
      <c r="R11">
        <f>IFERROR(K11*MAX(M11,1)/Q11*P11,0)</f>
        <v/>
      </c>
      <c r="AA11" s="6" t="inlineStr">
        <is>
          <t>^SniperWeapon</t>
        </is>
      </c>
    </row>
    <row r="12">
      <c r="B12" s="6" t="inlineStr">
        <is>
          <t xml:space="preserve">  ↳ TSEngineerPistol</t>
        </is>
      </c>
      <c r="C12" s="6" t="inlineStr">
        <is>
          <t>Armament@GARRISONED</t>
        </is>
      </c>
      <c r="K12" s="5" t="n">
        <v>20000</v>
      </c>
      <c r="L12" s="5" t="n">
        <v>25</v>
      </c>
      <c r="M12" s="5" t="n">
        <v>1</v>
      </c>
      <c r="N12" s="5" t="n"/>
      <c r="O12" s="5" t="n">
        <v>4303</v>
      </c>
      <c r="P12" s="5" t="n">
        <v>1</v>
      </c>
      <c r="Q12">
        <f>L12+IF(M12&gt;1,N(N12)*(M12-1),0)</f>
        <v/>
      </c>
      <c r="R12">
        <f>IFERROR(K12*MAX(M12,1)/Q12*P12,0)</f>
        <v/>
      </c>
      <c r="AA12" s="6" t="inlineStr">
        <is>
          <t>^SniperWeapon</t>
        </is>
      </c>
    </row>
    <row r="13">
      <c r="A13" t="inlineStr">
        <is>
          <t>tiberiansun</t>
        </is>
      </c>
      <c r="B13" t="inlineStr">
        <is>
          <t>forgotten_ghoststalker</t>
        </is>
      </c>
      <c r="C13" t="inlineStr">
        <is>
          <t>actor_forgotten_ghoststalker.name</t>
        </is>
      </c>
      <c r="D13" t="inlineStr"/>
      <c r="E13" s="5" t="n">
        <v>100000</v>
      </c>
      <c r="F13" s="5" t="n">
        <v>62</v>
      </c>
      <c r="G13" t="inlineStr">
        <is>
          <t>Heroic</t>
        </is>
      </c>
      <c r="H13" s="5" t="n">
        <v>1</v>
      </c>
      <c r="I13" s="5" t="n">
        <v>1</v>
      </c>
      <c r="J13" s="5" t="n">
        <v>1</v>
      </c>
      <c r="O13">
        <f>MAX(O14,O15,O16)</f>
        <v/>
      </c>
      <c r="R13">
        <f>R14+R15+R16</f>
        <v/>
      </c>
      <c r="S13">
        <f>(E13/100000+F13/100+(O13/1000)*J13/5+R13/200)*200*I13*H13</f>
        <v/>
      </c>
      <c r="T13">
        <f>((E13*F13/25000)+((O13/1000)*J13*R13/2.5))*I13*H13</f>
        <v/>
      </c>
      <c r="U13">
        <f>(E13*F13*(O13/1000)*J13*R13*I13*H13)/12500000</f>
        <v/>
      </c>
      <c r="V13">
        <f>(S13+T13+U13)/3</f>
        <v/>
      </c>
      <c r="W13" s="5" t="n">
        <v>4000</v>
      </c>
      <c r="X13">
        <f>IFERROR(V13-W13,"")</f>
        <v/>
      </c>
      <c r="Y13">
        <f>IFERROR(ABS(X13)/MAX(W13,1),"")</f>
        <v/>
      </c>
      <c r="Z13">
        <f>IFERROR((W13-(((E13/100000+F13/100+R13/200)*200*I13*H13)+((E13*F13/25000)*I13*H13))/3)/(((J13/5)*200*I13*H13)+((J13*R13/2.5)*I13*H13)+((E13*F13*J13*R13*I13*H13)/12500000))/3*1000,"")</f>
        <v/>
      </c>
    </row>
    <row r="14">
      <c r="B14" s="6" t="inlineStr">
        <is>
          <t xml:space="preserve">  ↳ TSGhostGun</t>
        </is>
      </c>
      <c r="C14" s="6" t="inlineStr">
        <is>
          <t>Armament@PRIMARY</t>
        </is>
      </c>
      <c r="K14" s="5" t="n">
        <v>20000</v>
      </c>
      <c r="L14" s="5" t="n">
        <v>25</v>
      </c>
      <c r="M14" s="5" t="n">
        <v>1</v>
      </c>
      <c r="N14" s="5" t="n"/>
      <c r="O14" s="5" t="n">
        <v>9557</v>
      </c>
      <c r="P14" s="5" t="n">
        <v>1</v>
      </c>
      <c r="Q14">
        <f>L14+IF(M14&gt;1,N(N14)*(M14-1),0)</f>
        <v/>
      </c>
      <c r="R14">
        <f>IFERROR(K14*MAX(M14,1)/Q14*P14,0)</f>
        <v/>
      </c>
      <c r="AA14" s="6" t="inlineStr">
        <is>
          <t>^LightChemicalWeapon</t>
        </is>
      </c>
    </row>
    <row r="15">
      <c r="B15" s="6" t="inlineStr">
        <is>
          <t xml:space="preserve">  ↳ TSChemGhostGun</t>
        </is>
      </c>
      <c r="C15" s="6" t="inlineStr">
        <is>
          <t>Armament@UPGRADE</t>
        </is>
      </c>
      <c r="K15" s="5" t="n">
        <v>20000</v>
      </c>
      <c r="L15" s="5" t="n">
        <v>25</v>
      </c>
      <c r="M15" s="5" t="n">
        <v>1</v>
      </c>
      <c r="N15" s="5" t="n"/>
      <c r="O15" s="5" t="n">
        <v>9557</v>
      </c>
      <c r="P15" s="5" t="n">
        <v>1</v>
      </c>
      <c r="Q15">
        <f>L15+IF(M15&gt;1,N(N15)*(M15-1),0)</f>
        <v/>
      </c>
      <c r="R15">
        <f>IFERROR(K15*MAX(M15,1)/Q15*P15,0)</f>
        <v/>
      </c>
      <c r="AA15" s="6" t="inlineStr">
        <is>
          <t>^LightChemicalWeapon, ^MediumChemicalWeapon</t>
        </is>
      </c>
    </row>
    <row r="16">
      <c r="B16" s="6" t="inlineStr">
        <is>
          <t xml:space="preserve">  ↳ GenericC4</t>
        </is>
      </c>
      <c r="C16" s="6" t="inlineStr">
        <is>
          <t>Armament@c4</t>
        </is>
      </c>
      <c r="K16" s="5" t="n"/>
      <c r="L16" s="5" t="n">
        <v>20</v>
      </c>
      <c r="M16" s="5" t="n">
        <v>1</v>
      </c>
      <c r="N16" s="5" t="n"/>
      <c r="O16" s="5" t="n">
        <v>2000</v>
      </c>
      <c r="P16" s="5" t="n">
        <v>1</v>
      </c>
      <c r="Q16">
        <f>L16+IF(M16&gt;1,N(N16)*(M16-1),0)</f>
        <v/>
      </c>
      <c r="R16">
        <f>IFERROR(K16*MAX(M16,1)/Q16*P16,0)</f>
        <v/>
      </c>
      <c r="AA16" s="6" t="inlineStr"/>
    </row>
    <row r="17">
      <c r="B17" s="6" t="inlineStr">
        <is>
          <t xml:space="preserve">  ↳ TSGhostGun</t>
        </is>
      </c>
      <c r="C17" s="6" t="inlineStr">
        <is>
          <t>Armament@GARRISONED</t>
        </is>
      </c>
      <c r="K17" s="5" t="n">
        <v>20000</v>
      </c>
      <c r="L17" s="5" t="n">
        <v>25</v>
      </c>
      <c r="M17" s="5" t="n">
        <v>1</v>
      </c>
      <c r="N17" s="5" t="n"/>
      <c r="O17" s="5" t="n">
        <v>9557</v>
      </c>
      <c r="P17" s="5" t="n">
        <v>1</v>
      </c>
      <c r="Q17">
        <f>L17+IF(M17&gt;1,N(N17)*(M17-1),0)</f>
        <v/>
      </c>
      <c r="R17">
        <f>IFERROR(K17*MAX(M17,1)/Q17*P17,0)</f>
        <v/>
      </c>
      <c r="AA17" s="6" t="inlineStr">
        <is>
          <t>^LightChemicalWeapon</t>
        </is>
      </c>
    </row>
    <row r="18">
      <c r="B18" s="6" t="inlineStr">
        <is>
          <t xml:space="preserve">  ↳ TSChemGhostGun</t>
        </is>
      </c>
      <c r="C18" s="6" t="inlineStr">
        <is>
          <t>Armament@UPGRADEGARRISONED</t>
        </is>
      </c>
      <c r="K18" s="5" t="n">
        <v>20000</v>
      </c>
      <c r="L18" s="5" t="n">
        <v>25</v>
      </c>
      <c r="M18" s="5" t="n">
        <v>1</v>
      </c>
      <c r="N18" s="5" t="n"/>
      <c r="O18" s="5" t="n">
        <v>9557</v>
      </c>
      <c r="P18" s="5" t="n">
        <v>1</v>
      </c>
      <c r="Q18">
        <f>L18+IF(M18&gt;1,N(N18)*(M18-1),0)</f>
        <v/>
      </c>
      <c r="R18">
        <f>IFERROR(K18*MAX(M18,1)/Q18*P18,0)</f>
        <v/>
      </c>
      <c r="AA18" s="6" t="inlineStr">
        <is>
          <t>^LightChemicalWeapon, ^MediumChemicalWeapon</t>
        </is>
      </c>
    </row>
    <row r="19">
      <c r="A19" t="inlineStr">
        <is>
          <t>tiberiansun</t>
        </is>
      </c>
      <c r="B19" t="inlineStr">
        <is>
          <t>forgotten_ghoststalker_r4</t>
        </is>
      </c>
      <c r="C19" t="inlineStr">
        <is>
          <t>actor_forgotten_ghoststalker.name</t>
        </is>
      </c>
      <c r="D19" t="inlineStr"/>
      <c r="E19" s="5" t="n">
        <v>100000</v>
      </c>
      <c r="F19" s="5" t="n">
        <v>62</v>
      </c>
      <c r="G19" t="inlineStr">
        <is>
          <t>Heroic</t>
        </is>
      </c>
      <c r="H19" s="5" t="n">
        <v>1</v>
      </c>
      <c r="I19" s="5" t="n">
        <v>1</v>
      </c>
      <c r="J19" s="5" t="n">
        <v>1</v>
      </c>
      <c r="O19">
        <f>MAX(O20,O21,O22)</f>
        <v/>
      </c>
      <c r="R19">
        <f>R20+R21+R22</f>
        <v/>
      </c>
      <c r="S19">
        <f>(E19/100000+F19/100+(O19/1000)*J19/5+R19/200)*200*I19*H19</f>
        <v/>
      </c>
      <c r="T19">
        <f>((E19*F19/25000)+((O19/1000)*J19*R19/2.5))*I19*H19</f>
        <v/>
      </c>
      <c r="U19">
        <f>(E19*F19*(O19/1000)*J19*R19*I19*H19)/12500000</f>
        <v/>
      </c>
      <c r="V19">
        <f>(S19+T19+U19)/3</f>
        <v/>
      </c>
      <c r="W19" s="5" t="n">
        <v>4000</v>
      </c>
      <c r="X19">
        <f>IFERROR(V19-W19,"")</f>
        <v/>
      </c>
      <c r="Y19">
        <f>IFERROR(ABS(X19)/MAX(W19,1),"")</f>
        <v/>
      </c>
      <c r="Z19">
        <f>IFERROR((W19-(((E19/100000+F19/100+R19/200)*200*I19*H19)+((E19*F19/25000)*I19*H19))/3)/(((J19/5)*200*I19*H19)+((J19*R19/2.5)*I19*H19)+((E19*F19*J19*R19*I19*H19)/12500000))/3*1000,"")</f>
        <v/>
      </c>
    </row>
    <row r="20">
      <c r="B20" s="6" t="inlineStr">
        <is>
          <t xml:space="preserve">  ↳ TSGhostGun</t>
        </is>
      </c>
      <c r="C20" s="6" t="inlineStr">
        <is>
          <t>Armament@PRIMARY</t>
        </is>
      </c>
      <c r="K20" s="5" t="n">
        <v>20000</v>
      </c>
      <c r="L20" s="5" t="n">
        <v>25</v>
      </c>
      <c r="M20" s="5" t="n">
        <v>1</v>
      </c>
      <c r="N20" s="5" t="n"/>
      <c r="O20" s="5" t="n">
        <v>9557</v>
      </c>
      <c r="P20" s="5" t="n">
        <v>1</v>
      </c>
      <c r="Q20">
        <f>L20+IF(M20&gt;1,N(N20)*(M20-1),0)</f>
        <v/>
      </c>
      <c r="R20">
        <f>IFERROR(K20*MAX(M20,1)/Q20*P20,0)</f>
        <v/>
      </c>
      <c r="AA20" s="6" t="inlineStr">
        <is>
          <t>^LightChemicalWeapon</t>
        </is>
      </c>
    </row>
    <row r="21">
      <c r="B21" s="6" t="inlineStr">
        <is>
          <t xml:space="preserve">  ↳ TSChemGhostGun</t>
        </is>
      </c>
      <c r="C21" s="6" t="inlineStr">
        <is>
          <t>Armament@UPGRADE</t>
        </is>
      </c>
      <c r="K21" s="5" t="n">
        <v>20000</v>
      </c>
      <c r="L21" s="5" t="n">
        <v>25</v>
      </c>
      <c r="M21" s="5" t="n">
        <v>1</v>
      </c>
      <c r="N21" s="5" t="n"/>
      <c r="O21" s="5" t="n">
        <v>9557</v>
      </c>
      <c r="P21" s="5" t="n">
        <v>1</v>
      </c>
      <c r="Q21">
        <f>L21+IF(M21&gt;1,N(N21)*(M21-1),0)</f>
        <v/>
      </c>
      <c r="R21">
        <f>IFERROR(K21*MAX(M21,1)/Q21*P21,0)</f>
        <v/>
      </c>
      <c r="AA21" s="6" t="inlineStr">
        <is>
          <t>^LightChemicalWeapon, ^MediumChemicalWeapon</t>
        </is>
      </c>
    </row>
    <row r="22">
      <c r="B22" s="6" t="inlineStr">
        <is>
          <t xml:space="preserve">  ↳ GenericC4</t>
        </is>
      </c>
      <c r="C22" s="6" t="inlineStr">
        <is>
          <t>Armament@c4</t>
        </is>
      </c>
      <c r="K22" s="5" t="n"/>
      <c r="L22" s="5" t="n">
        <v>20</v>
      </c>
      <c r="M22" s="5" t="n">
        <v>1</v>
      </c>
      <c r="N22" s="5" t="n"/>
      <c r="O22" s="5" t="n">
        <v>2000</v>
      </c>
      <c r="P22" s="5" t="n">
        <v>1</v>
      </c>
      <c r="Q22">
        <f>L22+IF(M22&gt;1,N(N22)*(M22-1),0)</f>
        <v/>
      </c>
      <c r="R22">
        <f>IFERROR(K22*MAX(M22,1)/Q22*P22,0)</f>
        <v/>
      </c>
      <c r="AA22" s="6" t="inlineStr"/>
    </row>
    <row r="23">
      <c r="B23" s="6" t="inlineStr">
        <is>
          <t xml:space="preserve">  ↳ TSGhostGun</t>
        </is>
      </c>
      <c r="C23" s="6" t="inlineStr">
        <is>
          <t>Armament@GARRISONED</t>
        </is>
      </c>
      <c r="K23" s="5" t="n">
        <v>20000</v>
      </c>
      <c r="L23" s="5" t="n">
        <v>25</v>
      </c>
      <c r="M23" s="5" t="n">
        <v>1</v>
      </c>
      <c r="N23" s="5" t="n"/>
      <c r="O23" s="5" t="n">
        <v>9557</v>
      </c>
      <c r="P23" s="5" t="n">
        <v>1</v>
      </c>
      <c r="Q23">
        <f>L23+IF(M23&gt;1,N(N23)*(M23-1),0)</f>
        <v/>
      </c>
      <c r="R23">
        <f>IFERROR(K23*MAX(M23,1)/Q23*P23,0)</f>
        <v/>
      </c>
      <c r="AA23" s="6" t="inlineStr">
        <is>
          <t>^LightChemicalWeapon</t>
        </is>
      </c>
    </row>
    <row r="24">
      <c r="B24" s="6" t="inlineStr">
        <is>
          <t xml:space="preserve">  ↳ TSChemGhostGun</t>
        </is>
      </c>
      <c r="C24" s="6" t="inlineStr">
        <is>
          <t>Armament@UPGRADEGARRISONED</t>
        </is>
      </c>
      <c r="K24" s="5" t="n">
        <v>20000</v>
      </c>
      <c r="L24" s="5" t="n">
        <v>25</v>
      </c>
      <c r="M24" s="5" t="n">
        <v>1</v>
      </c>
      <c r="N24" s="5" t="n"/>
      <c r="O24" s="5" t="n">
        <v>9557</v>
      </c>
      <c r="P24" s="5" t="n">
        <v>1</v>
      </c>
      <c r="Q24">
        <f>L24+IF(M24&gt;1,N(N24)*(M24-1),0)</f>
        <v/>
      </c>
      <c r="R24">
        <f>IFERROR(K24*MAX(M24,1)/Q24*P24,0)</f>
        <v/>
      </c>
      <c r="AA24" s="6" t="inlineStr">
        <is>
          <t>^LightChemicalWeapon, ^MediumChemicalWeapon</t>
        </is>
      </c>
    </row>
    <row r="25">
      <c r="A25" t="inlineStr">
        <is>
          <t>tiberiansun</t>
        </is>
      </c>
      <c r="B25" t="inlineStr">
        <is>
          <t>forgotten_ghoststalker_sp</t>
        </is>
      </c>
      <c r="C25" t="inlineStr">
        <is>
          <t>actor_forgotten_ghoststalker.name</t>
        </is>
      </c>
      <c r="D25" t="inlineStr"/>
      <c r="E25" s="5" t="n">
        <v>100000</v>
      </c>
      <c r="F25" s="5" t="n">
        <v>62</v>
      </c>
      <c r="G25" t="inlineStr">
        <is>
          <t>Heroic</t>
        </is>
      </c>
      <c r="H25" s="5" t="n">
        <v>1</v>
      </c>
      <c r="I25" s="5" t="n">
        <v>1</v>
      </c>
      <c r="J25" s="5" t="n">
        <v>1</v>
      </c>
      <c r="O25">
        <f>MAX(O26,O27)</f>
        <v/>
      </c>
      <c r="R25">
        <f>R26+R27</f>
        <v/>
      </c>
      <c r="S25">
        <f>(E25/100000+F25/100+(O25/1000)*J25/5+R25/200)*200*I25*H25</f>
        <v/>
      </c>
      <c r="T25">
        <f>((E25*F25/25000)+((O25/1000)*J25*R25/2.5))*I25*H25</f>
        <v/>
      </c>
      <c r="U25">
        <f>(E25*F25*(O25/1000)*J25*R25*I25*H25)/12500000</f>
        <v/>
      </c>
      <c r="V25">
        <f>(S25+T25+U25)/3</f>
        <v/>
      </c>
      <c r="W25" s="5" t="n">
        <v>4000</v>
      </c>
      <c r="X25">
        <f>IFERROR(V25-W25,"")</f>
        <v/>
      </c>
      <c r="Y25">
        <f>IFERROR(ABS(X25)/MAX(W25,1),"")</f>
        <v/>
      </c>
      <c r="Z25">
        <f>IFERROR((W25-(((E25/100000+F25/100+R25/200)*200*I25*H25)+((E25*F25/25000)*I25*H25))/3)/(((J25/5)*200*I25*H25)+((J25*R25/2.5)*I25*H25)+((E25*F25*J25*R25*I25*H25)/12500000))/3*1000,"")</f>
        <v/>
      </c>
    </row>
    <row r="26">
      <c r="B26" s="6" t="inlineStr">
        <is>
          <t xml:space="preserve">  ↳ TSGhostGun</t>
        </is>
      </c>
      <c r="C26" s="6" t="inlineStr">
        <is>
          <t>Armament@PRIMARY</t>
        </is>
      </c>
      <c r="K26" s="5" t="n">
        <v>20000</v>
      </c>
      <c r="L26" s="5" t="n">
        <v>25</v>
      </c>
      <c r="M26" s="5" t="n">
        <v>1</v>
      </c>
      <c r="N26" s="5" t="n"/>
      <c r="O26" s="5" t="n">
        <v>9557</v>
      </c>
      <c r="P26" s="5" t="n">
        <v>1</v>
      </c>
      <c r="Q26">
        <f>L26+IF(M26&gt;1,N(N26)*(M26-1),0)</f>
        <v/>
      </c>
      <c r="R26">
        <f>IFERROR(K26*MAX(M26,1)/Q26*P26,0)</f>
        <v/>
      </c>
      <c r="AA26" s="6" t="inlineStr">
        <is>
          <t>^LightChemicalWeapon</t>
        </is>
      </c>
    </row>
    <row r="27">
      <c r="B27" s="6" t="inlineStr">
        <is>
          <t xml:space="preserve">  ↳ TSChemGhostGun</t>
        </is>
      </c>
      <c r="C27" s="6" t="inlineStr">
        <is>
          <t>Armament@UPGRADE</t>
        </is>
      </c>
      <c r="K27" s="5" t="n">
        <v>20000</v>
      </c>
      <c r="L27" s="5" t="n">
        <v>25</v>
      </c>
      <c r="M27" s="5" t="n">
        <v>1</v>
      </c>
      <c r="N27" s="5" t="n"/>
      <c r="O27" s="5" t="n">
        <v>9557</v>
      </c>
      <c r="P27" s="5" t="n">
        <v>1</v>
      </c>
      <c r="Q27">
        <f>L27+IF(M27&gt;1,N(N27)*(M27-1),0)</f>
        <v/>
      </c>
      <c r="R27">
        <f>IFERROR(K27*MAX(M27,1)/Q27*P27,0)</f>
        <v/>
      </c>
      <c r="AA27" s="6" t="inlineStr">
        <is>
          <t>^LightChemicalWeapon, ^MediumChemicalWeapon</t>
        </is>
      </c>
    </row>
    <row r="28">
      <c r="B28" s="6" t="inlineStr">
        <is>
          <t xml:space="preserve">  ↳ TSGhostGun</t>
        </is>
      </c>
      <c r="C28" s="6" t="inlineStr">
        <is>
          <t>Armament@GARRISONED</t>
        </is>
      </c>
      <c r="K28" s="5" t="n">
        <v>20000</v>
      </c>
      <c r="L28" s="5" t="n">
        <v>25</v>
      </c>
      <c r="M28" s="5" t="n">
        <v>1</v>
      </c>
      <c r="N28" s="5" t="n"/>
      <c r="O28" s="5" t="n">
        <v>9557</v>
      </c>
      <c r="P28" s="5" t="n">
        <v>1</v>
      </c>
      <c r="Q28">
        <f>L28+IF(M28&gt;1,N(N28)*(M28-1),0)</f>
        <v/>
      </c>
      <c r="R28">
        <f>IFERROR(K28*MAX(M28,1)/Q28*P28,0)</f>
        <v/>
      </c>
      <c r="AA28" s="6" t="inlineStr">
        <is>
          <t>^LightChemicalWeapon</t>
        </is>
      </c>
    </row>
    <row r="29">
      <c r="B29" s="6" t="inlineStr">
        <is>
          <t xml:space="preserve">  ↳ TSChemGhostGun</t>
        </is>
      </c>
      <c r="C29" s="6" t="inlineStr">
        <is>
          <t>Armament@UPGRADEGARRISONED</t>
        </is>
      </c>
      <c r="K29" s="5" t="n">
        <v>20000</v>
      </c>
      <c r="L29" s="5" t="n">
        <v>25</v>
      </c>
      <c r="M29" s="5" t="n">
        <v>1</v>
      </c>
      <c r="N29" s="5" t="n"/>
      <c r="O29" s="5" t="n">
        <v>9557</v>
      </c>
      <c r="P29" s="5" t="n">
        <v>1</v>
      </c>
      <c r="Q29">
        <f>L29+IF(M29&gt;1,N(N29)*(M29-1),0)</f>
        <v/>
      </c>
      <c r="R29">
        <f>IFERROR(K29*MAX(M29,1)/Q29*P29,0)</f>
        <v/>
      </c>
      <c r="AA29" s="6" t="inlineStr">
        <is>
          <t>^LightChemicalWeapon, ^MediumChemicalWeapon</t>
        </is>
      </c>
    </row>
    <row r="30">
      <c r="A30" t="inlineStr">
        <is>
          <t>tiberiansun</t>
        </is>
      </c>
      <c r="B30" t="inlineStr">
        <is>
          <t>forgotten_mutant</t>
        </is>
      </c>
      <c r="C30" t="inlineStr">
        <is>
          <t>actor_forgotten_mutant.name</t>
        </is>
      </c>
      <c r="D30" t="inlineStr"/>
      <c r="E30" s="5" t="n">
        <v>36000</v>
      </c>
      <c r="F30" s="5" t="n">
        <v>65</v>
      </c>
      <c r="G30" t="inlineStr">
        <is>
          <t>None</t>
        </is>
      </c>
      <c r="H30" s="5" t="n">
        <v>1</v>
      </c>
      <c r="I30" s="5" t="n">
        <v>1</v>
      </c>
      <c r="J30" s="5" t="n">
        <v>1</v>
      </c>
      <c r="O30">
        <f>MAX(O31)</f>
        <v/>
      </c>
      <c r="R30">
        <f>R31</f>
        <v/>
      </c>
      <c r="S30">
        <f>(E30/100000+F30/100+(O30/1000)*J30/5+R30/200)*200*I30*H30</f>
        <v/>
      </c>
      <c r="T30">
        <f>((E30*F30/25000)+((O30/1000)*J30*R30/2.5))*I30*H30</f>
        <v/>
      </c>
      <c r="U30">
        <f>(E30*F30*(O30/1000)*J30*R30*I30*H30)/12500000</f>
        <v/>
      </c>
      <c r="V30">
        <f>(S30+T30+U30)/3</f>
        <v/>
      </c>
      <c r="W30" s="5" t="n">
        <v>120</v>
      </c>
      <c r="X30">
        <f>IFERROR(V30-W30,"")</f>
        <v/>
      </c>
      <c r="Y30">
        <f>IFERROR(ABS(X30)/MAX(W30,1),"")</f>
        <v/>
      </c>
      <c r="Z30">
        <f>IFERROR((W30-(((E30/100000+F30/100+R30/200)*200*I30*H30)+((E30*F30/25000)*I30*H30))/3)/(((J30/5)*200*I30*H30)+((J30*R30/2.5)*I30*H30)+((E30*F30*J30*R30*I30*H30)/12500000))/3*1000,"")</f>
        <v/>
      </c>
    </row>
    <row r="31">
      <c r="B31" s="6" t="inlineStr">
        <is>
          <t xml:space="preserve">  ↳ forgotten_mutant_dualwield</t>
        </is>
      </c>
      <c r="C31" s="6" t="inlineStr">
        <is>
          <t>Armament@PRIMARY</t>
        </is>
      </c>
      <c r="K31" s="5" t="n">
        <v>2000</v>
      </c>
      <c r="L31" s="5" t="n">
        <v>18</v>
      </c>
      <c r="M31" s="5" t="n">
        <v>2</v>
      </c>
      <c r="N31" s="5" t="n">
        <v>2</v>
      </c>
      <c r="O31" s="5" t="n">
        <v>4500</v>
      </c>
      <c r="P31" s="5" t="n">
        <v>1</v>
      </c>
      <c r="Q31">
        <f>L31+IF(M31&gt;1,N(N31)*(M31-1),0)</f>
        <v/>
      </c>
      <c r="R31">
        <f>IFERROR(K31*MAX(M31,1)/Q31*P31,0)</f>
        <v/>
      </c>
      <c r="AA31" s="6" t="inlineStr">
        <is>
          <t>^SmallArms</t>
        </is>
      </c>
    </row>
    <row r="32">
      <c r="B32" s="6" t="inlineStr">
        <is>
          <t xml:space="preserve">  ↳ forgotten_mutant_dualwield</t>
        </is>
      </c>
      <c r="C32" s="6" t="inlineStr">
        <is>
          <t>Armament@GARRISONED</t>
        </is>
      </c>
      <c r="K32" s="5" t="n">
        <v>2000</v>
      </c>
      <c r="L32" s="5" t="n">
        <v>18</v>
      </c>
      <c r="M32" s="5" t="n">
        <v>2</v>
      </c>
      <c r="N32" s="5" t="n">
        <v>2</v>
      </c>
      <c r="O32" s="5" t="n">
        <v>4500</v>
      </c>
      <c r="P32" s="5" t="n">
        <v>1</v>
      </c>
      <c r="Q32">
        <f>L32+IF(M32&gt;1,N(N32)*(M32-1),0)</f>
        <v/>
      </c>
      <c r="R32">
        <f>IFERROR(K32*MAX(M32,1)/Q32*P32,0)</f>
        <v/>
      </c>
      <c r="AA32" s="6" t="inlineStr">
        <is>
          <t>^SmallArms</t>
        </is>
      </c>
    </row>
    <row r="33">
      <c r="A33" t="inlineStr">
        <is>
          <t>tiberiansun</t>
        </is>
      </c>
      <c r="B33" t="inlineStr">
        <is>
          <t>forgotten_mutant_sp</t>
        </is>
      </c>
      <c r="C33" t="inlineStr">
        <is>
          <t>actor_forgotten_mutant.name</t>
        </is>
      </c>
      <c r="D33" t="inlineStr"/>
      <c r="E33" s="5" t="n">
        <v>36000</v>
      </c>
      <c r="F33" s="5" t="n">
        <v>65</v>
      </c>
      <c r="G33" t="inlineStr">
        <is>
          <t>None</t>
        </is>
      </c>
      <c r="H33" s="5" t="n">
        <v>1</v>
      </c>
      <c r="I33" s="5" t="n">
        <v>1</v>
      </c>
      <c r="J33" s="5" t="n">
        <v>1</v>
      </c>
      <c r="O33">
        <f>MAX(O34)</f>
        <v/>
      </c>
      <c r="R33">
        <f>R34</f>
        <v/>
      </c>
      <c r="S33">
        <f>(E33/100000+F33/100+(O33/1000)*J33/5+R33/200)*200*I33*H33</f>
        <v/>
      </c>
      <c r="T33">
        <f>((E33*F33/25000)+((O33/1000)*J33*R33/2.5))*I33*H33</f>
        <v/>
      </c>
      <c r="U33">
        <f>(E33*F33*(O33/1000)*J33*R33*I33*H33)/12500000</f>
        <v/>
      </c>
      <c r="V33">
        <f>(S33+T33+U33)/3</f>
        <v/>
      </c>
      <c r="W33" s="5" t="n">
        <v>120</v>
      </c>
      <c r="X33">
        <f>IFERROR(V33-W33,"")</f>
        <v/>
      </c>
      <c r="Y33">
        <f>IFERROR(ABS(X33)/MAX(W33,1),"")</f>
        <v/>
      </c>
      <c r="Z33">
        <f>IFERROR((W33-(((E33/100000+F33/100+R33/200)*200*I33*H33)+((E33*F33/25000)*I33*H33))/3)/(((J33/5)*200*I33*H33)+((J33*R33/2.5)*I33*H33)+((E33*F33*J33*R33*I33*H33)/12500000))/3*1000,"")</f>
        <v/>
      </c>
    </row>
    <row r="34">
      <c r="B34" s="6" t="inlineStr">
        <is>
          <t xml:space="preserve">  ↳ forgotten_mutant_dualwield</t>
        </is>
      </c>
      <c r="C34" s="6" t="inlineStr">
        <is>
          <t>Armament@PRIMARY</t>
        </is>
      </c>
      <c r="K34" s="5" t="n">
        <v>2000</v>
      </c>
      <c r="L34" s="5" t="n">
        <v>18</v>
      </c>
      <c r="M34" s="5" t="n">
        <v>2</v>
      </c>
      <c r="N34" s="5" t="n">
        <v>2</v>
      </c>
      <c r="O34" s="5" t="n">
        <v>4500</v>
      </c>
      <c r="P34" s="5" t="n">
        <v>1</v>
      </c>
      <c r="Q34">
        <f>L34+IF(M34&gt;1,N(N34)*(M34-1),0)</f>
        <v/>
      </c>
      <c r="R34">
        <f>IFERROR(K34*MAX(M34,1)/Q34*P34,0)</f>
        <v/>
      </c>
      <c r="AA34" s="6" t="inlineStr">
        <is>
          <t>^SmallArms</t>
        </is>
      </c>
    </row>
    <row r="35">
      <c r="B35" s="6" t="inlineStr">
        <is>
          <t xml:space="preserve">  ↳ forgotten_mutant_dualwield</t>
        </is>
      </c>
      <c r="C35" s="6" t="inlineStr">
        <is>
          <t>Armament@GARRISONED</t>
        </is>
      </c>
      <c r="K35" s="5" t="n">
        <v>2000</v>
      </c>
      <c r="L35" s="5" t="n">
        <v>18</v>
      </c>
      <c r="M35" s="5" t="n">
        <v>2</v>
      </c>
      <c r="N35" s="5" t="n">
        <v>2</v>
      </c>
      <c r="O35" s="5" t="n">
        <v>4500</v>
      </c>
      <c r="P35" s="5" t="n">
        <v>1</v>
      </c>
      <c r="Q35">
        <f>L35+IF(M35&gt;1,N(N35)*(M35-1),0)</f>
        <v/>
      </c>
      <c r="R35">
        <f>IFERROR(K35*MAX(M35,1)/Q35*P35,0)</f>
        <v/>
      </c>
      <c r="AA35" s="6" t="inlineStr">
        <is>
          <t>^SmallArms</t>
        </is>
      </c>
    </row>
    <row r="36">
      <c r="A36" t="inlineStr">
        <is>
          <t>tiberiansun</t>
        </is>
      </c>
      <c r="B36" t="inlineStr">
        <is>
          <t>forgotten_mutant_wild</t>
        </is>
      </c>
      <c r="C36" t="inlineStr">
        <is>
          <t>actor_forgotten_mutant.name</t>
        </is>
      </c>
      <c r="D36" t="inlineStr"/>
      <c r="E36" s="5" t="n">
        <v>36000</v>
      </c>
      <c r="F36" s="5" t="n">
        <v>65</v>
      </c>
      <c r="G36" t="inlineStr">
        <is>
          <t>None</t>
        </is>
      </c>
      <c r="H36" s="5" t="n">
        <v>1</v>
      </c>
      <c r="I36" s="5" t="n">
        <v>1</v>
      </c>
      <c r="J36" s="5" t="n">
        <v>1</v>
      </c>
      <c r="O36">
        <f>MAX(O37)</f>
        <v/>
      </c>
      <c r="R36">
        <f>R37</f>
        <v/>
      </c>
      <c r="S36">
        <f>(E36/100000+F36/100+(O36/1000)*J36/5+R36/200)*200*I36*H36</f>
        <v/>
      </c>
      <c r="T36">
        <f>((E36*F36/25000)+((O36/1000)*J36*R36/2.5))*I36*H36</f>
        <v/>
      </c>
      <c r="U36">
        <f>(E36*F36*(O36/1000)*J36*R36*I36*H36)/12500000</f>
        <v/>
      </c>
      <c r="V36">
        <f>(S36+T36+U36)/3</f>
        <v/>
      </c>
      <c r="W36" s="5" t="n">
        <v>120</v>
      </c>
      <c r="X36">
        <f>IFERROR(V36-W36,"")</f>
        <v/>
      </c>
      <c r="Y36">
        <f>IFERROR(ABS(X36)/MAX(W36,1),"")</f>
        <v/>
      </c>
      <c r="Z36">
        <f>IFERROR((W36-(((E36/100000+F36/100+R36/200)*200*I36*H36)+((E36*F36/25000)*I36*H36))/3)/(((J36/5)*200*I36*H36)+((J36*R36/2.5)*I36*H36)+((E36*F36*J36*R36*I36*H36)/12500000))/3*1000,"")</f>
        <v/>
      </c>
    </row>
    <row r="37">
      <c r="B37" s="6" t="inlineStr">
        <is>
          <t xml:space="preserve">  ↳ forgotten_mutant_dualwield</t>
        </is>
      </c>
      <c r="C37" s="6" t="inlineStr">
        <is>
          <t>Armament@PRIMARY</t>
        </is>
      </c>
      <c r="K37" s="5" t="n">
        <v>2000</v>
      </c>
      <c r="L37" s="5" t="n">
        <v>18</v>
      </c>
      <c r="M37" s="5" t="n">
        <v>2</v>
      </c>
      <c r="N37" s="5" t="n">
        <v>2</v>
      </c>
      <c r="O37" s="5" t="n">
        <v>4500</v>
      </c>
      <c r="P37" s="5" t="n">
        <v>1</v>
      </c>
      <c r="Q37">
        <f>L37+IF(M37&gt;1,N(N37)*(M37-1),0)</f>
        <v/>
      </c>
      <c r="R37">
        <f>IFERROR(K37*MAX(M37,1)/Q37*P37,0)</f>
        <v/>
      </c>
      <c r="AA37" s="6" t="inlineStr">
        <is>
          <t>^SmallArms</t>
        </is>
      </c>
    </row>
    <row r="38">
      <c r="B38" s="6" t="inlineStr">
        <is>
          <t xml:space="preserve">  ↳ forgotten_mutant_dualwield</t>
        </is>
      </c>
      <c r="C38" s="6" t="inlineStr">
        <is>
          <t>Armament@GARRISONED</t>
        </is>
      </c>
      <c r="K38" s="5" t="n">
        <v>2000</v>
      </c>
      <c r="L38" s="5" t="n">
        <v>18</v>
      </c>
      <c r="M38" s="5" t="n">
        <v>2</v>
      </c>
      <c r="N38" s="5" t="n">
        <v>2</v>
      </c>
      <c r="O38" s="5" t="n">
        <v>4500</v>
      </c>
      <c r="P38" s="5" t="n">
        <v>1</v>
      </c>
      <c r="Q38">
        <f>L38+IF(M38&gt;1,N(N38)*(M38-1),0)</f>
        <v/>
      </c>
      <c r="R38">
        <f>IFERROR(K38*MAX(M38,1)/Q38*P38,0)</f>
        <v/>
      </c>
      <c r="AA38" s="6" t="inlineStr">
        <is>
          <t>^SmallArms</t>
        </is>
      </c>
    </row>
    <row r="39">
      <c r="A39" t="inlineStr">
        <is>
          <t>tiberiansun</t>
        </is>
      </c>
      <c r="B39" t="inlineStr">
        <is>
          <t>forgotten_mutanthijacker</t>
        </is>
      </c>
      <c r="C39" t="inlineStr">
        <is>
          <t>actor_forgotten_mutanthijacker.name</t>
        </is>
      </c>
      <c r="D39" t="inlineStr"/>
      <c r="E39" s="5" t="n">
        <v>25000</v>
      </c>
      <c r="F39" s="5" t="n">
        <v>100</v>
      </c>
      <c r="G39" t="inlineStr">
        <is>
          <t>Heroic</t>
        </is>
      </c>
      <c r="H39" s="5" t="n">
        <v>1</v>
      </c>
      <c r="I39" s="5" t="n">
        <v>1</v>
      </c>
      <c r="J39" s="5" t="n">
        <v>1</v>
      </c>
      <c r="W39" s="5" t="n">
        <v>750</v>
      </c>
    </row>
    <row r="40">
      <c r="A40" t="inlineStr">
        <is>
          <t>tiberiansun</t>
        </is>
      </c>
      <c r="B40" t="inlineStr">
        <is>
          <t>forgotten_mutantmortarman</t>
        </is>
      </c>
      <c r="C40" t="inlineStr">
        <is>
          <t>actor_forgotten_mutantmortarman.name</t>
        </is>
      </c>
      <c r="D40" t="inlineStr"/>
      <c r="E40" s="5" t="n">
        <v>30000</v>
      </c>
      <c r="F40" s="5" t="n">
        <v>50</v>
      </c>
      <c r="G40" t="inlineStr">
        <is>
          <t>None</t>
        </is>
      </c>
      <c r="H40" s="5" t="n">
        <v>1</v>
      </c>
      <c r="I40" s="5" t="n">
        <v>1</v>
      </c>
      <c r="J40" s="5" t="n">
        <v>1</v>
      </c>
      <c r="O40">
        <f>MAX(O41,O42)</f>
        <v/>
      </c>
      <c r="R40">
        <f>R41+R42</f>
        <v/>
      </c>
      <c r="S40">
        <f>(E40/100000+F40/100+(O40/1000)*J40/5+R40/200)*200*I40*H40</f>
        <v/>
      </c>
      <c r="T40">
        <f>((E40*F40/25000)+((O40/1000)*J40*R40/2.5))*I40*H40</f>
        <v/>
      </c>
      <c r="U40">
        <f>(E40*F40*(O40/1000)*J40*R40*I40*H40)/12500000</f>
        <v/>
      </c>
      <c r="V40">
        <f>(S40+T40+U40)/3</f>
        <v/>
      </c>
      <c r="W40" s="5" t="n">
        <v>500</v>
      </c>
      <c r="X40">
        <f>IFERROR(V40-W40,"")</f>
        <v/>
      </c>
      <c r="Y40">
        <f>IFERROR(ABS(X40)/MAX(W40,1),"")</f>
        <v/>
      </c>
      <c r="Z40">
        <f>IFERROR((W40-(((E40/100000+F40/100+R40/200)*200*I40*H40)+((E40*F40/25000)*I40*H40))/3)/(((J40/5)*200*I40*H40)+((J40*R40/2.5)*I40*H40)+((E40*F40*J40*R40*I40*H40)/12500000))/3*1000,"")</f>
        <v/>
      </c>
    </row>
    <row r="41">
      <c r="B41" s="6" t="inlineStr">
        <is>
          <t xml:space="preserve">  ↳ TSInfantryMortar</t>
        </is>
      </c>
      <c r="C41" s="6" t="inlineStr">
        <is>
          <t>Armament@PRIMARY</t>
        </is>
      </c>
      <c r="K41" s="5" t="n">
        <v>16000</v>
      </c>
      <c r="L41" s="5" t="n">
        <v>88</v>
      </c>
      <c r="M41" s="5" t="n">
        <v>1</v>
      </c>
      <c r="N41" s="5" t="n"/>
      <c r="O41" s="5" t="n">
        <v>10830</v>
      </c>
      <c r="P41" s="5" t="n">
        <v>1</v>
      </c>
      <c r="Q41">
        <f>L41+IF(M41&gt;1,N(N41)*(M41-1),0)</f>
        <v/>
      </c>
      <c r="R41">
        <f>IFERROR(K41*MAX(M41,1)/Q41*P41,0)</f>
        <v/>
      </c>
      <c r="AA41" s="6" t="inlineStr">
        <is>
          <t>^ShrapnelWeapon, ^HeavyBomb, ^TSCannonEffect</t>
        </is>
      </c>
    </row>
    <row r="42">
      <c r="B42" s="6" t="inlineStr">
        <is>
          <t xml:space="preserve">  ↳ TSInfantryMortarChem</t>
        </is>
      </c>
      <c r="C42" s="6" t="inlineStr">
        <is>
          <t>Armament@UPGRADE</t>
        </is>
      </c>
      <c r="K42" s="5" t="n">
        <v>16000</v>
      </c>
      <c r="L42" s="5" t="n">
        <v>88</v>
      </c>
      <c r="M42" s="5" t="n">
        <v>1</v>
      </c>
      <c r="N42" s="5" t="n"/>
      <c r="O42" s="5" t="n">
        <v>10830</v>
      </c>
      <c r="P42" s="5" t="n">
        <v>1</v>
      </c>
      <c r="Q42">
        <f>L42+IF(M42&gt;1,N(N42)*(M42-1),0)</f>
        <v/>
      </c>
      <c r="R42">
        <f>IFERROR(K42*MAX(M42,1)/Q42*P42,0)</f>
        <v/>
      </c>
      <c r="AA42" s="6" t="inlineStr">
        <is>
          <t>^ShrapnelWeapon, ^HeavyBomb, ^TSCannonEffect, ^MediumChemicalWeapon, ^HeavyChemicalWeapon</t>
        </is>
      </c>
    </row>
    <row r="43">
      <c r="B43" s="6" t="inlineStr">
        <is>
          <t xml:space="preserve">  ↳ TSInfantryMortar</t>
        </is>
      </c>
      <c r="C43" s="6" t="inlineStr">
        <is>
          <t>Armament@GARRISONED</t>
        </is>
      </c>
      <c r="K43" s="5" t="n">
        <v>16000</v>
      </c>
      <c r="L43" s="5" t="n">
        <v>88</v>
      </c>
      <c r="M43" s="5" t="n">
        <v>1</v>
      </c>
      <c r="N43" s="5" t="n"/>
      <c r="O43" s="5" t="n">
        <v>10830</v>
      </c>
      <c r="P43" s="5" t="n">
        <v>1</v>
      </c>
      <c r="Q43">
        <f>L43+IF(M43&gt;1,N(N43)*(M43-1),0)</f>
        <v/>
      </c>
      <c r="R43">
        <f>IFERROR(K43*MAX(M43,1)/Q43*P43,0)</f>
        <v/>
      </c>
      <c r="AA43" s="6" t="inlineStr">
        <is>
          <t>^ShrapnelWeapon, ^HeavyBomb, ^TSCannonEffect</t>
        </is>
      </c>
    </row>
    <row r="44">
      <c r="B44" s="6" t="inlineStr">
        <is>
          <t xml:space="preserve">  ↳ TSInfantryMortarChem</t>
        </is>
      </c>
      <c r="C44" s="6" t="inlineStr">
        <is>
          <t>Armament@GARRISONEDUPGRADE</t>
        </is>
      </c>
      <c r="K44" s="5" t="n">
        <v>16000</v>
      </c>
      <c r="L44" s="5" t="n">
        <v>88</v>
      </c>
      <c r="M44" s="5" t="n">
        <v>1</v>
      </c>
      <c r="N44" s="5" t="n"/>
      <c r="O44" s="5" t="n">
        <v>10830</v>
      </c>
      <c r="P44" s="5" t="n">
        <v>1</v>
      </c>
      <c r="Q44">
        <f>L44+IF(M44&gt;1,N(N44)*(M44-1),0)</f>
        <v/>
      </c>
      <c r="R44">
        <f>IFERROR(K44*MAX(M44,1)/Q44*P44,0)</f>
        <v/>
      </c>
      <c r="AA44" s="6" t="inlineStr">
        <is>
          <t>^ShrapnelWeapon, ^HeavyBomb, ^TSCannonEffect, ^MediumChemicalWeapon, ^HeavyChemicalWeapon</t>
        </is>
      </c>
    </row>
    <row r="45">
      <c r="A45" t="inlineStr">
        <is>
          <t>tiberiansun</t>
        </is>
      </c>
      <c r="B45" t="inlineStr">
        <is>
          <t>forgotten_mutantsergeant</t>
        </is>
      </c>
      <c r="C45" t="inlineStr">
        <is>
          <t>actor_forgotten_mutantsergeant.name</t>
        </is>
      </c>
      <c r="D45" t="inlineStr"/>
      <c r="E45" s="5" t="n">
        <v>40000</v>
      </c>
      <c r="F45" s="5" t="n">
        <v>75</v>
      </c>
      <c r="G45" t="inlineStr">
        <is>
          <t>Plate</t>
        </is>
      </c>
      <c r="H45" s="5" t="n">
        <v>1</v>
      </c>
      <c r="I45" s="5" t="n">
        <v>1</v>
      </c>
      <c r="J45" s="5" t="n">
        <v>1</v>
      </c>
      <c r="O45">
        <f>MAX(O46)</f>
        <v/>
      </c>
      <c r="R45">
        <f>R46</f>
        <v/>
      </c>
      <c r="S45">
        <f>(E45/100000+F45/100+(O45/1000)*J45/5+R45/200)*200*I45*H45</f>
        <v/>
      </c>
      <c r="T45">
        <f>((E45*F45/25000)+((O45/1000)*J45*R45/2.5))*I45*H45</f>
        <v/>
      </c>
      <c r="U45">
        <f>(E45*F45*(O45/1000)*J45*R45*I45*H45)/12500000</f>
        <v/>
      </c>
      <c r="V45">
        <f>(S45+T45+U45)/3</f>
        <v/>
      </c>
      <c r="W45" s="5" t="n">
        <v>750</v>
      </c>
      <c r="X45">
        <f>IFERROR(V45-W45,"")</f>
        <v/>
      </c>
      <c r="Y45">
        <f>IFERROR(ABS(X45)/MAX(W45,1),"")</f>
        <v/>
      </c>
      <c r="Z45">
        <f>IFERROR((W45-(((E45/100000+F45/100+R45/200)*200*I45*H45)+((E45*F45/25000)*I45*H45))/3)/(((J45/5)*200*I45*H45)+((J45*R45/2.5)*I45*H45)+((E45*F45*J45*R45*I45*H45)/12500000))/3*1000,"")</f>
        <v/>
      </c>
    </row>
    <row r="46">
      <c r="B46" s="6" t="inlineStr">
        <is>
          <t xml:space="preserve">  ↳ TSSergGun</t>
        </is>
      </c>
      <c r="C46" s="6" t="inlineStr">
        <is>
          <t>Armament@PRIMARY</t>
        </is>
      </c>
      <c r="K46" s="5" t="n">
        <v>2000</v>
      </c>
      <c r="L46" s="5" t="n">
        <v>8</v>
      </c>
      <c r="M46" s="5" t="n">
        <v>1</v>
      </c>
      <c r="N46" s="5" t="n"/>
      <c r="O46" s="5" t="n">
        <v>7406</v>
      </c>
      <c r="P46" s="5" t="n">
        <v>1</v>
      </c>
      <c r="Q46">
        <f>L46+IF(M46&gt;1,N(N46)*(M46-1),0)</f>
        <v/>
      </c>
      <c r="R46">
        <f>IFERROR(K46*MAX(M46,1)/Q46*P46,0)</f>
        <v/>
      </c>
      <c r="AA46" s="6" t="inlineStr">
        <is>
          <t>^SmallArms, ^Chaingun</t>
        </is>
      </c>
    </row>
    <row r="47">
      <c r="B47" s="6" t="inlineStr">
        <is>
          <t xml:space="preserve">  ↳ TSSergGun</t>
        </is>
      </c>
      <c r="C47" s="6" t="inlineStr">
        <is>
          <t>Armament@GARRISONED</t>
        </is>
      </c>
      <c r="K47" s="5" t="n">
        <v>2000</v>
      </c>
      <c r="L47" s="5" t="n">
        <v>8</v>
      </c>
      <c r="M47" s="5" t="n">
        <v>1</v>
      </c>
      <c r="N47" s="5" t="n"/>
      <c r="O47" s="5" t="n">
        <v>7406</v>
      </c>
      <c r="P47" s="5" t="n">
        <v>1</v>
      </c>
      <c r="Q47">
        <f>L47+IF(M47&gt;1,N(N47)*(M47-1),0)</f>
        <v/>
      </c>
      <c r="R47">
        <f>IFERROR(K47*MAX(M47,1)/Q47*P47,0)</f>
        <v/>
      </c>
      <c r="AA47" s="6" t="inlineStr">
        <is>
          <t>^SmallArms, ^Chaingun</t>
        </is>
      </c>
    </row>
    <row r="48">
      <c r="A48" t="inlineStr">
        <is>
          <t>tiberiansun</t>
        </is>
      </c>
      <c r="B48" t="inlineStr">
        <is>
          <t>forgotten_mutantsniper</t>
        </is>
      </c>
      <c r="C48" t="inlineStr">
        <is>
          <t>actor_forgotten_mutantsniper.name</t>
        </is>
      </c>
      <c r="D48" t="inlineStr"/>
      <c r="E48" s="5" t="n">
        <v>10000</v>
      </c>
      <c r="F48" s="5" t="n">
        <v>70</v>
      </c>
      <c r="G48" t="inlineStr">
        <is>
          <t>Flak</t>
        </is>
      </c>
      <c r="H48" s="5" t="n">
        <v>1</v>
      </c>
      <c r="I48" s="5" t="n">
        <v>1</v>
      </c>
      <c r="J48" s="5" t="n">
        <v>1</v>
      </c>
      <c r="O48">
        <f>MAX(O49)</f>
        <v/>
      </c>
      <c r="R48">
        <f>R49</f>
        <v/>
      </c>
      <c r="S48">
        <f>(E48/100000+F48/100+(O48/1000)*J48/5+R48/200)*200*I48*H48</f>
        <v/>
      </c>
      <c r="T48">
        <f>((E48*F48/25000)+((O48/1000)*J48*R48/2.5))*I48*H48</f>
        <v/>
      </c>
      <c r="U48">
        <f>(E48*F48*(O48/1000)*J48*R48*I48*H48)/12500000</f>
        <v/>
      </c>
      <c r="V48">
        <f>(S48+T48+U48)/3</f>
        <v/>
      </c>
      <c r="W48" s="5" t="n">
        <v>650</v>
      </c>
      <c r="X48">
        <f>IFERROR(V48-W48,"")</f>
        <v/>
      </c>
      <c r="Y48">
        <f>IFERROR(ABS(X48)/MAX(W48,1),"")</f>
        <v/>
      </c>
      <c r="Z48">
        <f>IFERROR((W48-(((E48/100000+F48/100+R48/200)*200*I48*H48)+((E48*F48/25000)*I48*H48))/3)/(((J48/5)*200*I48*H48)+((J48*R48/2.5)*I48*H48)+((E48*F48*J48*R48*I48*H48)/12500000))/3*1000,"")</f>
        <v/>
      </c>
    </row>
    <row r="49">
      <c r="B49" s="6" t="inlineStr">
        <is>
          <t xml:space="preserve">  ↳ TSSniper</t>
        </is>
      </c>
      <c r="C49" s="6" t="inlineStr">
        <is>
          <t>Armament@PRIMARY</t>
        </is>
      </c>
      <c r="K49" s="5" t="n">
        <v>10000</v>
      </c>
      <c r="L49" s="5" t="n">
        <v>25</v>
      </c>
      <c r="M49" s="5" t="n">
        <v>1</v>
      </c>
      <c r="N49" s="5" t="n"/>
      <c r="O49" s="5" t="n">
        <v>9557</v>
      </c>
      <c r="P49" s="5" t="n">
        <v>1</v>
      </c>
      <c r="Q49">
        <f>L49+IF(M49&gt;1,N(N49)*(M49-1),0)</f>
        <v/>
      </c>
      <c r="R49">
        <f>IFERROR(K49*MAX(M49,1)/Q49*P49,0)</f>
        <v/>
      </c>
      <c r="AA49" s="6" t="inlineStr">
        <is>
          <t>^SniperWeapon</t>
        </is>
      </c>
    </row>
    <row r="50">
      <c r="B50" s="6" t="inlineStr">
        <is>
          <t xml:space="preserve">  ↳ TSSniper</t>
        </is>
      </c>
      <c r="C50" s="6" t="inlineStr">
        <is>
          <t>Armament@GARRISONED</t>
        </is>
      </c>
      <c r="K50" s="5" t="n">
        <v>10000</v>
      </c>
      <c r="L50" s="5" t="n">
        <v>25</v>
      </c>
      <c r="M50" s="5" t="n">
        <v>1</v>
      </c>
      <c r="N50" s="5" t="n"/>
      <c r="O50" s="5" t="n">
        <v>9557</v>
      </c>
      <c r="P50" s="5" t="n">
        <v>1</v>
      </c>
      <c r="Q50">
        <f>L50+IF(M50&gt;1,N(N50)*(M50-1),0)</f>
        <v/>
      </c>
      <c r="R50">
        <f>IFERROR(K50*MAX(M50,1)/Q50*P50,0)</f>
        <v/>
      </c>
      <c r="AA50" s="6" t="inlineStr">
        <is>
          <t>^SniperWeapon</t>
        </is>
      </c>
    </row>
    <row r="51">
      <c r="A51" t="inlineStr">
        <is>
          <t>tiberiansun</t>
        </is>
      </c>
      <c r="B51" t="inlineStr">
        <is>
          <t>forgotten_mutantsniper_r4</t>
        </is>
      </c>
      <c r="C51" t="inlineStr">
        <is>
          <t>actor_forgotten_mutantsniper.name</t>
        </is>
      </c>
      <c r="D51" t="inlineStr"/>
      <c r="E51" s="5" t="n">
        <v>10000</v>
      </c>
      <c r="F51" s="5" t="n">
        <v>70</v>
      </c>
      <c r="G51" t="inlineStr">
        <is>
          <t>Flak</t>
        </is>
      </c>
      <c r="H51" s="5" t="n">
        <v>1</v>
      </c>
      <c r="I51" s="5" t="n">
        <v>1</v>
      </c>
      <c r="J51" s="5" t="n">
        <v>1</v>
      </c>
      <c r="O51">
        <f>MAX(O52)</f>
        <v/>
      </c>
      <c r="R51">
        <f>R52</f>
        <v/>
      </c>
      <c r="S51">
        <f>(E51/100000+F51/100+(O51/1000)*J51/5+R51/200)*200*I51*H51</f>
        <v/>
      </c>
      <c r="T51">
        <f>((E51*F51/25000)+((O51/1000)*J51*R51/2.5))*I51*H51</f>
        <v/>
      </c>
      <c r="U51">
        <f>(E51*F51*(O51/1000)*J51*R51*I51*H51)/12500000</f>
        <v/>
      </c>
      <c r="V51">
        <f>(S51+T51+U51)/3</f>
        <v/>
      </c>
      <c r="W51" s="5" t="n">
        <v>650</v>
      </c>
      <c r="X51">
        <f>IFERROR(V51-W51,"")</f>
        <v/>
      </c>
      <c r="Y51">
        <f>IFERROR(ABS(X51)/MAX(W51,1),"")</f>
        <v/>
      </c>
      <c r="Z51">
        <f>IFERROR((W51-(((E51/100000+F51/100+R51/200)*200*I51*H51)+((E51*F51/25000)*I51*H51))/3)/(((J51/5)*200*I51*H51)+((J51*R51/2.5)*I51*H51)+((E51*F51*J51*R51*I51*H51)/12500000))/3*1000,"")</f>
        <v/>
      </c>
    </row>
    <row r="52">
      <c r="B52" s="6" t="inlineStr">
        <is>
          <t xml:space="preserve">  ↳ TSSniper</t>
        </is>
      </c>
      <c r="C52" s="6" t="inlineStr">
        <is>
          <t>Armament@PRIMARY</t>
        </is>
      </c>
      <c r="K52" s="5" t="n">
        <v>10000</v>
      </c>
      <c r="L52" s="5" t="n">
        <v>25</v>
      </c>
      <c r="M52" s="5" t="n">
        <v>1</v>
      </c>
      <c r="N52" s="5" t="n"/>
      <c r="O52" s="5" t="n">
        <v>9557</v>
      </c>
      <c r="P52" s="5" t="n">
        <v>1</v>
      </c>
      <c r="Q52">
        <f>L52+IF(M52&gt;1,N(N52)*(M52-1),0)</f>
        <v/>
      </c>
      <c r="R52">
        <f>IFERROR(K52*MAX(M52,1)/Q52*P52,0)</f>
        <v/>
      </c>
      <c r="AA52" s="6" t="inlineStr">
        <is>
          <t>^SniperWeapon</t>
        </is>
      </c>
    </row>
    <row r="53">
      <c r="B53" s="6" t="inlineStr">
        <is>
          <t xml:space="preserve">  ↳ TSSniper</t>
        </is>
      </c>
      <c r="C53" s="6" t="inlineStr">
        <is>
          <t>Armament@GARRISONED</t>
        </is>
      </c>
      <c r="K53" s="5" t="n">
        <v>10000</v>
      </c>
      <c r="L53" s="5" t="n">
        <v>25</v>
      </c>
      <c r="M53" s="5" t="n">
        <v>1</v>
      </c>
      <c r="N53" s="5" t="n"/>
      <c r="O53" s="5" t="n">
        <v>9557</v>
      </c>
      <c r="P53" s="5" t="n">
        <v>1</v>
      </c>
      <c r="Q53">
        <f>L53+IF(M53&gt;1,N(N53)*(M53-1),0)</f>
        <v/>
      </c>
      <c r="R53">
        <f>IFERROR(K53*MAX(M53,1)/Q53*P53,0)</f>
        <v/>
      </c>
      <c r="AA53" s="6" t="inlineStr">
        <is>
          <t>^SniperWeapon</t>
        </is>
      </c>
    </row>
    <row r="54">
      <c r="A54" t="inlineStr">
        <is>
          <t>tiberiansun</t>
        </is>
      </c>
      <c r="B54" t="inlineStr">
        <is>
          <t>forgotten_mutantsniper_sp</t>
        </is>
      </c>
      <c r="C54" t="inlineStr">
        <is>
          <t>actor_forgotten_mutantsniper.name</t>
        </is>
      </c>
      <c r="D54" t="inlineStr"/>
      <c r="E54" s="5" t="n">
        <v>10000</v>
      </c>
      <c r="F54" s="5" t="n">
        <v>70</v>
      </c>
      <c r="G54" t="inlineStr">
        <is>
          <t>Flak</t>
        </is>
      </c>
      <c r="H54" s="5" t="n">
        <v>1</v>
      </c>
      <c r="I54" s="5" t="n">
        <v>1</v>
      </c>
      <c r="J54" s="5" t="n">
        <v>1</v>
      </c>
      <c r="O54">
        <f>MAX(O55)</f>
        <v/>
      </c>
      <c r="R54">
        <f>R55</f>
        <v/>
      </c>
      <c r="S54">
        <f>(E54/100000+F54/100+(O54/1000)*J54/5+R54/200)*200*I54*H54</f>
        <v/>
      </c>
      <c r="T54">
        <f>((E54*F54/25000)+((O54/1000)*J54*R54/2.5))*I54*H54</f>
        <v/>
      </c>
      <c r="U54">
        <f>(E54*F54*(O54/1000)*J54*R54*I54*H54)/12500000</f>
        <v/>
      </c>
      <c r="V54">
        <f>(S54+T54+U54)/3</f>
        <v/>
      </c>
      <c r="W54" s="5" t="n">
        <v>650</v>
      </c>
      <c r="X54">
        <f>IFERROR(V54-W54,"")</f>
        <v/>
      </c>
      <c r="Y54">
        <f>IFERROR(ABS(X54)/MAX(W54,1),"")</f>
        <v/>
      </c>
      <c r="Z54">
        <f>IFERROR((W54-(((E54/100000+F54/100+R54/200)*200*I54*H54)+((E54*F54/25000)*I54*H54))/3)/(((J54/5)*200*I54*H54)+((J54*R54/2.5)*I54*H54)+((E54*F54*J54*R54*I54*H54)/12500000))/3*1000,"")</f>
        <v/>
      </c>
    </row>
    <row r="55">
      <c r="B55" s="6" t="inlineStr">
        <is>
          <t xml:space="preserve">  ↳ TSSniper</t>
        </is>
      </c>
      <c r="C55" s="6" t="inlineStr">
        <is>
          <t>Armament@PRIMARY</t>
        </is>
      </c>
      <c r="K55" s="5" t="n">
        <v>10000</v>
      </c>
      <c r="L55" s="5" t="n">
        <v>25</v>
      </c>
      <c r="M55" s="5" t="n">
        <v>1</v>
      </c>
      <c r="N55" s="5" t="n"/>
      <c r="O55" s="5" t="n">
        <v>9557</v>
      </c>
      <c r="P55" s="5" t="n">
        <v>1</v>
      </c>
      <c r="Q55">
        <f>L55+IF(M55&gt;1,N(N55)*(M55-1),0)</f>
        <v/>
      </c>
      <c r="R55">
        <f>IFERROR(K55*MAX(M55,1)/Q55*P55,0)</f>
        <v/>
      </c>
      <c r="AA55" s="6" t="inlineStr">
        <is>
          <t>^SniperWeapon</t>
        </is>
      </c>
    </row>
    <row r="56">
      <c r="B56" s="6" t="inlineStr">
        <is>
          <t xml:space="preserve">  ↳ TSSniper</t>
        </is>
      </c>
      <c r="C56" s="6" t="inlineStr">
        <is>
          <t>Armament@GARRISONED</t>
        </is>
      </c>
      <c r="K56" s="5" t="n">
        <v>10000</v>
      </c>
      <c r="L56" s="5" t="n">
        <v>25</v>
      </c>
      <c r="M56" s="5" t="n">
        <v>1</v>
      </c>
      <c r="N56" s="5" t="n"/>
      <c r="O56" s="5" t="n">
        <v>9557</v>
      </c>
      <c r="P56" s="5" t="n">
        <v>1</v>
      </c>
      <c r="Q56">
        <f>L56+IF(M56&gt;1,N(N56)*(M56-1),0)</f>
        <v/>
      </c>
      <c r="R56">
        <f>IFERROR(K56*MAX(M56,1)/Q56*P56,0)</f>
        <v/>
      </c>
      <c r="AA56" s="6" t="inlineStr">
        <is>
          <t>^SniperWeapon</t>
        </is>
      </c>
    </row>
    <row r="57">
      <c r="A57" t="inlineStr">
        <is>
          <t>tiberiansun</t>
        </is>
      </c>
      <c r="B57" t="inlineStr">
        <is>
          <t>forgotten_mutantsoldier</t>
        </is>
      </c>
      <c r="C57" t="inlineStr">
        <is>
          <t>actor_forgotten_mutantsoldier.name</t>
        </is>
      </c>
      <c r="D57" t="inlineStr">
        <is>
          <t>scout</t>
        </is>
      </c>
      <c r="E57" s="5" t="n">
        <v>40000</v>
      </c>
      <c r="F57" s="5" t="n">
        <v>60</v>
      </c>
      <c r="G57" t="inlineStr">
        <is>
          <t>None</t>
        </is>
      </c>
      <c r="H57" s="5" t="n">
        <v>1</v>
      </c>
      <c r="I57" s="5" t="n">
        <v>1</v>
      </c>
      <c r="J57" s="5" t="n">
        <v>1</v>
      </c>
      <c r="O57">
        <f>MAX(O58)</f>
        <v/>
      </c>
      <c r="R57">
        <f>R58</f>
        <v/>
      </c>
      <c r="S57">
        <f>(E57/100000+F57/100+(O57/1000)*J57/5+R57/200)*200*I57*H57</f>
        <v/>
      </c>
      <c r="T57">
        <f>((E57*F57/25000)+((O57/1000)*J57*R57/2.5))*I57*H57</f>
        <v/>
      </c>
      <c r="U57">
        <f>(E57*F57*(O57/1000)*J57*R57*I57*H57)/12500000</f>
        <v/>
      </c>
      <c r="V57">
        <f>(S57+T57+U57)/3</f>
        <v/>
      </c>
      <c r="W57" s="5" t="n">
        <v>250</v>
      </c>
      <c r="X57">
        <f>IFERROR(V57-W57,"")</f>
        <v/>
      </c>
      <c r="Y57">
        <f>IFERROR(ABS(X57)/MAX(W57,1),"")</f>
        <v/>
      </c>
      <c r="Z57">
        <f>IFERROR((W57-(((E57/100000+F57/100+R57/200)*200*I57*H57)+((E57*F57/25000)*I57*H57))/3)/(((J57/5)*200*I57*H57)+((J57*R57/2.5)*I57*H57)+((E57*F57*J57*R57*I57*H57)/12500000))/3*1000,"")</f>
        <v/>
      </c>
    </row>
    <row r="58">
      <c r="B58" s="6" t="inlineStr">
        <is>
          <t xml:space="preserve">  ↳ forgotten_mutantsoldier_rifle</t>
        </is>
      </c>
      <c r="C58" s="6" t="inlineStr">
        <is>
          <t>Armament@PRIMARY</t>
        </is>
      </c>
      <c r="K58" s="5" t="n">
        <v>8000</v>
      </c>
      <c r="L58" s="5" t="n">
        <v>50</v>
      </c>
      <c r="M58" s="5" t="n">
        <v>1</v>
      </c>
      <c r="N58" s="5" t="n"/>
      <c r="O58" s="5" t="n">
        <v>5000</v>
      </c>
      <c r="P58" s="5" t="n">
        <v>0.75</v>
      </c>
      <c r="Q58">
        <f>L58+IF(M58&gt;1,N(N58)*(M58-1),0)</f>
        <v/>
      </c>
      <c r="R58">
        <f>IFERROR(K58*MAX(M58,1)/Q58*P58,0)</f>
        <v/>
      </c>
      <c r="AA58" s="6" t="inlineStr">
        <is>
          <t>^SmallArms</t>
        </is>
      </c>
    </row>
    <row r="59">
      <c r="B59" s="6" t="inlineStr">
        <is>
          <t xml:space="preserve">  ↳ forgotten_mutantsoldier_rifle</t>
        </is>
      </c>
      <c r="C59" s="6" t="inlineStr">
        <is>
          <t>Armament@GARRISONED</t>
        </is>
      </c>
      <c r="K59" s="5" t="n">
        <v>8000</v>
      </c>
      <c r="L59" s="5" t="n">
        <v>50</v>
      </c>
      <c r="M59" s="5" t="n">
        <v>1</v>
      </c>
      <c r="N59" s="5" t="n"/>
      <c r="O59" s="5" t="n">
        <v>5000</v>
      </c>
      <c r="P59" s="5" t="n">
        <v>0.75</v>
      </c>
      <c r="Q59">
        <f>L59+IF(M59&gt;1,N(N59)*(M59-1),0)</f>
        <v/>
      </c>
      <c r="R59">
        <f>IFERROR(K59*MAX(M59,1)/Q59*P59,0)</f>
        <v/>
      </c>
      <c r="AA59" s="6" t="inlineStr">
        <is>
          <t>^SmallArms</t>
        </is>
      </c>
    </row>
    <row r="60">
      <c r="A60" t="inlineStr">
        <is>
          <t>tiberiansun</t>
        </is>
      </c>
      <c r="B60" t="inlineStr">
        <is>
          <t>forgotten_mutantsoldier_sp</t>
        </is>
      </c>
      <c r="C60" t="inlineStr">
        <is>
          <t>actor_forgotten_mutantsoldier.name</t>
        </is>
      </c>
      <c r="D60" t="inlineStr"/>
      <c r="E60" s="5" t="n">
        <v>40000</v>
      </c>
      <c r="F60" s="5" t="n">
        <v>60</v>
      </c>
      <c r="G60" t="inlineStr">
        <is>
          <t>None</t>
        </is>
      </c>
      <c r="H60" s="5" t="n">
        <v>1</v>
      </c>
      <c r="I60" s="5" t="n">
        <v>1</v>
      </c>
      <c r="J60" s="5" t="n">
        <v>1</v>
      </c>
      <c r="O60">
        <f>MAX(O61)</f>
        <v/>
      </c>
      <c r="R60">
        <f>R61</f>
        <v/>
      </c>
      <c r="S60">
        <f>(E60/100000+F60/100+(O60/1000)*J60/5+R60/200)*200*I60*H60</f>
        <v/>
      </c>
      <c r="T60">
        <f>((E60*F60/25000)+((O60/1000)*J60*R60/2.5))*I60*H60</f>
        <v/>
      </c>
      <c r="U60">
        <f>(E60*F60*(O60/1000)*J60*R60*I60*H60)/12500000</f>
        <v/>
      </c>
      <c r="V60">
        <f>(S60+T60+U60)/3</f>
        <v/>
      </c>
      <c r="W60" s="5" t="n">
        <v>250</v>
      </c>
      <c r="X60">
        <f>IFERROR(V60-W60,"")</f>
        <v/>
      </c>
      <c r="Y60">
        <f>IFERROR(ABS(X60)/MAX(W60,1),"")</f>
        <v/>
      </c>
      <c r="Z60">
        <f>IFERROR((W60-(((E60/100000+F60/100+R60/200)*200*I60*H60)+((E60*F60/25000)*I60*H60))/3)/(((J60/5)*200*I60*H60)+((J60*R60/2.5)*I60*H60)+((E60*F60*J60*R60*I60*H60)/12500000))/3*1000,"")</f>
        <v/>
      </c>
    </row>
    <row r="61">
      <c r="B61" s="6" t="inlineStr">
        <is>
          <t xml:space="preserve">  ↳ forgotten_mutantsoldier_rifle</t>
        </is>
      </c>
      <c r="C61" s="6" t="inlineStr">
        <is>
          <t>Armament@PRIMARY</t>
        </is>
      </c>
      <c r="K61" s="5" t="n">
        <v>8000</v>
      </c>
      <c r="L61" s="5" t="n">
        <v>50</v>
      </c>
      <c r="M61" s="5" t="n">
        <v>1</v>
      </c>
      <c r="N61" s="5" t="n"/>
      <c r="O61" s="5" t="n">
        <v>5000</v>
      </c>
      <c r="P61" s="5" t="n">
        <v>1</v>
      </c>
      <c r="Q61">
        <f>L61+IF(M61&gt;1,N(N61)*(M61-1),0)</f>
        <v/>
      </c>
      <c r="R61">
        <f>IFERROR(K61*MAX(M61,1)/Q61*P61,0)</f>
        <v/>
      </c>
      <c r="AA61" s="6" t="inlineStr">
        <is>
          <t>^SmallArms</t>
        </is>
      </c>
    </row>
    <row r="62">
      <c r="B62" s="6" t="inlineStr">
        <is>
          <t xml:space="preserve">  ↳ forgotten_mutantsoldier_rifle</t>
        </is>
      </c>
      <c r="C62" s="6" t="inlineStr">
        <is>
          <t>Armament@GARRISONED</t>
        </is>
      </c>
      <c r="K62" s="5" t="n">
        <v>8000</v>
      </c>
      <c r="L62" s="5" t="n">
        <v>50</v>
      </c>
      <c r="M62" s="5" t="n">
        <v>1</v>
      </c>
      <c r="N62" s="5" t="n"/>
      <c r="O62" s="5" t="n">
        <v>5000</v>
      </c>
      <c r="P62" s="5" t="n">
        <v>1</v>
      </c>
      <c r="Q62">
        <f>L62+IF(M62&gt;1,N(N62)*(M62-1),0)</f>
        <v/>
      </c>
      <c r="R62">
        <f>IFERROR(K62*MAX(M62,1)/Q62*P62,0)</f>
        <v/>
      </c>
      <c r="AA62" s="6" t="inlineStr">
        <is>
          <t>^SmallArms</t>
        </is>
      </c>
    </row>
    <row r="63">
      <c r="A63" t="inlineStr">
        <is>
          <t>tiberiansun</t>
        </is>
      </c>
      <c r="B63" t="inlineStr">
        <is>
          <t>forgotten_rocketinfantry</t>
        </is>
      </c>
      <c r="C63" t="inlineStr">
        <is>
          <t>actor_forgotten_rocketinfantry.name</t>
        </is>
      </c>
      <c r="D63" t="inlineStr"/>
      <c r="E63" s="5" t="n">
        <v>12000</v>
      </c>
      <c r="F63" s="5" t="n">
        <v>50</v>
      </c>
      <c r="G63" t="inlineStr">
        <is>
          <t>Flak</t>
        </is>
      </c>
      <c r="H63" s="5" t="n">
        <v>1</v>
      </c>
      <c r="I63" s="5" t="n">
        <v>1</v>
      </c>
      <c r="J63" s="5" t="n">
        <v>1</v>
      </c>
      <c r="O63">
        <f>MAX(O64,O66)</f>
        <v/>
      </c>
      <c r="R63">
        <f>R64+R66</f>
        <v/>
      </c>
      <c r="S63">
        <f>(E63/100000+F63/100+(O63/1000)*J63/5+R63/200)*200*I63*H63</f>
        <v/>
      </c>
      <c r="T63">
        <f>((E63*F63/25000)+((O63/1000)*J63*R63/2.5))*I63*H63</f>
        <v/>
      </c>
      <c r="U63">
        <f>(E63*F63*(O63/1000)*J63*R63*I63*H63)/12500000</f>
        <v/>
      </c>
      <c r="V63">
        <f>(S63+T63+U63)/3</f>
        <v/>
      </c>
      <c r="W63" s="5" t="n">
        <v>300</v>
      </c>
      <c r="X63">
        <f>IFERROR(V63-W63,"")</f>
        <v/>
      </c>
      <c r="Y63">
        <f>IFERROR(ABS(X63)/MAX(W63,1),"")</f>
        <v/>
      </c>
      <c r="Z63">
        <f>IFERROR((W63-(((E63/100000+F63/100+R63/200)*200*I63*H63)+((E63*F63/25000)*I63*H63))/3)/(((J63/5)*200*I63*H63)+((J63*R63/2.5)*I63*H63)+((E63*F63*J63*R63*I63*H63)/12500000))/3*1000,"")</f>
        <v/>
      </c>
    </row>
    <row r="64">
      <c r="B64" s="6" t="inlineStr">
        <is>
          <t xml:space="preserve">  ↳ TSBazooka</t>
        </is>
      </c>
      <c r="C64" s="6" t="inlineStr">
        <is>
          <t>Armament@PRIMARY</t>
        </is>
      </c>
      <c r="K64" s="5" t="n">
        <v>24000</v>
      </c>
      <c r="L64" s="5" t="n">
        <v>52</v>
      </c>
      <c r="M64" s="5" t="n">
        <v>1</v>
      </c>
      <c r="N64" s="5" t="n"/>
      <c r="O64" s="5" t="n">
        <v>6694</v>
      </c>
      <c r="P64" s="5" t="n">
        <v>1</v>
      </c>
      <c r="Q64">
        <f>L64+IF(M64&gt;1,N(N64)*(M64-1),0)</f>
        <v/>
      </c>
      <c r="R64">
        <f>IFERROR(K64*MAX(M64,1)/Q64*P64,0)</f>
        <v/>
      </c>
      <c r="AA64" s="6" t="inlineStr">
        <is>
          <t>^LightMissile</t>
        </is>
      </c>
    </row>
    <row r="65">
      <c r="B65" s="6" t="inlineStr">
        <is>
          <t xml:space="preserve">  ↳ TSBazooka</t>
        </is>
      </c>
      <c r="C65" s="6" t="inlineStr">
        <is>
          <t>Armament@GARRISONED</t>
        </is>
      </c>
      <c r="K65" s="5" t="n">
        <v>24000</v>
      </c>
      <c r="L65" s="5" t="n">
        <v>52</v>
      </c>
      <c r="M65" s="5" t="n">
        <v>1</v>
      </c>
      <c r="N65" s="5" t="n"/>
      <c r="O65" s="5" t="n">
        <v>6694</v>
      </c>
      <c r="P65" s="5" t="n">
        <v>1</v>
      </c>
      <c r="Q65">
        <f>L65+IF(M65&gt;1,N(N65)*(M65-1),0)</f>
        <v/>
      </c>
      <c r="R65">
        <f>IFERROR(K65*MAX(M65,1)/Q65*P65,0)</f>
        <v/>
      </c>
      <c r="AA65" s="6" t="inlineStr">
        <is>
          <t>^LightMissile</t>
        </is>
      </c>
    </row>
    <row r="66">
      <c r="B66" s="6" t="inlineStr">
        <is>
          <t xml:space="preserve">  ↳ TSChemBazooka</t>
        </is>
      </c>
      <c r="C66" s="6" t="inlineStr">
        <is>
          <t>Armament@UPGRADE</t>
        </is>
      </c>
      <c r="K66" s="5" t="n">
        <v>24000</v>
      </c>
      <c r="L66" s="5" t="n">
        <v>52</v>
      </c>
      <c r="M66" s="5" t="n">
        <v>1</v>
      </c>
      <c r="N66" s="5" t="n"/>
      <c r="O66" s="5" t="n">
        <v>6694</v>
      </c>
      <c r="P66" s="5" t="n">
        <v>1</v>
      </c>
      <c r="Q66">
        <f>L66+IF(M66&gt;1,N(N66)*(M66-1),0)</f>
        <v/>
      </c>
      <c r="R66">
        <f>IFERROR(K66*MAX(M66,1)/Q66*P66,0)</f>
        <v/>
      </c>
      <c r="AA66" s="6" t="inlineStr">
        <is>
          <t>^LightChemicalWeapon, ^LightMissile</t>
        </is>
      </c>
    </row>
    <row r="67">
      <c r="B67" s="6" t="inlineStr">
        <is>
          <t xml:space="preserve">  ↳ TSChemBazooka</t>
        </is>
      </c>
      <c r="C67" s="6" t="inlineStr">
        <is>
          <t>Armament@GARRISONEDUPGRADE</t>
        </is>
      </c>
      <c r="K67" s="5" t="n">
        <v>24000</v>
      </c>
      <c r="L67" s="5" t="n">
        <v>52</v>
      </c>
      <c r="M67" s="5" t="n">
        <v>1</v>
      </c>
      <c r="N67" s="5" t="n"/>
      <c r="O67" s="5" t="n">
        <v>6694</v>
      </c>
      <c r="P67" s="5" t="n">
        <v>1</v>
      </c>
      <c r="Q67">
        <f>L67+IF(M67&gt;1,N(N67)*(M67-1),0)</f>
        <v/>
      </c>
      <c r="R67">
        <f>IFERROR(K67*MAX(M67,1)/Q67*P67,0)</f>
        <v/>
      </c>
      <c r="AA67" s="6" t="inlineStr">
        <is>
          <t>^LightChemicalWeapon, ^LightMissile</t>
        </is>
      </c>
    </row>
    <row r="68">
      <c r="A68" t="inlineStr">
        <is>
          <t>tiberiansun</t>
        </is>
      </c>
      <c r="B68" t="inlineStr">
        <is>
          <t>forgotten_runnershotgal</t>
        </is>
      </c>
      <c r="C68" t="inlineStr">
        <is>
          <t>actor_forgotten_runnershotgal.name</t>
        </is>
      </c>
      <c r="D68" t="inlineStr"/>
      <c r="E68" s="5" t="n">
        <v>30000</v>
      </c>
      <c r="F68" s="5" t="n">
        <v>85</v>
      </c>
      <c r="G68" t="inlineStr">
        <is>
          <t>Plate</t>
        </is>
      </c>
      <c r="H68" s="5" t="n">
        <v>1</v>
      </c>
      <c r="I68" s="5" t="n">
        <v>1</v>
      </c>
      <c r="J68" s="5" t="n">
        <v>1</v>
      </c>
      <c r="O68">
        <f>MAX(O69)</f>
        <v/>
      </c>
      <c r="R68">
        <f>R69</f>
        <v/>
      </c>
      <c r="S68">
        <f>(E68/100000+F68/100+(O68/1000)*J68/5+R68/200)*200*I68*H68</f>
        <v/>
      </c>
      <c r="T68">
        <f>((E68*F68/25000)+((O68/1000)*J68*R68/2.5))*I68*H68</f>
        <v/>
      </c>
      <c r="U68">
        <f>(E68*F68*(O68/1000)*J68*R68*I68*H68)/12500000</f>
        <v/>
      </c>
      <c r="V68">
        <f>(S68+T68+U68)/3</f>
        <v/>
      </c>
      <c r="W68" s="5" t="n">
        <v>750</v>
      </c>
      <c r="X68">
        <f>IFERROR(V68-W68,"")</f>
        <v/>
      </c>
      <c r="Y68">
        <f>IFERROR(ABS(X68)/MAX(W68,1),"")</f>
        <v/>
      </c>
      <c r="Z68">
        <f>IFERROR((W68-(((E68/100000+F68/100+R68/200)*200*I68*H68)+((E68*F68/25000)*I68*H68))/3)/(((J68/5)*200*I68*H68)+((J68*R68/2.5)*I68*H68)+((E68*F68*J68*R68*I68*H68)/12500000))/3*1000,"")</f>
        <v/>
      </c>
    </row>
    <row r="69">
      <c r="B69" s="6" t="inlineStr">
        <is>
          <t xml:space="preserve">  ↳ TSMutShotgun</t>
        </is>
      </c>
      <c r="C69" s="6" t="inlineStr">
        <is>
          <t>Armament@PRIMARY</t>
        </is>
      </c>
      <c r="K69" s="5" t="n">
        <v>4000</v>
      </c>
      <c r="L69" s="5" t="n">
        <v>32</v>
      </c>
      <c r="M69" s="5" t="n">
        <v>1</v>
      </c>
      <c r="N69" s="5" t="n"/>
      <c r="O69" s="5" t="n">
        <v>3112</v>
      </c>
      <c r="P69" s="5" t="n">
        <v>1</v>
      </c>
      <c r="Q69">
        <f>L69+IF(M69&gt;1,N(N69)*(M69-1),0)</f>
        <v/>
      </c>
      <c r="R69">
        <f>IFERROR(K69*MAX(M69,1)/Q69*P69,0)</f>
        <v/>
      </c>
      <c r="AA69" s="6" t="inlineStr">
        <is>
          <t>^Grenade, ^ShrapnelWeapon, ^TankDestroyerCannon, ^MediumCannon, ^SmallArms, ^Chaingun</t>
        </is>
      </c>
    </row>
    <row r="70">
      <c r="B70" s="6" t="inlineStr">
        <is>
          <t xml:space="preserve">  ↳ TSMutShotgun</t>
        </is>
      </c>
      <c r="C70" s="6" t="inlineStr">
        <is>
          <t>Armament@GARRISONED</t>
        </is>
      </c>
      <c r="K70" s="5" t="n">
        <v>4000</v>
      </c>
      <c r="L70" s="5" t="n">
        <v>32</v>
      </c>
      <c r="M70" s="5" t="n">
        <v>1</v>
      </c>
      <c r="N70" s="5" t="n"/>
      <c r="O70" s="5" t="n">
        <v>3112</v>
      </c>
      <c r="P70" s="5" t="n">
        <v>1</v>
      </c>
      <c r="Q70">
        <f>L70+IF(M70&gt;1,N(N70)*(M70-1),0)</f>
        <v/>
      </c>
      <c r="R70">
        <f>IFERROR(K70*MAX(M70,1)/Q70*P70,0)</f>
        <v/>
      </c>
      <c r="AA70" s="6" t="inlineStr">
        <is>
          <t>^Grenade, ^ShrapnelWeapon, ^TankDestroyerCannon, ^MediumCannon, ^SmallArms, ^Chaingun</t>
        </is>
      </c>
    </row>
    <row r="71">
      <c r="A71" t="inlineStr">
        <is>
          <t>tiberiansun</t>
        </is>
      </c>
      <c r="B71" t="inlineStr">
        <is>
          <t>forgotten_tiberianfiend</t>
        </is>
      </c>
      <c r="C71" t="inlineStr">
        <is>
          <t>actor_forgotten_tiberianfiend.name</t>
        </is>
      </c>
      <c r="D71" t="inlineStr"/>
      <c r="E71" s="5" t="n">
        <v>80000</v>
      </c>
      <c r="F71" s="5" t="n">
        <v>60</v>
      </c>
      <c r="G71" t="inlineStr">
        <is>
          <t>Plate</t>
        </is>
      </c>
      <c r="H71" s="5" t="n">
        <v>1</v>
      </c>
      <c r="I71" s="5" t="n">
        <v>1</v>
      </c>
      <c r="J71" s="5" t="n">
        <v>1</v>
      </c>
      <c r="O71">
        <f>MAX(O72,O74)</f>
        <v/>
      </c>
      <c r="R71">
        <f>R72+R74</f>
        <v/>
      </c>
      <c r="S71">
        <f>(E71/100000+F71/100+(O71/1000)*J71/5+R71/200)*200*I71*H71</f>
        <v/>
      </c>
      <c r="T71">
        <f>((E71*F71/25000)+((O71/1000)*J71*R71/2.5))*I71*H71</f>
        <v/>
      </c>
      <c r="U71">
        <f>(E71*F71*(O71/1000)*J71*R71*I71*H71)/12500000</f>
        <v/>
      </c>
      <c r="V71">
        <f>(S71+T71+U71)/3</f>
        <v/>
      </c>
      <c r="W71" s="5" t="n">
        <v>1000</v>
      </c>
      <c r="X71">
        <f>IFERROR(V71-W71,"")</f>
        <v/>
      </c>
      <c r="Y71">
        <f>IFERROR(ABS(X71)/MAX(W71,1),"")</f>
        <v/>
      </c>
      <c r="Z71">
        <f>IFERROR((W71-(((E71/100000+F71/100+R71/200)*200*I71*H71)+((E71*F71/25000)*I71*H71))/3)/(((J71/5)*200*I71*H71)+((J71*R71/2.5)*I71*H71)+((E71*F71*J71*R71*I71*H71)/12500000))/3*1000,"")</f>
        <v/>
      </c>
    </row>
    <row r="72">
      <c r="B72" s="6" t="inlineStr">
        <is>
          <t xml:space="preserve">  ↳ TSFiendShard</t>
        </is>
      </c>
      <c r="C72" s="6" t="inlineStr">
        <is>
          <t>Armament@PRIMARY</t>
        </is>
      </c>
      <c r="K72" s="5" t="n">
        <v>6000</v>
      </c>
      <c r="L72" s="5" t="n">
        <v>36</v>
      </c>
      <c r="M72" s="5" t="n">
        <v>3</v>
      </c>
      <c r="N72" s="5" t="n">
        <v>2</v>
      </c>
      <c r="O72" s="5" t="n">
        <v>5690</v>
      </c>
      <c r="P72" s="5" t="n">
        <v>1</v>
      </c>
      <c r="Q72">
        <f>L72+IF(M72&gt;1,N(N72)*(M72-1),0)</f>
        <v/>
      </c>
      <c r="R72">
        <f>IFERROR(K72*MAX(M72,1)/Q72*P72,0)</f>
        <v/>
      </c>
      <c r="AA72" s="6" t="inlineStr">
        <is>
          <t>^LightChemicalWeapon, ^MediumChemicalWeapon</t>
        </is>
      </c>
    </row>
    <row r="73">
      <c r="B73" s="6" t="inlineStr">
        <is>
          <t xml:space="preserve">  ↳ TSFiendShard</t>
        </is>
      </c>
      <c r="C73" s="6" t="inlineStr">
        <is>
          <t>Armament@GARRISONED</t>
        </is>
      </c>
      <c r="K73" s="5" t="n">
        <v>6000</v>
      </c>
      <c r="L73" s="5" t="n">
        <v>36</v>
      </c>
      <c r="M73" s="5" t="n">
        <v>3</v>
      </c>
      <c r="N73" s="5" t="n">
        <v>2</v>
      </c>
      <c r="O73" s="5" t="n">
        <v>5690</v>
      </c>
      <c r="P73" s="5" t="n">
        <v>1</v>
      </c>
      <c r="Q73">
        <f>L73+IF(M73&gt;1,N(N73)*(M73-1),0)</f>
        <v/>
      </c>
      <c r="R73">
        <f>IFERROR(K73*MAX(M73,1)/Q73*P73,0)</f>
        <v/>
      </c>
      <c r="AA73" s="6" t="inlineStr">
        <is>
          <t>^LightChemicalWeapon, ^MediumChemicalWeapon</t>
        </is>
      </c>
    </row>
    <row r="74">
      <c r="B74" s="6" t="inlineStr">
        <is>
          <t xml:space="preserve">  ↳ TSFiendShardUP</t>
        </is>
      </c>
      <c r="C74" s="6" t="inlineStr">
        <is>
          <t>Armament@UPGRADE</t>
        </is>
      </c>
      <c r="K74" s="5" t="n">
        <v>6000</v>
      </c>
      <c r="L74" s="5" t="n">
        <v>36</v>
      </c>
      <c r="M74" s="5" t="n">
        <v>3</v>
      </c>
      <c r="N74" s="5" t="n">
        <v>2</v>
      </c>
      <c r="O74" s="5" t="n">
        <v>5690</v>
      </c>
      <c r="P74" s="5" t="n">
        <v>1</v>
      </c>
      <c r="Q74">
        <f>L74+IF(M74&gt;1,N(N74)*(M74-1),0)</f>
        <v/>
      </c>
      <c r="R74">
        <f>IFERROR(K74*MAX(M74,1)/Q74*P74,0)</f>
        <v/>
      </c>
      <c r="AA74" s="6" t="inlineStr">
        <is>
          <t>^LightChemicalWeapon, ^MediumChemicalWeapon, ^HeavyChemicalWeapon</t>
        </is>
      </c>
    </row>
    <row r="75">
      <c r="B75" s="6" t="inlineStr">
        <is>
          <t xml:space="preserve">  ↳ TSFiendShardUP</t>
        </is>
      </c>
      <c r="C75" s="6" t="inlineStr">
        <is>
          <t>Armament@GARRISONEDUPGRADE</t>
        </is>
      </c>
      <c r="K75" s="5" t="n">
        <v>6000</v>
      </c>
      <c r="L75" s="5" t="n">
        <v>36</v>
      </c>
      <c r="M75" s="5" t="n">
        <v>3</v>
      </c>
      <c r="N75" s="5" t="n">
        <v>2</v>
      </c>
      <c r="O75" s="5" t="n">
        <v>5690</v>
      </c>
      <c r="P75" s="5" t="n">
        <v>1</v>
      </c>
      <c r="Q75">
        <f>L75+IF(M75&gt;1,N(N75)*(M75-1),0)</f>
        <v/>
      </c>
      <c r="R75">
        <f>IFERROR(K75*MAX(M75,1)/Q75*P75,0)</f>
        <v/>
      </c>
      <c r="AA75" s="6" t="inlineStr">
        <is>
          <t>^LightChemicalWeapon, ^MediumChemicalWeapon, ^HeavyChemicalWeapon</t>
        </is>
      </c>
    </row>
    <row r="76">
      <c r="A76" t="inlineStr">
        <is>
          <t>tiberiansun</t>
        </is>
      </c>
      <c r="B76" t="inlineStr">
        <is>
          <t>forgotten_tiberianfiend_wild</t>
        </is>
      </c>
      <c r="C76" t="inlineStr">
        <is>
          <t>actor_forgotten_tiberianfiend.name</t>
        </is>
      </c>
      <c r="D76" t="inlineStr"/>
      <c r="E76" s="5" t="n">
        <v>80000</v>
      </c>
      <c r="F76" s="5" t="n">
        <v>60</v>
      </c>
      <c r="G76" t="inlineStr">
        <is>
          <t>Plate</t>
        </is>
      </c>
      <c r="H76" s="5" t="n">
        <v>1</v>
      </c>
      <c r="I76" s="5" t="n">
        <v>1</v>
      </c>
      <c r="J76" s="5" t="n">
        <v>1</v>
      </c>
      <c r="O76">
        <f>MAX(O77,O79)</f>
        <v/>
      </c>
      <c r="R76">
        <f>R77+R79</f>
        <v/>
      </c>
      <c r="S76">
        <f>(E76/100000+F76/100+(O76/1000)*J76/5+R76/200)*200*I76*H76</f>
        <v/>
      </c>
      <c r="T76">
        <f>((E76*F76/25000)+((O76/1000)*J76*R76/2.5))*I76*H76</f>
        <v/>
      </c>
      <c r="U76">
        <f>(E76*F76*(O76/1000)*J76*R76*I76*H76)/12500000</f>
        <v/>
      </c>
      <c r="V76">
        <f>(S76+T76+U76)/3</f>
        <v/>
      </c>
      <c r="W76" s="5" t="n">
        <v>1000</v>
      </c>
      <c r="X76">
        <f>IFERROR(V76-W76,"")</f>
        <v/>
      </c>
      <c r="Y76">
        <f>IFERROR(ABS(X76)/MAX(W76,1),"")</f>
        <v/>
      </c>
      <c r="Z76">
        <f>IFERROR((W76-(((E76/100000+F76/100+R76/200)*200*I76*H76)+((E76*F76/25000)*I76*H76))/3)/(((J76/5)*200*I76*H76)+((J76*R76/2.5)*I76*H76)+((E76*F76*J76*R76*I76*H76)/12500000))/3*1000,"")</f>
        <v/>
      </c>
    </row>
    <row r="77">
      <c r="B77" s="6" t="inlineStr">
        <is>
          <t xml:space="preserve">  ↳ TSFiendShard</t>
        </is>
      </c>
      <c r="C77" s="6" t="inlineStr">
        <is>
          <t>Armament@PRIMARY</t>
        </is>
      </c>
      <c r="K77" s="5" t="n">
        <v>6000</v>
      </c>
      <c r="L77" s="5" t="n">
        <v>36</v>
      </c>
      <c r="M77" s="5" t="n">
        <v>3</v>
      </c>
      <c r="N77" s="5" t="n">
        <v>2</v>
      </c>
      <c r="O77" s="5" t="n">
        <v>5690</v>
      </c>
      <c r="P77" s="5" t="n">
        <v>1</v>
      </c>
      <c r="Q77">
        <f>L77+IF(M77&gt;1,N(N77)*(M77-1),0)</f>
        <v/>
      </c>
      <c r="R77">
        <f>IFERROR(K77*MAX(M77,1)/Q77*P77,0)</f>
        <v/>
      </c>
      <c r="AA77" s="6" t="inlineStr">
        <is>
          <t>^LightChemicalWeapon, ^MediumChemicalWeapon</t>
        </is>
      </c>
    </row>
    <row r="78">
      <c r="B78" s="6" t="inlineStr">
        <is>
          <t xml:space="preserve">  ↳ TSFiendShard</t>
        </is>
      </c>
      <c r="C78" s="6" t="inlineStr">
        <is>
          <t>Armament@GARRISONED</t>
        </is>
      </c>
      <c r="K78" s="5" t="n">
        <v>6000</v>
      </c>
      <c r="L78" s="5" t="n">
        <v>36</v>
      </c>
      <c r="M78" s="5" t="n">
        <v>3</v>
      </c>
      <c r="N78" s="5" t="n">
        <v>2</v>
      </c>
      <c r="O78" s="5" t="n">
        <v>5690</v>
      </c>
      <c r="P78" s="5" t="n">
        <v>1</v>
      </c>
      <c r="Q78">
        <f>L78+IF(M78&gt;1,N(N78)*(M78-1),0)</f>
        <v/>
      </c>
      <c r="R78">
        <f>IFERROR(K78*MAX(M78,1)/Q78*P78,0)</f>
        <v/>
      </c>
      <c r="AA78" s="6" t="inlineStr">
        <is>
          <t>^LightChemicalWeapon, ^MediumChemicalWeapon</t>
        </is>
      </c>
    </row>
    <row r="79">
      <c r="B79" s="6" t="inlineStr">
        <is>
          <t xml:space="preserve">  ↳ TSFiendShardUP</t>
        </is>
      </c>
      <c r="C79" s="6" t="inlineStr">
        <is>
          <t>Armament@UPGRADE</t>
        </is>
      </c>
      <c r="K79" s="5" t="n">
        <v>6000</v>
      </c>
      <c r="L79" s="5" t="n">
        <v>36</v>
      </c>
      <c r="M79" s="5" t="n">
        <v>3</v>
      </c>
      <c r="N79" s="5" t="n">
        <v>2</v>
      </c>
      <c r="O79" s="5" t="n">
        <v>5690</v>
      </c>
      <c r="P79" s="5" t="n">
        <v>1</v>
      </c>
      <c r="Q79">
        <f>L79+IF(M79&gt;1,N(N79)*(M79-1),0)</f>
        <v/>
      </c>
      <c r="R79">
        <f>IFERROR(K79*MAX(M79,1)/Q79*P79,0)</f>
        <v/>
      </c>
      <c r="AA79" s="6" t="inlineStr">
        <is>
          <t>^LightChemicalWeapon, ^MediumChemicalWeapon, ^HeavyChemicalWeapon</t>
        </is>
      </c>
    </row>
    <row r="80">
      <c r="B80" s="6" t="inlineStr">
        <is>
          <t xml:space="preserve">  ↳ TSFiendShardUP</t>
        </is>
      </c>
      <c r="C80" s="6" t="inlineStr">
        <is>
          <t>Armament@GARRISONEDUPGRADE</t>
        </is>
      </c>
      <c r="K80" s="5" t="n">
        <v>6000</v>
      </c>
      <c r="L80" s="5" t="n">
        <v>36</v>
      </c>
      <c r="M80" s="5" t="n">
        <v>3</v>
      </c>
      <c r="N80" s="5" t="n">
        <v>2</v>
      </c>
      <c r="O80" s="5" t="n">
        <v>5690</v>
      </c>
      <c r="P80" s="5" t="n">
        <v>1</v>
      </c>
      <c r="Q80">
        <f>L80+IF(M80&gt;1,N(N80)*(M80-1),0)</f>
        <v/>
      </c>
      <c r="R80">
        <f>IFERROR(K80*MAX(M80,1)/Q80*P80,0)</f>
        <v/>
      </c>
      <c r="AA80" s="6" t="inlineStr">
        <is>
          <t>^LightChemicalWeapon, ^MediumChemicalWeapon, ^HeavyChemicalWeapon</t>
        </is>
      </c>
    </row>
    <row r="81">
      <c r="A81" t="inlineStr">
        <is>
          <t>tiberiansun</t>
        </is>
      </c>
      <c r="B81" t="inlineStr">
        <is>
          <t>forgotten_viniferafiend</t>
        </is>
      </c>
      <c r="C81" t="inlineStr">
        <is>
          <t>actor_forgotten_viniferafiend.name</t>
        </is>
      </c>
      <c r="D81" t="inlineStr"/>
      <c r="E81" s="5" t="n">
        <v>100000</v>
      </c>
      <c r="F81" s="5" t="n">
        <v>60</v>
      </c>
      <c r="G81" t="inlineStr">
        <is>
          <t>Plate</t>
        </is>
      </c>
      <c r="H81" s="5" t="n">
        <v>1</v>
      </c>
      <c r="I81" s="5" t="n">
        <v>1</v>
      </c>
      <c r="J81" s="5" t="n">
        <v>1</v>
      </c>
      <c r="O81">
        <f>MAX(O82,O84)</f>
        <v/>
      </c>
      <c r="R81">
        <f>R82+R84</f>
        <v/>
      </c>
      <c r="S81">
        <f>(E81/100000+F81/100+(O81/1000)*J81/5+R81/200)*200*I81*H81</f>
        <v/>
      </c>
      <c r="T81">
        <f>((E81*F81/25000)+((O81/1000)*J81*R81/2.5))*I81*H81</f>
        <v/>
      </c>
      <c r="U81">
        <f>(E81*F81*(O81/1000)*J81*R81*I81*H81)/12500000</f>
        <v/>
      </c>
      <c r="V81">
        <f>(S81+T81+U81)/3</f>
        <v/>
      </c>
      <c r="W81" s="5" t="n">
        <v>2000</v>
      </c>
      <c r="X81">
        <f>IFERROR(V81-W81,"")</f>
        <v/>
      </c>
      <c r="Y81">
        <f>IFERROR(ABS(X81)/MAX(W81,1),"")</f>
        <v/>
      </c>
      <c r="Z81">
        <f>IFERROR((W81-(((E81/100000+F81/100+R81/200)*200*I81*H81)+((E81*F81/25000)*I81*H81))/3)/(((J81/5)*200*I81*H81)+((J81*R81/2.5)*I81*H81)+((E81*F81*J81*R81*I81*H81)/12500000))/3*1000,"")</f>
        <v/>
      </c>
    </row>
    <row r="82">
      <c r="B82" s="6" t="inlineStr">
        <is>
          <t xml:space="preserve">  ↳ TSFiendShardBlue</t>
        </is>
      </c>
      <c r="C82" s="6" t="inlineStr">
        <is>
          <t>Armament@PRIMARY</t>
        </is>
      </c>
      <c r="K82" s="5" t="n">
        <v>6000</v>
      </c>
      <c r="L82" s="5" t="n">
        <v>36</v>
      </c>
      <c r="M82" s="5" t="n">
        <v>3</v>
      </c>
      <c r="N82" s="5" t="n">
        <v>2</v>
      </c>
      <c r="O82" s="5" t="n">
        <v>6096</v>
      </c>
      <c r="P82" s="5" t="n">
        <v>1</v>
      </c>
      <c r="Q82">
        <f>L82+IF(M82&gt;1,N(N82)*(M82-1),0)</f>
        <v/>
      </c>
      <c r="R82">
        <f>IFERROR(K82*MAX(M82,1)/Q82*P82,0)</f>
        <v/>
      </c>
      <c r="AA82" s="6" t="inlineStr">
        <is>
          <t>^Grenade, ^ShrapnelWeapon, ^LightChemicalWeapon, ^MediumChemicalWeapon</t>
        </is>
      </c>
    </row>
    <row r="83">
      <c r="B83" s="6" t="inlineStr">
        <is>
          <t xml:space="preserve">  ↳ TSFiendShardBlue</t>
        </is>
      </c>
      <c r="C83" s="6" t="inlineStr">
        <is>
          <t>Armament@GARRISONED</t>
        </is>
      </c>
      <c r="K83" s="5" t="n">
        <v>6000</v>
      </c>
      <c r="L83" s="5" t="n">
        <v>36</v>
      </c>
      <c r="M83" s="5" t="n">
        <v>3</v>
      </c>
      <c r="N83" s="5" t="n">
        <v>2</v>
      </c>
      <c r="O83" s="5" t="n">
        <v>6096</v>
      </c>
      <c r="P83" s="5" t="n">
        <v>1</v>
      </c>
      <c r="Q83">
        <f>L83+IF(M83&gt;1,N(N83)*(M83-1),0)</f>
        <v/>
      </c>
      <c r="R83">
        <f>IFERROR(K83*MAX(M83,1)/Q83*P83,0)</f>
        <v/>
      </c>
      <c r="AA83" s="6" t="inlineStr">
        <is>
          <t>^Grenade, ^ShrapnelWeapon, ^LightChemicalWeapon, ^MediumChemicalWeapon</t>
        </is>
      </c>
    </row>
    <row r="84">
      <c r="B84" s="6" t="inlineStr">
        <is>
          <t xml:space="preserve">  ↳ TSFiendShardBlueUP</t>
        </is>
      </c>
      <c r="C84" s="6" t="inlineStr">
        <is>
          <t>Armament@UPGRADE</t>
        </is>
      </c>
      <c r="K84" s="5" t="n">
        <v>6000</v>
      </c>
      <c r="L84" s="5" t="n">
        <v>36</v>
      </c>
      <c r="M84" s="5" t="n">
        <v>3</v>
      </c>
      <c r="N84" s="5" t="n">
        <v>2</v>
      </c>
      <c r="O84" s="5" t="n">
        <v>6096</v>
      </c>
      <c r="P84" s="5" t="n">
        <v>1</v>
      </c>
      <c r="Q84">
        <f>L84+IF(M84&gt;1,N(N84)*(M84-1),0)</f>
        <v/>
      </c>
      <c r="R84">
        <f>IFERROR(K84*MAX(M84,1)/Q84*P84,0)</f>
        <v/>
      </c>
      <c r="AA84" s="6" t="inlineStr">
        <is>
          <t>^Grenade, ^ShrapnelWeapon, ^LightChemicalWeapon, ^MediumChemicalWeapon, ^HeavyChemicalWeapon, ^HeavyBomb</t>
        </is>
      </c>
    </row>
    <row r="85">
      <c r="B85" s="6" t="inlineStr">
        <is>
          <t xml:space="preserve">  ↳ TSFiendShardBlueUP</t>
        </is>
      </c>
      <c r="C85" s="6" t="inlineStr">
        <is>
          <t>Armament@GARRISONEDUPGRADE</t>
        </is>
      </c>
      <c r="K85" s="5" t="n">
        <v>6000</v>
      </c>
      <c r="L85" s="5" t="n">
        <v>36</v>
      </c>
      <c r="M85" s="5" t="n">
        <v>3</v>
      </c>
      <c r="N85" s="5" t="n">
        <v>2</v>
      </c>
      <c r="O85" s="5" t="n">
        <v>6096</v>
      </c>
      <c r="P85" s="5" t="n">
        <v>1</v>
      </c>
      <c r="Q85">
        <f>L85+IF(M85&gt;1,N(N85)*(M85-1),0)</f>
        <v/>
      </c>
      <c r="R85">
        <f>IFERROR(K85*MAX(M85,1)/Q85*P85,0)</f>
        <v/>
      </c>
      <c r="AA85" s="6" t="inlineStr">
        <is>
          <t>^Grenade, ^ShrapnelWeapon, ^LightChemicalWeapon, ^MediumChemicalWeapon, ^HeavyChemicalWeapon, ^HeavyBomb</t>
        </is>
      </c>
    </row>
    <row r="86">
      <c r="A86" t="inlineStr">
        <is>
          <t>tiberiansun</t>
        </is>
      </c>
      <c r="B86" t="inlineStr">
        <is>
          <t>forgotten_visceroid</t>
        </is>
      </c>
      <c r="C86" t="inlineStr">
        <is>
          <t>Spray'em</t>
        </is>
      </c>
      <c r="D86" t="inlineStr"/>
      <c r="E86" s="5" t="n">
        <v>50000</v>
      </c>
      <c r="F86" s="5" t="n">
        <v>80</v>
      </c>
      <c r="G86" t="inlineStr">
        <is>
          <t>Plate</t>
        </is>
      </c>
      <c r="H86" s="5" t="n">
        <v>1</v>
      </c>
      <c r="I86" s="5" t="n">
        <v>1</v>
      </c>
      <c r="J86" s="5" t="n">
        <v>1</v>
      </c>
      <c r="O86">
        <f>MAX(O87,O89)</f>
        <v/>
      </c>
      <c r="R86">
        <f>R87+R89</f>
        <v/>
      </c>
      <c r="S86">
        <f>(E86/100000+F86/100+(O86/1000)*J86/5+R86/200)*200*I86*H86</f>
        <v/>
      </c>
      <c r="T86">
        <f>((E86*F86/25000)+((O86/1000)*J86*R86/2.5))*I86*H86</f>
        <v/>
      </c>
      <c r="U86">
        <f>(E86*F86*(O86/1000)*J86*R86*I86*H86)/12500000</f>
        <v/>
      </c>
      <c r="V86">
        <f>(S86+T86+U86)/3</f>
        <v/>
      </c>
      <c r="W86" s="5" t="n">
        <v>500</v>
      </c>
      <c r="X86">
        <f>IFERROR(V86-W86,"")</f>
        <v/>
      </c>
      <c r="Y86">
        <f>IFERROR(ABS(X86)/MAX(W86,1),"")</f>
        <v/>
      </c>
      <c r="Z86">
        <f>IFERROR((W86-(((E86/100000+F86/100+R86/200)*200*I86*H86)+((E86*F86/25000)*I86*H86))/3)/(((J86/5)*200*I86*H86)+((J86*R86/2.5)*I86*H86)+((E86*F86*J86*R86*I86*H86)/12500000))/3*1000,"")</f>
        <v/>
      </c>
    </row>
    <row r="87">
      <c r="B87" s="6" t="inlineStr">
        <is>
          <t xml:space="preserve">  ↳ TSVisceroidSpray</t>
        </is>
      </c>
      <c r="C87" s="6" t="inlineStr">
        <is>
          <t>Armament@PRIMARY</t>
        </is>
      </c>
      <c r="K87" s="5" t="n">
        <v>10000</v>
      </c>
      <c r="L87" s="5" t="n">
        <v>25</v>
      </c>
      <c r="M87" s="5" t="n">
        <v>1</v>
      </c>
      <c r="N87" s="5" t="n"/>
      <c r="O87" s="5" t="n">
        <v>1618</v>
      </c>
      <c r="P87" s="5" t="n">
        <v>1</v>
      </c>
      <c r="Q87">
        <f>L87+IF(M87&gt;1,N(N87)*(M87-1),0)</f>
        <v/>
      </c>
      <c r="R87">
        <f>IFERROR(K87*MAX(M87,1)/Q87*P87,0)</f>
        <v/>
      </c>
      <c r="AA87" s="6" t="inlineStr">
        <is>
          <t>^LightChemicalWeapon, ^MediumChemicalWeapon</t>
        </is>
      </c>
    </row>
    <row r="88">
      <c r="B88" s="6" t="inlineStr">
        <is>
          <t xml:space="preserve">  ↳ TSVisceroidSpray</t>
        </is>
      </c>
      <c r="C88" s="6" t="inlineStr">
        <is>
          <t>Armament@GARRISONED</t>
        </is>
      </c>
      <c r="K88" s="5" t="n">
        <v>10000</v>
      </c>
      <c r="L88" s="5" t="n">
        <v>25</v>
      </c>
      <c r="M88" s="5" t="n">
        <v>1</v>
      </c>
      <c r="N88" s="5" t="n"/>
      <c r="O88" s="5" t="n">
        <v>1618</v>
      </c>
      <c r="P88" s="5" t="n">
        <v>1</v>
      </c>
      <c r="Q88">
        <f>L88+IF(M88&gt;1,N(N88)*(M88-1),0)</f>
        <v/>
      </c>
      <c r="R88">
        <f>IFERROR(K88*MAX(M88,1)/Q88*P88,0)</f>
        <v/>
      </c>
      <c r="AA88" s="6" t="inlineStr">
        <is>
          <t>^LightChemicalWeapon, ^MediumChemicalWeapon</t>
        </is>
      </c>
    </row>
    <row r="89">
      <c r="B89" s="6" t="inlineStr">
        <is>
          <t xml:space="preserve">  ↳ TSVisceroidSprayUP</t>
        </is>
      </c>
      <c r="C89" s="6" t="inlineStr">
        <is>
          <t>Armament@UPGRADE</t>
        </is>
      </c>
      <c r="K89" s="5" t="n">
        <v>10000</v>
      </c>
      <c r="L89" s="5" t="n">
        <v>25</v>
      </c>
      <c r="M89" s="5" t="n">
        <v>1</v>
      </c>
      <c r="N89" s="5" t="n"/>
      <c r="O89" s="5" t="n">
        <v>1618</v>
      </c>
      <c r="P89" s="5" t="n">
        <v>1</v>
      </c>
      <c r="Q89">
        <f>L89+IF(M89&gt;1,N(N89)*(M89-1),0)</f>
        <v/>
      </c>
      <c r="R89">
        <f>IFERROR(K89*MAX(M89,1)/Q89*P89,0)</f>
        <v/>
      </c>
      <c r="AA89" s="6" t="inlineStr">
        <is>
          <t>^LightChemicalWeapon, ^MediumChemicalWeapon, ^HeavyChemicalWeapon</t>
        </is>
      </c>
    </row>
    <row r="90">
      <c r="B90" s="6" t="inlineStr">
        <is>
          <t xml:space="preserve">  ↳ TSVisceroidSprayUP</t>
        </is>
      </c>
      <c r="C90" s="6" t="inlineStr">
        <is>
          <t>Armament@GARRISONEDUPGRADE</t>
        </is>
      </c>
      <c r="K90" s="5" t="n">
        <v>10000</v>
      </c>
      <c r="L90" s="5" t="n">
        <v>25</v>
      </c>
      <c r="M90" s="5" t="n">
        <v>1</v>
      </c>
      <c r="N90" s="5" t="n"/>
      <c r="O90" s="5" t="n">
        <v>1618</v>
      </c>
      <c r="P90" s="5" t="n">
        <v>1</v>
      </c>
      <c r="Q90">
        <f>L90+IF(M90&gt;1,N(N90)*(M90-1),0)</f>
        <v/>
      </c>
      <c r="R90">
        <f>IFERROR(K90*MAX(M90,1)/Q90*P90,0)</f>
        <v/>
      </c>
      <c r="AA90" s="6" t="inlineStr">
        <is>
          <t>^LightChemicalWeapon, ^MediumChemicalWeapon, ^HeavyChemicalWeapon</t>
        </is>
      </c>
    </row>
    <row r="91">
      <c r="A91" t="inlineStr">
        <is>
          <t>tiberiansun</t>
        </is>
      </c>
      <c r="B91" t="inlineStr">
        <is>
          <t>forgotten_zombiemutant</t>
        </is>
      </c>
      <c r="C91" t="inlineStr">
        <is>
          <t>actor_forgotten_zombiemutant.name</t>
        </is>
      </c>
      <c r="D91" t="inlineStr"/>
      <c r="E91" s="5" t="n">
        <v>45000</v>
      </c>
      <c r="F91" s="5" t="n">
        <v>100</v>
      </c>
      <c r="G91" t="inlineStr">
        <is>
          <t>Plate</t>
        </is>
      </c>
      <c r="H91" s="5" t="n">
        <v>1</v>
      </c>
      <c r="I91" s="5" t="n">
        <v>1</v>
      </c>
      <c r="J91" s="5" t="n">
        <v>1</v>
      </c>
      <c r="O91">
        <f>MAX(O92)</f>
        <v/>
      </c>
      <c r="R91">
        <f>R92</f>
        <v/>
      </c>
      <c r="S91">
        <f>(E91/100000+F91/100+(O91/1000)*J91/5+R91/200)*200*I91*H91</f>
        <v/>
      </c>
      <c r="T91">
        <f>((E91*F91/25000)+((O91/1000)*J91*R91/2.5))*I91*H91</f>
        <v/>
      </c>
      <c r="U91">
        <f>(E91*F91*(O91/1000)*J91*R91*I91*H91)/12500000</f>
        <v/>
      </c>
      <c r="V91">
        <f>(S91+T91+U91)/3</f>
        <v/>
      </c>
      <c r="W91" s="5" t="n">
        <v>500</v>
      </c>
      <c r="X91">
        <f>IFERROR(V91-W91,"")</f>
        <v/>
      </c>
      <c r="Y91">
        <f>IFERROR(ABS(X91)/MAX(W91,1),"")</f>
        <v/>
      </c>
      <c r="Z91">
        <f>IFERROR((W91-(((E91/100000+F91/100+R91/200)*200*I91*H91)+((E91*F91/25000)*I91*H91))/3)/(((J91/5)*200*I91*H91)+((J91*R91/2.5)*I91*H91)+((E91*F91*J91*R91*I91*H91)/12500000))/3*1000,"")</f>
        <v/>
      </c>
    </row>
    <row r="92">
      <c r="B92" s="6" t="inlineStr">
        <is>
          <t xml:space="preserve">  ↳ TSZombieAttack</t>
        </is>
      </c>
      <c r="C92" s="6" t="inlineStr">
        <is>
          <t>Armament@PRIMARY</t>
        </is>
      </c>
      <c r="K92" s="5" t="n">
        <v>16000</v>
      </c>
      <c r="L92" s="5" t="n">
        <v>20</v>
      </c>
      <c r="M92" s="5" t="n">
        <v>1</v>
      </c>
      <c r="N92" s="5" t="n"/>
      <c r="O92" s="5" t="n">
        <v>1127</v>
      </c>
      <c r="P92" s="5" t="n">
        <v>1</v>
      </c>
      <c r="Q92">
        <f>L92+IF(M92&gt;1,N(N92)*(M92-1),0)</f>
        <v/>
      </c>
      <c r="R92">
        <f>IFERROR(K92*MAX(M92,1)/Q92*P92,0)</f>
        <v/>
      </c>
      <c r="AA92" s="6" t="inlineStr">
        <is>
          <t>^SwordWeapon</t>
        </is>
      </c>
    </row>
    <row r="93">
      <c r="B93" s="6" t="inlineStr">
        <is>
          <t xml:space="preserve">  ↳ TSZombieAttack</t>
        </is>
      </c>
      <c r="C93" s="6" t="inlineStr">
        <is>
          <t>Armament@GARRISONED</t>
        </is>
      </c>
      <c r="K93" s="5" t="n">
        <v>16000</v>
      </c>
      <c r="L93" s="5" t="n">
        <v>20</v>
      </c>
      <c r="M93" s="5" t="n">
        <v>1</v>
      </c>
      <c r="N93" s="5" t="n"/>
      <c r="O93" s="5" t="n">
        <v>1127</v>
      </c>
      <c r="P93" s="5" t="n">
        <v>1</v>
      </c>
      <c r="Q93">
        <f>L93+IF(M93&gt;1,N(N93)*(M93-1),0)</f>
        <v/>
      </c>
      <c r="R93">
        <f>IFERROR(K93*MAX(M93,1)/Q93*P93,0)</f>
        <v/>
      </c>
      <c r="AA93" s="6" t="inlineStr">
        <is>
          <t>^SwordWeapon</t>
        </is>
      </c>
    </row>
    <row r="94">
      <c r="A94" s="3" t="inlineStr">
        <is>
          <t>VEHICLES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</row>
    <row r="95">
      <c r="A95" t="inlineStr">
        <is>
          <t>tiberiansun</t>
        </is>
      </c>
      <c r="B95" t="inlineStr">
        <is>
          <t>forgotten_apctruck</t>
        </is>
      </c>
      <c r="C95" t="inlineStr">
        <is>
          <t>actor_forgotten_apctruck.name</t>
        </is>
      </c>
      <c r="D95" t="inlineStr"/>
      <c r="E95" s="5" t="n">
        <v>80000</v>
      </c>
      <c r="F95" s="5" t="n">
        <v>80</v>
      </c>
      <c r="G95" t="inlineStr">
        <is>
          <t>Light</t>
        </is>
      </c>
      <c r="H95" s="5" t="n">
        <v>1</v>
      </c>
      <c r="I95" s="5" t="n">
        <v>1</v>
      </c>
      <c r="J95" s="5" t="n">
        <v>1</v>
      </c>
      <c r="O95">
        <f>MAX(O96)</f>
        <v/>
      </c>
      <c r="R95">
        <f>R96</f>
        <v/>
      </c>
      <c r="S95">
        <f>(E95/100000+F95/100+(O95/1000)*J95/5+R95/200)*200*I95*H95</f>
        <v/>
      </c>
      <c r="T95">
        <f>((E95*F95/25000)+((O95/1000)*J95*R95/2.5))*I95*H95</f>
        <v/>
      </c>
      <c r="U95">
        <f>(E95*F95*(O95/1000)*J95*R95*I95*H95)/12500000</f>
        <v/>
      </c>
      <c r="V95">
        <f>(S95+T95+U95)/3</f>
        <v/>
      </c>
      <c r="W95" s="5" t="n">
        <v>1260</v>
      </c>
      <c r="X95">
        <f>IFERROR(V95-W95,"")</f>
        <v/>
      </c>
      <c r="Y95">
        <f>IFERROR(ABS(X95)/MAX(W95,1),"")</f>
        <v/>
      </c>
      <c r="Z95">
        <f>IFERROR((W95-(((E95/100000+F95/100+R95/200)*200*I95*H95)+((E95*F95/25000)*I95*H95))/3)/(((J95/5)*200*I95*H95)+((J95*R95/2.5)*I95*H95)+((E95*F95*J95*R95*I95*H95)/12500000))/3*1000,"")</f>
        <v/>
      </c>
    </row>
    <row r="96">
      <c r="B96" s="6" t="inlineStr">
        <is>
          <t xml:space="preserve">  ↳ TSMutApcCannon</t>
        </is>
      </c>
      <c r="C96" s="6" t="inlineStr">
        <is>
          <t>Armament</t>
        </is>
      </c>
      <c r="K96" s="5" t="n">
        <v>2000</v>
      </c>
      <c r="L96" s="5" t="n">
        <v>12</v>
      </c>
      <c r="M96" s="5" t="n">
        <v>1</v>
      </c>
      <c r="N96" s="5" t="n"/>
      <c r="O96" s="5" t="n">
        <v>6147</v>
      </c>
      <c r="P96" s="5" t="n">
        <v>1</v>
      </c>
      <c r="Q96">
        <f>L96+IF(M96&gt;1,N(N96)*(M96-1),0)</f>
        <v/>
      </c>
      <c r="R96">
        <f>IFERROR(K96*MAX(M96,1)/Q96*P96,0)</f>
        <v/>
      </c>
      <c r="AA96" s="6" t="inlineStr">
        <is>
          <t>^Chaingun, ^FlakWeapon</t>
        </is>
      </c>
    </row>
    <row r="97">
      <c r="A97" t="inlineStr">
        <is>
          <t>tiberiansun</t>
        </is>
      </c>
      <c r="B97" t="inlineStr">
        <is>
          <t>forgotten_bowler</t>
        </is>
      </c>
      <c r="C97" t="inlineStr">
        <is>
          <t>actor_forgotten_bowler.name</t>
        </is>
      </c>
      <c r="D97" t="inlineStr"/>
      <c r="E97" s="5" t="n">
        <v>40000</v>
      </c>
      <c r="F97" s="5" t="n">
        <v>120</v>
      </c>
      <c r="G97" t="inlineStr">
        <is>
          <t>Scout</t>
        </is>
      </c>
      <c r="H97" s="5" t="n">
        <v>1</v>
      </c>
      <c r="I97" s="5" t="n">
        <v>1</v>
      </c>
      <c r="J97" s="5" t="n">
        <v>1</v>
      </c>
      <c r="O97">
        <f>MAX(O98)</f>
        <v/>
      </c>
      <c r="R97">
        <f>R98</f>
        <v/>
      </c>
      <c r="S97">
        <f>(E97/100000+F97/100+(O97/1000)*J97/5+R97/200)*200*I97*H97</f>
        <v/>
      </c>
      <c r="T97">
        <f>((E97*F97/25000)+((O97/1000)*J97*R97/2.5))*I97*H97</f>
        <v/>
      </c>
      <c r="U97">
        <f>(E97*F97*(O97/1000)*J97*R97*I97*H97)/12500000</f>
        <v/>
      </c>
      <c r="V97">
        <f>(S97+T97+U97)/3</f>
        <v/>
      </c>
      <c r="W97" s="5" t="n">
        <v>850</v>
      </c>
      <c r="X97">
        <f>IFERROR(V97-W97,"")</f>
        <v/>
      </c>
      <c r="Y97">
        <f>IFERROR(ABS(X97)/MAX(W97,1),"")</f>
        <v/>
      </c>
      <c r="Z97">
        <f>IFERROR((W97-(((E97/100000+F97/100+R97/200)*200*I97*H97)+((E97*F97/25000)*I97*H97))/3)/(((J97/5)*200*I97*H97)+((J97*R97/2.5)*I97*H97)+((E97*F97*J97*R97*I97*H97)/12500000))/3*1000,"")</f>
        <v/>
      </c>
    </row>
    <row r="98">
      <c r="B98" s="6" t="inlineStr">
        <is>
          <t xml:space="preserve">  ↳ TSBowlerCannon</t>
        </is>
      </c>
      <c r="C98" s="6" t="inlineStr">
        <is>
          <t>Armament</t>
        </is>
      </c>
      <c r="K98" s="5" t="n">
        <v>2000</v>
      </c>
      <c r="L98" s="5" t="n">
        <v>5</v>
      </c>
      <c r="M98" s="5" t="n">
        <v>1</v>
      </c>
      <c r="N98" s="5" t="n"/>
      <c r="O98" s="5" t="n">
        <v>6603</v>
      </c>
      <c r="P98" s="5" t="n">
        <v>1</v>
      </c>
      <c r="Q98">
        <f>L98+IF(M98&gt;1,N(N98)*(M98-1),0)</f>
        <v/>
      </c>
      <c r="R98">
        <f>IFERROR(K98*MAX(M98,1)/Q98*P98,0)</f>
        <v/>
      </c>
      <c r="AA98" s="6" t="inlineStr">
        <is>
          <t>^SmallArms, ^Chaingun</t>
        </is>
      </c>
    </row>
    <row r="99">
      <c r="A99" t="inlineStr">
        <is>
          <t>tiberiansun</t>
        </is>
      </c>
      <c r="B99" t="inlineStr">
        <is>
          <t>forgotten_chemicalmammothtank</t>
        </is>
      </c>
      <c r="C99" t="inlineStr">
        <is>
          <t>actor_forgotten_chemicalmammothtank.name</t>
        </is>
      </c>
      <c r="D99" t="inlineStr"/>
      <c r="E99" s="5" t="n">
        <v>400000</v>
      </c>
      <c r="F99" s="5" t="n">
        <v>60</v>
      </c>
      <c r="G99" t="inlineStr">
        <is>
          <t>Superheavy</t>
        </is>
      </c>
      <c r="H99" s="5" t="n">
        <v>1</v>
      </c>
      <c r="I99" s="5" t="n">
        <v>1</v>
      </c>
      <c r="J99" s="5" t="n">
        <v>1</v>
      </c>
      <c r="O99">
        <f>MAX(O100,O101)</f>
        <v/>
      </c>
      <c r="R99">
        <f>R100+R101</f>
        <v/>
      </c>
      <c r="S99">
        <f>(E99/100000+F99/100+(O99/1000)*J99/5+R99/200)*200*I99*H99</f>
        <v/>
      </c>
      <c r="T99">
        <f>((E99*F99/25000)+((O99/1000)*J99*R99/2.5))*I99*H99</f>
        <v/>
      </c>
      <c r="U99">
        <f>(E99*F99*(O99/1000)*J99*R99*I99*H99)/12500000</f>
        <v/>
      </c>
      <c r="V99">
        <f>(S99+T99+U99)/3</f>
        <v/>
      </c>
      <c r="W99" s="5" t="n">
        <v>5000</v>
      </c>
      <c r="X99">
        <f>IFERROR(V99-W99,"")</f>
        <v/>
      </c>
      <c r="Y99">
        <f>IFERROR(ABS(X99)/MAX(W99,1),"")</f>
        <v/>
      </c>
      <c r="Z99">
        <f>IFERROR((W99-(((E99/100000+F99/100+R99/200)*200*I99*H99)+((E99*F99/25000)*I99*H99))/3)/(((J99/5)*200*I99*H99)+((J99*R99/2.5)*I99*H99)+((E99*F99*J99*R99*I99*H99)/12500000))/3*1000,"")</f>
        <v/>
      </c>
    </row>
    <row r="100">
      <c r="B100" s="6" t="inlineStr">
        <is>
          <t xml:space="preserve">  ↳ TS120mmxChem</t>
        </is>
      </c>
      <c r="C100" s="6" t="inlineStr">
        <is>
          <t>Armament@PRIMARY</t>
        </is>
      </c>
      <c r="K100" s="5" t="n">
        <v>40000</v>
      </c>
      <c r="L100" s="5" t="n">
        <v>60</v>
      </c>
      <c r="M100" s="5" t="n">
        <v>2</v>
      </c>
      <c r="N100" s="5" t="n">
        <v>4</v>
      </c>
      <c r="O100" s="5" t="n">
        <v>6172</v>
      </c>
      <c r="P100" s="5" t="n">
        <v>1</v>
      </c>
      <c r="Q100">
        <f>L100+IF(M100&gt;1,N(N100)*(M100-1),0)</f>
        <v/>
      </c>
      <c r="R100">
        <f>IFERROR(K100*MAX(M100,1)/Q100*P100,0)</f>
        <v/>
      </c>
      <c r="AA100" s="6" t="inlineStr">
        <is>
          <t>^HeavyBomb, ^HeavyChemicalWeapon, ^TSCannonEffect</t>
        </is>
      </c>
    </row>
    <row r="101">
      <c r="B101" s="6" t="inlineStr">
        <is>
          <t xml:space="preserve">  ↳ TSMammothTuskChem</t>
        </is>
      </c>
      <c r="C101" s="6" t="inlineStr">
        <is>
          <t>Armament@SECONDARY</t>
        </is>
      </c>
      <c r="K101" s="5" t="n">
        <v>20000</v>
      </c>
      <c r="L101" s="5" t="n">
        <v>48</v>
      </c>
      <c r="M101" s="5" t="n">
        <v>4</v>
      </c>
      <c r="N101" s="5" t="n">
        <v>6</v>
      </c>
      <c r="O101" s="5" t="n">
        <v>6172</v>
      </c>
      <c r="P101" s="5" t="n">
        <v>1</v>
      </c>
      <c r="Q101">
        <f>L101+IF(M101&gt;1,N(N101)*(M101-1),0)</f>
        <v/>
      </c>
      <c r="R101">
        <f>IFERROR(K101*MAX(M101,1)/Q101*P101,0)</f>
        <v/>
      </c>
      <c r="AA101" s="6" t="inlineStr">
        <is>
          <t>^HeavyMissile, ^HeavyChemicalWeapon</t>
        </is>
      </c>
    </row>
    <row r="102">
      <c r="A102" t="inlineStr">
        <is>
          <t>tiberiansun</t>
        </is>
      </c>
      <c r="B102" t="inlineStr">
        <is>
          <t>forgotten_closhtank</t>
        </is>
      </c>
      <c r="C102" t="inlineStr">
        <is>
          <t>actor_forgotten_closhtank.name</t>
        </is>
      </c>
      <c r="D102" t="inlineStr"/>
      <c r="E102" s="5" t="n">
        <v>120000</v>
      </c>
      <c r="F102" s="5" t="n">
        <v>80</v>
      </c>
      <c r="G102" t="inlineStr">
        <is>
          <t>Heavy</t>
        </is>
      </c>
      <c r="H102" s="5" t="n">
        <v>1</v>
      </c>
      <c r="I102" s="5" t="n">
        <v>1</v>
      </c>
      <c r="J102" s="5" t="n">
        <v>1</v>
      </c>
      <c r="O102">
        <f>MAX(O103,O104)</f>
        <v/>
      </c>
      <c r="R102">
        <f>R103+R104</f>
        <v/>
      </c>
      <c r="S102">
        <f>(E102/100000+F102/100+(O102/1000)*J102/5+R102/200)*200*I102*H102</f>
        <v/>
      </c>
      <c r="T102">
        <f>((E102*F102/25000)+((O102/1000)*J102*R102/2.5))*I102*H102</f>
        <v/>
      </c>
      <c r="U102">
        <f>(E102*F102*(O102/1000)*J102*R102*I102*H102)/12500000</f>
        <v/>
      </c>
      <c r="V102">
        <f>(S102+T102+U102)/3</f>
        <v/>
      </c>
      <c r="W102" s="5" t="n">
        <v>1000</v>
      </c>
      <c r="X102">
        <f>IFERROR(V102-W102,"")</f>
        <v/>
      </c>
      <c r="Y102">
        <f>IFERROR(ABS(X102)/MAX(W102,1),"")</f>
        <v/>
      </c>
      <c r="Z102">
        <f>IFERROR((W102-(((E102/100000+F102/100+R102/200)*200*I102*H102)+((E102*F102/25000)*I102*H102))/3)/(((J102/5)*200*I102*H102)+((J102*R102/2.5)*I102*H102)+((E102*F102*J102*R102*I102*H102)/12500000))/3*1000,"")</f>
        <v/>
      </c>
    </row>
    <row r="103">
      <c r="B103" s="6" t="inlineStr">
        <is>
          <t xml:space="preserve">  ↳ MutFlamer</t>
        </is>
      </c>
      <c r="C103" s="6" t="inlineStr">
        <is>
          <t>Armament@PRIMARY</t>
        </is>
      </c>
      <c r="K103" s="5" t="n">
        <v>28000</v>
      </c>
      <c r="L103" s="5" t="n">
        <v>50</v>
      </c>
      <c r="M103" s="5" t="n">
        <v>1</v>
      </c>
      <c r="N103" s="5" t="n"/>
      <c r="O103" s="5" t="n">
        <v>2386</v>
      </c>
      <c r="P103" s="5" t="n">
        <v>1</v>
      </c>
      <c r="Q103">
        <f>L103+IF(M103&gt;1,N(N103)*(M103-1),0)</f>
        <v/>
      </c>
      <c r="R103">
        <f>IFERROR(K103*MAX(M103,1)/Q103*P103,0)</f>
        <v/>
      </c>
      <c r="AA103" s="6" t="inlineStr">
        <is>
          <t>^MediumFlameWeapon</t>
        </is>
      </c>
    </row>
    <row r="104">
      <c r="B104" s="6" t="inlineStr">
        <is>
          <t xml:space="preserve">  ↳ MutFlamerChem</t>
        </is>
      </c>
      <c r="C104" s="6" t="inlineStr">
        <is>
          <t>Armament@UPGRADE</t>
        </is>
      </c>
      <c r="K104" s="5" t="n">
        <v>28000</v>
      </c>
      <c r="L104" s="5" t="n">
        <v>50</v>
      </c>
      <c r="M104" s="5" t="n">
        <v>1</v>
      </c>
      <c r="N104" s="5" t="n"/>
      <c r="O104" s="5" t="n">
        <v>2386</v>
      </c>
      <c r="P104" s="5" t="n">
        <v>1</v>
      </c>
      <c r="Q104">
        <f>L104+IF(M104&gt;1,N(N104)*(M104-1),0)</f>
        <v/>
      </c>
      <c r="R104">
        <f>IFERROR(K104*MAX(M104,1)/Q104*P104,0)</f>
        <v/>
      </c>
      <c r="AA104" s="6" t="inlineStr">
        <is>
          <t>^MediumFlameWeapon, ^MediumChemicalWeapon</t>
        </is>
      </c>
    </row>
    <row r="105">
      <c r="A105" t="inlineStr">
        <is>
          <t>tiberiansun</t>
        </is>
      </c>
      <c r="B105" t="inlineStr">
        <is>
          <t>forgotten_experimentalmammothtank</t>
        </is>
      </c>
      <c r="C105" t="inlineStr">
        <is>
          <t>actor_forgotten_experimentalmammothtank.name</t>
        </is>
      </c>
      <c r="D105" t="inlineStr"/>
      <c r="E105" s="5" t="n">
        <v>1000000</v>
      </c>
      <c r="F105" s="5" t="n">
        <v>50</v>
      </c>
      <c r="G105" t="inlineStr">
        <is>
          <t>Superheavy</t>
        </is>
      </c>
      <c r="H105" s="5" t="n">
        <v>1</v>
      </c>
      <c r="I105" s="5" t="n">
        <v>1</v>
      </c>
      <c r="J105" s="5" t="n">
        <v>1</v>
      </c>
      <c r="O105">
        <f>MAX(O106,O107,O108)</f>
        <v/>
      </c>
      <c r="R105">
        <f>R106+R107+R108</f>
        <v/>
      </c>
      <c r="S105">
        <f>(E105/100000+F105/100+(O105/1000)*J105/5+R105/200)*200*I105*H105</f>
        <v/>
      </c>
      <c r="T105">
        <f>((E105*F105/25000)+((O105/1000)*J105*R105/2.5))*I105*H105</f>
        <v/>
      </c>
      <c r="U105">
        <f>(E105*F105*(O105/1000)*J105*R105*I105*H105)/12500000</f>
        <v/>
      </c>
      <c r="V105">
        <f>(S105+T105+U105)/3</f>
        <v/>
      </c>
      <c r="W105" s="5" t="n">
        <v>6000</v>
      </c>
      <c r="X105">
        <f>IFERROR(V105-W105,"")</f>
        <v/>
      </c>
      <c r="Y105">
        <f>IFERROR(ABS(X105)/MAX(W105,1),"")</f>
        <v/>
      </c>
      <c r="Z105">
        <f>IFERROR((W105-(((E105/100000+F105/100+R105/200)*200*I105*H105)+((E105*F105/25000)*I105*H105))/3)/(((J105/5)*200*I105*H105)+((J105*R105/2.5)*I105*H105)+((E105*F105*J105*R105*I105*H105)/12500000))/3*1000,"")</f>
        <v/>
      </c>
    </row>
    <row r="106">
      <c r="B106" s="6" t="inlineStr">
        <is>
          <t xml:space="preserve">  ↳ TS120mmx</t>
        </is>
      </c>
      <c r="C106" s="6" t="inlineStr">
        <is>
          <t>Armament@PRIMARY</t>
        </is>
      </c>
      <c r="K106" s="5" t="n">
        <v>30000</v>
      </c>
      <c r="L106" s="5" t="n">
        <v>52</v>
      </c>
      <c r="M106" s="5" t="n">
        <v>2</v>
      </c>
      <c r="N106" s="5" t="n">
        <v>4</v>
      </c>
      <c r="O106" s="5" t="n">
        <v>5677</v>
      </c>
      <c r="P106" s="5" t="n">
        <v>1</v>
      </c>
      <c r="Q106">
        <f>L106+IF(M106&gt;1,N(N106)*(M106-1),0)</f>
        <v/>
      </c>
      <c r="R106">
        <f>IFERROR(K106*MAX(M106,1)/Q106*P106,0)</f>
        <v/>
      </c>
      <c r="AA106" s="6" t="inlineStr">
        <is>
          <t>^TSCannon, ^ShrapnelWeapon, ^MediumCannon</t>
        </is>
      </c>
    </row>
    <row r="107">
      <c r="B107" s="6" t="inlineStr">
        <is>
          <t xml:space="preserve">  ↳ TSChem120mmx</t>
        </is>
      </c>
      <c r="C107" s="6" t="inlineStr">
        <is>
          <t>Armament@UPGRADE</t>
        </is>
      </c>
      <c r="K107" s="5" t="n">
        <v>30000</v>
      </c>
      <c r="L107" s="5" t="n">
        <v>52</v>
      </c>
      <c r="M107" s="5" t="n">
        <v>2</v>
      </c>
      <c r="N107" s="5" t="n">
        <v>4</v>
      </c>
      <c r="O107" s="5" t="n">
        <v>5677</v>
      </c>
      <c r="P107" s="5" t="n">
        <v>1</v>
      </c>
      <c r="Q107">
        <f>L107+IF(M107&gt;1,N(N107)*(M107-1),0)</f>
        <v/>
      </c>
      <c r="R107">
        <f>IFERROR(K107*MAX(M107,1)/Q107*P107,0)</f>
        <v/>
      </c>
      <c r="AA107" s="6" t="inlineStr">
        <is>
          <t>^TSCannon, ^MediumChemicalWeapon, ^ShrapnelWeapon, ^MediumCannon</t>
        </is>
      </c>
    </row>
    <row r="108">
      <c r="B108" s="6" t="inlineStr">
        <is>
          <t xml:space="preserve">  ↳ TSMammothTusk</t>
        </is>
      </c>
      <c r="C108" s="6" t="inlineStr">
        <is>
          <t>Armament@SECONDARY</t>
        </is>
      </c>
      <c r="K108" s="5" t="n">
        <v>60000</v>
      </c>
      <c r="L108" s="5" t="n">
        <v>62</v>
      </c>
      <c r="M108" s="5" t="n">
        <v>2</v>
      </c>
      <c r="N108" s="5" t="n">
        <v>8</v>
      </c>
      <c r="O108" s="5" t="n">
        <v>5677</v>
      </c>
      <c r="P108" s="5" t="n">
        <v>1</v>
      </c>
      <c r="Q108">
        <f>L108+IF(M108&gt;1,N(N108)*(M108-1),0)</f>
        <v/>
      </c>
      <c r="R108">
        <f>IFERROR(K108*MAX(M108,1)/Q108*P108,0)</f>
        <v/>
      </c>
      <c r="AA108" s="6" t="inlineStr">
        <is>
          <t>^ImpactGlow, ^HeavyMissile</t>
        </is>
      </c>
    </row>
    <row r="109">
      <c r="A109" t="inlineStr">
        <is>
          <t>tiberiansun</t>
        </is>
      </c>
      <c r="B109" t="inlineStr">
        <is>
          <t>forgotten_flametank</t>
        </is>
      </c>
      <c r="C109" t="inlineStr">
        <is>
          <t>actor_forgotten_flametank.name</t>
        </is>
      </c>
      <c r="D109" t="inlineStr"/>
      <c r="E109" s="5" t="n">
        <v>200000</v>
      </c>
      <c r="F109" s="5" t="n">
        <v>80</v>
      </c>
      <c r="G109" t="inlineStr">
        <is>
          <t>Heavy</t>
        </is>
      </c>
      <c r="H109" s="5" t="n">
        <v>1</v>
      </c>
      <c r="I109" s="5" t="n">
        <v>1</v>
      </c>
      <c r="J109" s="5" t="n">
        <v>1</v>
      </c>
      <c r="O109">
        <f>MAX(O110,O111)</f>
        <v/>
      </c>
      <c r="R109">
        <f>R110+R111</f>
        <v/>
      </c>
      <c r="S109">
        <f>(E109/100000+F109/100+(O109/1000)*J109/5+R109/200)*200*I109*H109</f>
        <v/>
      </c>
      <c r="T109">
        <f>((E109*F109/25000)+((O109/1000)*J109*R109/2.5))*I109*H109</f>
        <v/>
      </c>
      <c r="U109">
        <f>(E109*F109*(O109/1000)*J109*R109*I109*H109)/12500000</f>
        <v/>
      </c>
      <c r="V109">
        <f>(S109+T109+U109)/3</f>
        <v/>
      </c>
      <c r="W109" s="5" t="n">
        <v>1300</v>
      </c>
      <c r="X109">
        <f>IFERROR(V109-W109,"")</f>
        <v/>
      </c>
      <c r="Y109">
        <f>IFERROR(ABS(X109)/MAX(W109,1),"")</f>
        <v/>
      </c>
      <c r="Z109">
        <f>IFERROR((W109-(((E109/100000+F109/100+R109/200)*200*I109*H109)+((E109*F109/25000)*I109*H109))/3)/(((J109/5)*200*I109*H109)+((J109*R109/2.5)*I109*H109)+((E109*F109*J109*R109*I109*H109)/12500000))/3*1000,"")</f>
        <v/>
      </c>
    </row>
    <row r="110">
      <c r="B110" s="6" t="inlineStr">
        <is>
          <t xml:space="preserve">  ↳ MutHFlamer</t>
        </is>
      </c>
      <c r="C110" s="6" t="inlineStr">
        <is>
          <t>Armament@PRIMARY</t>
        </is>
      </c>
      <c r="K110" s="5" t="n">
        <v>20000</v>
      </c>
      <c r="L110" s="5" t="n">
        <v>65</v>
      </c>
      <c r="M110" s="5" t="n">
        <v>1</v>
      </c>
      <c r="N110" s="5" t="n"/>
      <c r="O110" s="5" t="n">
        <v>2425</v>
      </c>
      <c r="P110" s="5" t="n">
        <v>1</v>
      </c>
      <c r="Q110">
        <f>L110+IF(M110&gt;1,N(N110)*(M110-1),0)</f>
        <v/>
      </c>
      <c r="R110">
        <f>IFERROR(K110*MAX(M110,1)/Q110*P110,0)</f>
        <v/>
      </c>
      <c r="AA110" s="6" t="inlineStr">
        <is>
          <t>^MediumFlameWeapon, ^HeavyFlameWeapon</t>
        </is>
      </c>
    </row>
    <row r="111">
      <c r="B111" s="6" t="inlineStr">
        <is>
          <t xml:space="preserve">  ↳ MutHFlamerChem</t>
        </is>
      </c>
      <c r="C111" s="6" t="inlineStr">
        <is>
          <t>Armament@UPGRADE</t>
        </is>
      </c>
      <c r="K111" s="5" t="n">
        <v>20000</v>
      </c>
      <c r="L111" s="5" t="n">
        <v>65</v>
      </c>
      <c r="M111" s="5" t="n">
        <v>1</v>
      </c>
      <c r="N111" s="5" t="n"/>
      <c r="O111" s="5" t="n">
        <v>2425</v>
      </c>
      <c r="P111" s="5" t="n">
        <v>1</v>
      </c>
      <c r="Q111">
        <f>L111+IF(M111&gt;1,N(N111)*(M111-1),0)</f>
        <v/>
      </c>
      <c r="R111">
        <f>IFERROR(K111*MAX(M111,1)/Q111*P111,0)</f>
        <v/>
      </c>
      <c r="AA111" s="6" t="inlineStr">
        <is>
          <t>^MediumFlameWeapon, ^HeavyFlameWeapon, ^MediumChemicalWeapon, ^HeavyChemicalWeapon</t>
        </is>
      </c>
    </row>
    <row r="112">
      <c r="A112" t="inlineStr">
        <is>
          <t>tiberiansun</t>
        </is>
      </c>
      <c r="B112" t="inlineStr">
        <is>
          <t>forgotten_m113adats</t>
        </is>
      </c>
      <c r="C112" t="inlineStr">
        <is>
          <t>actor_forgotten_m113adats.name</t>
        </is>
      </c>
      <c r="D112" t="inlineStr"/>
      <c r="E112" s="5" t="n">
        <v>50000</v>
      </c>
      <c r="F112" s="5" t="n">
        <v>70</v>
      </c>
      <c r="G112" t="inlineStr">
        <is>
          <t>Light</t>
        </is>
      </c>
      <c r="H112" s="5" t="n">
        <v>1</v>
      </c>
      <c r="I112" s="5" t="n">
        <v>1</v>
      </c>
      <c r="J112" s="5" t="n">
        <v>1</v>
      </c>
      <c r="O112">
        <f>MAX(O113,O114,O115,O116)</f>
        <v/>
      </c>
      <c r="R112">
        <f>R113+R114+R115+R116</f>
        <v/>
      </c>
      <c r="S112">
        <f>(E112/100000+F112/100+(O112/1000)*J112/5+R112/200)*200*I112*H112</f>
        <v/>
      </c>
      <c r="T112">
        <f>((E112*F112/25000)+((O112/1000)*J112*R112/2.5))*I112*H112</f>
        <v/>
      </c>
      <c r="U112">
        <f>(E112*F112*(O112/1000)*J112*R112*I112*H112)/12500000</f>
        <v/>
      </c>
      <c r="V112">
        <f>(S112+T112+U112)/3</f>
        <v/>
      </c>
      <c r="W112" s="5" t="n">
        <v>950</v>
      </c>
      <c r="X112">
        <f>IFERROR(V112-W112,"")</f>
        <v/>
      </c>
      <c r="Y112">
        <f>IFERROR(ABS(X112)/MAX(W112,1),"")</f>
        <v/>
      </c>
      <c r="Z112">
        <f>IFERROR((W112-(((E112/100000+F112/100+R112/200)*200*I112*H112)+((E112*F112/25000)*I112*H112))/3)/(((J112/5)*200*I112*H112)+((J112*R112/2.5)*I112*H112)+((E112*F112*J112*R112*I112*H112)/12500000))/3*1000,"")</f>
        <v/>
      </c>
    </row>
    <row r="113">
      <c r="B113" s="6" t="inlineStr">
        <is>
          <t xml:space="preserve">  ↳ TSAdatsMissile</t>
        </is>
      </c>
      <c r="C113" s="6" t="inlineStr">
        <is>
          <t>Armament@PRIMARY</t>
        </is>
      </c>
      <c r="K113" s="5" t="n">
        <v>4000</v>
      </c>
      <c r="L113" s="5" t="n">
        <v>54</v>
      </c>
      <c r="M113" s="5" t="n">
        <v>4</v>
      </c>
      <c r="N113" s="5" t="n">
        <v>2</v>
      </c>
      <c r="O113" s="5" t="n">
        <v>5606</v>
      </c>
      <c r="P113" s="5" t="n">
        <v>1</v>
      </c>
      <c r="Q113">
        <f>L113+IF(M113&gt;1,N(N113)*(M113-1),0)</f>
        <v/>
      </c>
      <c r="R113">
        <f>IFERROR(K113*MAX(M113,1)/Q113*P113,0)</f>
        <v/>
      </c>
      <c r="AA113" s="6" t="inlineStr">
        <is>
          <t>^FlakWeapon, ^LightMissile</t>
        </is>
      </c>
    </row>
    <row r="114">
      <c r="B114" s="6" t="inlineStr">
        <is>
          <t xml:space="preserve">  ↳ TSAdatsMissileAA</t>
        </is>
      </c>
      <c r="C114" s="6" t="inlineStr">
        <is>
          <t>Armament@SECONDARY</t>
        </is>
      </c>
      <c r="K114" s="5" t="n">
        <v>4000</v>
      </c>
      <c r="L114" s="5" t="n">
        <v>54</v>
      </c>
      <c r="M114" s="5" t="n">
        <v>4</v>
      </c>
      <c r="N114" s="5" t="n">
        <v>2</v>
      </c>
      <c r="O114" s="5" t="n">
        <v>8409</v>
      </c>
      <c r="P114" s="5" t="n">
        <v>1</v>
      </c>
      <c r="Q114">
        <f>L114+IF(M114&gt;1,N(N114)*(M114-1),0)</f>
        <v/>
      </c>
      <c r="R114">
        <f>IFERROR(K114*MAX(M114,1)/Q114*P114,0)</f>
        <v/>
      </c>
      <c r="AA114" s="6" t="inlineStr">
        <is>
          <t>^FlakWeapon, ^LightMissile</t>
        </is>
      </c>
    </row>
    <row r="115">
      <c r="B115" s="6" t="inlineStr">
        <is>
          <t xml:space="preserve">  ↳ TSAdatsMissile</t>
        </is>
      </c>
      <c r="C115" s="6" t="inlineStr">
        <is>
          <t>Armament@UPGRADE</t>
        </is>
      </c>
      <c r="K115" s="5" t="n">
        <v>4000</v>
      </c>
      <c r="L115" s="5" t="n">
        <v>54</v>
      </c>
      <c r="M115" s="5" t="n">
        <v>4</v>
      </c>
      <c r="N115" s="5" t="n">
        <v>2</v>
      </c>
      <c r="O115" s="5" t="n">
        <v>5606</v>
      </c>
      <c r="P115" s="5" t="n">
        <v>1</v>
      </c>
      <c r="Q115">
        <f>L115+IF(M115&gt;1,N(N115)*(M115-1),0)</f>
        <v/>
      </c>
      <c r="R115">
        <f>IFERROR(K115*MAX(M115,1)/Q115*P115,0)</f>
        <v/>
      </c>
      <c r="AA115" s="6" t="inlineStr">
        <is>
          <t>^FlakWeapon, ^LightMissile</t>
        </is>
      </c>
    </row>
    <row r="116">
      <c r="B116" s="6" t="inlineStr">
        <is>
          <t xml:space="preserve">  ↳ TSAdatsMissileAA</t>
        </is>
      </c>
      <c r="C116" s="6" t="inlineStr">
        <is>
          <t>Armament@UPGRADEAA</t>
        </is>
      </c>
      <c r="K116" s="5" t="n">
        <v>4000</v>
      </c>
      <c r="L116" s="5" t="n">
        <v>54</v>
      </c>
      <c r="M116" s="5" t="n">
        <v>4</v>
      </c>
      <c r="N116" s="5" t="n">
        <v>2</v>
      </c>
      <c r="O116" s="5" t="n">
        <v>8409</v>
      </c>
      <c r="P116" s="5" t="n">
        <v>1</v>
      </c>
      <c r="Q116">
        <f>L116+IF(M116&gt;1,N(N116)*(M116-1),0)</f>
        <v/>
      </c>
      <c r="R116">
        <f>IFERROR(K116*MAX(M116,1)/Q116*P116,0)</f>
        <v/>
      </c>
      <c r="AA116" s="6" t="inlineStr">
        <is>
          <t>^FlakWeapon, ^LightMissile</t>
        </is>
      </c>
    </row>
    <row r="117">
      <c r="A117" t="inlineStr">
        <is>
          <t>tiberiansun</t>
        </is>
      </c>
      <c r="B117" t="inlineStr">
        <is>
          <t>forgotten_missilevan</t>
        </is>
      </c>
      <c r="C117" t="inlineStr">
        <is>
          <t>actor_forgotten_missilevan.name</t>
        </is>
      </c>
      <c r="D117" t="inlineStr"/>
      <c r="E117" s="5" t="n">
        <v>35000</v>
      </c>
      <c r="F117" s="5" t="n">
        <v>75</v>
      </c>
      <c r="G117" t="inlineStr">
        <is>
          <t>Light</t>
        </is>
      </c>
      <c r="H117" s="5" t="n">
        <v>1</v>
      </c>
      <c r="I117" s="5" t="n">
        <v>1</v>
      </c>
      <c r="J117" s="5" t="n">
        <v>1</v>
      </c>
      <c r="O117">
        <f>MAX(O118,O119)</f>
        <v/>
      </c>
      <c r="R117">
        <f>R118+R119</f>
        <v/>
      </c>
      <c r="S117">
        <f>(E117/100000+F117/100+(O117/1000)*J117/5+R117/200)*200*I117*H117</f>
        <v/>
      </c>
      <c r="T117">
        <f>((E117*F117/25000)+((O117/1000)*J117*R117/2.5))*I117*H117</f>
        <v/>
      </c>
      <c r="U117">
        <f>(E117*F117*(O117/1000)*J117*R117*I117*H117)/12500000</f>
        <v/>
      </c>
      <c r="V117">
        <f>(S117+T117+U117)/3</f>
        <v/>
      </c>
      <c r="W117" s="5" t="n">
        <v>1200</v>
      </c>
      <c r="X117">
        <f>IFERROR(V117-W117,"")</f>
        <v/>
      </c>
      <c r="Y117">
        <f>IFERROR(ABS(X117)/MAX(W117,1),"")</f>
        <v/>
      </c>
      <c r="Z117">
        <f>IFERROR((W117-(((E117/100000+F117/100+R117/200)*200*I117*H117)+((E117*F117/25000)*I117*H117))/3)/(((J117/5)*200*I117*H117)+((J117*R117/2.5)*I117*H117)+((E117*F117*J117*R117*I117*H117)/12500000))/3*1000,"")</f>
        <v/>
      </c>
    </row>
    <row r="118">
      <c r="B118" s="6" t="inlineStr">
        <is>
          <t xml:space="preserve">  ↳ TSVanMissile</t>
        </is>
      </c>
      <c r="C118" s="6" t="inlineStr">
        <is>
          <t>Armament@PRIMARY</t>
        </is>
      </c>
      <c r="K118" s="5" t="n">
        <v>24000</v>
      </c>
      <c r="L118" s="5" t="n">
        <v>32</v>
      </c>
      <c r="M118" s="5" t="n">
        <v>2</v>
      </c>
      <c r="N118" s="5" t="n">
        <v>8</v>
      </c>
      <c r="O118" s="5" t="n">
        <v>10460</v>
      </c>
      <c r="P118" s="5" t="n">
        <v>1</v>
      </c>
      <c r="Q118">
        <f>L118+IF(M118&gt;1,N(N118)*(M118-1),0)</f>
        <v/>
      </c>
      <c r="R118">
        <f>IFERROR(K118*MAX(M118,1)/Q118*P118,0)</f>
        <v/>
      </c>
      <c r="AA118" s="6" t="inlineStr">
        <is>
          <t>^ShrapnelWeapon</t>
        </is>
      </c>
    </row>
    <row r="119">
      <c r="B119" s="6" t="inlineStr">
        <is>
          <t xml:space="preserve">  ↳ TSChemVanMissile</t>
        </is>
      </c>
      <c r="C119" s="6" t="inlineStr">
        <is>
          <t>Armament@UPGRADE</t>
        </is>
      </c>
      <c r="K119" s="5" t="n">
        <v>24000</v>
      </c>
      <c r="L119" s="5" t="n">
        <v>32</v>
      </c>
      <c r="M119" s="5" t="n">
        <v>2</v>
      </c>
      <c r="N119" s="5" t="n">
        <v>8</v>
      </c>
      <c r="O119" s="5" t="n">
        <v>10460</v>
      </c>
      <c r="P119" s="5" t="n">
        <v>1</v>
      </c>
      <c r="Q119">
        <f>L119+IF(M119&gt;1,N(N119)*(M119-1),0)</f>
        <v/>
      </c>
      <c r="R119">
        <f>IFERROR(K119*MAX(M119,1)/Q119*P119,0)</f>
        <v/>
      </c>
      <c r="AA119" s="6" t="inlineStr">
        <is>
          <t>^MediumChemicalWeapon, ^ShrapnelWeapon</t>
        </is>
      </c>
    </row>
    <row r="120">
      <c r="A120" t="inlineStr">
        <is>
          <t>tiberiansun</t>
        </is>
      </c>
      <c r="B120" t="inlineStr">
        <is>
          <t>forgotten_mlrs</t>
        </is>
      </c>
      <c r="C120" t="inlineStr">
        <is>
          <t>actor_forgotten_mlrs.name</t>
        </is>
      </c>
      <c r="D120" t="inlineStr"/>
      <c r="E120" s="5" t="n">
        <v>40000</v>
      </c>
      <c r="F120" s="5" t="n">
        <v>80</v>
      </c>
      <c r="G120" t="inlineStr">
        <is>
          <t>Medium</t>
        </is>
      </c>
      <c r="H120" s="5" t="n">
        <v>1</v>
      </c>
      <c r="I120" s="5" t="n">
        <v>1</v>
      </c>
      <c r="J120" s="5" t="n">
        <v>1</v>
      </c>
      <c r="O120">
        <f>MAX(O121,O122)</f>
        <v/>
      </c>
      <c r="R120">
        <f>R121+R122</f>
        <v/>
      </c>
      <c r="S120">
        <f>(E120/100000+F120/100+(O120/1000)*J120/5+R120/200)*200*I120*H120</f>
        <v/>
      </c>
      <c r="T120">
        <f>((E120*F120/25000)+((O120/1000)*J120*R120/2.5))*I120*H120</f>
        <v/>
      </c>
      <c r="U120">
        <f>(E120*F120*(O120/1000)*J120*R120*I120*H120)/12500000</f>
        <v/>
      </c>
      <c r="V120">
        <f>(S120+T120+U120)/3</f>
        <v/>
      </c>
      <c r="W120" s="5" t="n">
        <v>2750</v>
      </c>
      <c r="X120">
        <f>IFERROR(V120-W120,"")</f>
        <v/>
      </c>
      <c r="Y120">
        <f>IFERROR(ABS(X120)/MAX(W120,1),"")</f>
        <v/>
      </c>
      <c r="Z120">
        <f>IFERROR((W120-(((E120/100000+F120/100+R120/200)*200*I120*H120)+((E120*F120/25000)*I120*H120))/3)/(((J120/5)*200*I120*H120)+((J120*R120/2.5)*I120*H120)+((E120*F120*J120*R120*I120*H120)/12500000))/3*1000,"")</f>
        <v/>
      </c>
    </row>
    <row r="121">
      <c r="B121" s="6" t="inlineStr">
        <is>
          <t xml:space="preserve">  ↳ TSMLRSMissile</t>
        </is>
      </c>
      <c r="C121" s="6" t="inlineStr">
        <is>
          <t>Armament@PRIMARY</t>
        </is>
      </c>
      <c r="K121" s="5" t="n">
        <v>24000</v>
      </c>
      <c r="L121" s="5" t="n">
        <v>34</v>
      </c>
      <c r="M121" s="5" t="n">
        <v>4</v>
      </c>
      <c r="N121" s="5" t="n">
        <v>2</v>
      </c>
      <c r="O121" s="5" t="n">
        <v>11913</v>
      </c>
      <c r="P121" s="5" t="n">
        <v>1</v>
      </c>
      <c r="Q121">
        <f>L121+IF(M121&gt;1,N(N121)*(M121-1),0)</f>
        <v/>
      </c>
      <c r="R121">
        <f>IFERROR(K121*MAX(M121,1)/Q121*P121,0)</f>
        <v/>
      </c>
      <c r="AA121" s="6" t="inlineStr">
        <is>
          <t>^ShrapnelWeapon</t>
        </is>
      </c>
    </row>
    <row r="122">
      <c r="B122" s="6" t="inlineStr">
        <is>
          <t xml:space="preserve">  ↳ TSChemMLRSMissile</t>
        </is>
      </c>
      <c r="C122" s="6" t="inlineStr">
        <is>
          <t>Armament@UPGRADE</t>
        </is>
      </c>
      <c r="K122" s="5" t="n">
        <v>24000</v>
      </c>
      <c r="L122" s="5" t="n">
        <v>34</v>
      </c>
      <c r="M122" s="5" t="n">
        <v>4</v>
      </c>
      <c r="N122" s="5" t="n">
        <v>2</v>
      </c>
      <c r="O122" s="5" t="n">
        <v>11913</v>
      </c>
      <c r="P122" s="5" t="n">
        <v>1</v>
      </c>
      <c r="Q122">
        <f>L122+IF(M122&gt;1,N(N122)*(M122-1),0)</f>
        <v/>
      </c>
      <c r="R122">
        <f>IFERROR(K122*MAX(M122,1)/Q122*P122,0)</f>
        <v/>
      </c>
      <c r="AA122" s="6" t="inlineStr">
        <is>
          <t>^MediumChemicalWeapon, ^ShrapnelWeapon</t>
        </is>
      </c>
    </row>
    <row r="123">
      <c r="A123" t="inlineStr">
        <is>
          <t>tiberiansun</t>
        </is>
      </c>
      <c r="B123" t="inlineStr">
        <is>
          <t>forgotten_mobileconstructionvehicle</t>
        </is>
      </c>
      <c r="C123" t="inlineStr">
        <is>
          <t>actor_forgotten_mobileconstructionvehicle.name</t>
        </is>
      </c>
      <c r="D123" t="inlineStr"/>
      <c r="E123" s="5" t="n">
        <v>300000</v>
      </c>
      <c r="F123" s="5" t="n">
        <v>75</v>
      </c>
      <c r="G123" t="inlineStr">
        <is>
          <t>Medium</t>
        </is>
      </c>
      <c r="H123" s="5" t="n">
        <v>1</v>
      </c>
      <c r="I123" s="5" t="n">
        <v>1</v>
      </c>
      <c r="J123" s="5" t="n">
        <v>1</v>
      </c>
      <c r="W123" s="5" t="n">
        <v>5000</v>
      </c>
    </row>
    <row r="124">
      <c r="A124" t="inlineStr">
        <is>
          <t>tiberiansun</t>
        </is>
      </c>
      <c r="B124" t="inlineStr">
        <is>
          <t>forgotten_nomadbarracks</t>
        </is>
      </c>
      <c r="C124" t="inlineStr">
        <is>
          <t>actor_forgotten_nomadbarracks.name</t>
        </is>
      </c>
      <c r="D124" t="inlineStr"/>
      <c r="E124" s="5" t="n">
        <v>650000</v>
      </c>
      <c r="F124" s="5" t="n">
        <v>65</v>
      </c>
      <c r="G124" t="inlineStr">
        <is>
          <t>Superheavy</t>
        </is>
      </c>
      <c r="H124" s="5" t="n">
        <v>1</v>
      </c>
      <c r="I124" s="5" t="n">
        <v>1</v>
      </c>
      <c r="J124" s="5" t="n">
        <v>1</v>
      </c>
      <c r="O124">
        <f>MAX(O125)</f>
        <v/>
      </c>
      <c r="R124">
        <f>R125</f>
        <v/>
      </c>
      <c r="S124">
        <f>(E124/100000+F124/100+(O124/1000)*J124/5+R124/200)*200*I124*H124</f>
        <v/>
      </c>
      <c r="T124">
        <f>((E124*F124/25000)+((O124/1000)*J124*R124/2.5))*I124*H124</f>
        <v/>
      </c>
      <c r="U124">
        <f>(E124*F124*(O124/1000)*J124*R124*I124*H124)/12500000</f>
        <v/>
      </c>
      <c r="V124">
        <f>(S124+T124+U124)/3</f>
        <v/>
      </c>
      <c r="W124" s="5" t="n">
        <v>6500</v>
      </c>
      <c r="X124">
        <f>IFERROR(V124-W124,"")</f>
        <v/>
      </c>
      <c r="Y124">
        <f>IFERROR(ABS(X124)/MAX(W124,1),"")</f>
        <v/>
      </c>
      <c r="Z124">
        <f>IFERROR((W124-(((E124/100000+F124/100+R124/200)*200*I124*H124)+((E124*F124/25000)*I124*H124))/3)/(((J124/5)*200*I124*H124)+((J124*R124/2.5)*I124*H124)+((E124*F124*J124*R124*I124*H124)/12500000))/3*1000,"")</f>
        <v/>
      </c>
    </row>
    <row r="125">
      <c r="B125" s="6" t="inlineStr">
        <is>
          <t xml:space="preserve">  ↳ TSNomadGun</t>
        </is>
      </c>
      <c r="C125" s="6" t="inlineStr">
        <is>
          <t>Armament</t>
        </is>
      </c>
      <c r="K125" s="5" t="n">
        <v>8000</v>
      </c>
      <c r="L125" s="5" t="n">
        <v>6</v>
      </c>
      <c r="M125" s="5" t="n">
        <v>1</v>
      </c>
      <c r="N125" s="5" t="n"/>
      <c r="O125" s="5" t="n">
        <v>8301</v>
      </c>
      <c r="P125" s="5" t="n">
        <v>1</v>
      </c>
      <c r="Q125">
        <f>L125+IF(M125&gt;1,N(N125)*(M125-1),0)</f>
        <v/>
      </c>
      <c r="R125">
        <f>IFERROR(K125*MAX(M125,1)/Q125*P125,0)</f>
        <v/>
      </c>
      <c r="AA125" s="6" t="inlineStr">
        <is>
          <t>^Chaingun</t>
        </is>
      </c>
    </row>
    <row r="126">
      <c r="A126" t="inlineStr">
        <is>
          <t>tiberiansun</t>
        </is>
      </c>
      <c r="B126" t="inlineStr">
        <is>
          <t>forgotten_raidercar</t>
        </is>
      </c>
      <c r="C126" t="inlineStr">
        <is>
          <t>actor_forgotten_raidercar.name</t>
        </is>
      </c>
      <c r="D126" t="inlineStr"/>
      <c r="E126" s="5" t="n">
        <v>22500</v>
      </c>
      <c r="F126" s="5" t="n">
        <v>180</v>
      </c>
      <c r="G126" t="inlineStr">
        <is>
          <t>Scout</t>
        </is>
      </c>
      <c r="H126" s="5" t="n">
        <v>1</v>
      </c>
      <c r="I126" s="5" t="n">
        <v>1</v>
      </c>
      <c r="J126" s="5" t="n">
        <v>1</v>
      </c>
      <c r="O126">
        <f>MAX(O127)</f>
        <v/>
      </c>
      <c r="R126">
        <f>R127</f>
        <v/>
      </c>
      <c r="S126">
        <f>(E126/100000+F126/100+(O126/1000)*J126/5+R126/200)*200*I126*H126</f>
        <v/>
      </c>
      <c r="T126">
        <f>((E126*F126/25000)+((O126/1000)*J126*R126/2.5))*I126*H126</f>
        <v/>
      </c>
      <c r="U126">
        <f>(E126*F126*(O126/1000)*J126*R126*I126*H126)/12500000</f>
        <v/>
      </c>
      <c r="V126">
        <f>(S126+T126+U126)/3</f>
        <v/>
      </c>
      <c r="W126" s="5" t="n">
        <v>300</v>
      </c>
      <c r="X126">
        <f>IFERROR(V126-W126,"")</f>
        <v/>
      </c>
      <c r="Y126">
        <f>IFERROR(ABS(X126)/MAX(W126,1),"")</f>
        <v/>
      </c>
      <c r="Z126">
        <f>IFERROR((W126-(((E126/100000+F126/100+R126/200)*200*I126*H126)+((E126*F126/25000)*I126*H126))/3)/(((J126/5)*200*I126*H126)+((J126*R126/2.5)*I126*H126)+((E126*F126*J126*R126*I126*H126)/12500000))/3*1000,"")</f>
        <v/>
      </c>
    </row>
    <row r="127">
      <c r="B127" s="6" t="inlineStr">
        <is>
          <t xml:space="preserve">  ↳ TSRaiderCarCannon</t>
        </is>
      </c>
      <c r="C127" s="6" t="inlineStr">
        <is>
          <t>Armament</t>
        </is>
      </c>
      <c r="K127" s="5" t="n">
        <v>4000</v>
      </c>
      <c r="L127" s="5" t="n">
        <v>20</v>
      </c>
      <c r="M127" s="5" t="n">
        <v>4</v>
      </c>
      <c r="N127" s="5" t="n">
        <v>2</v>
      </c>
      <c r="O127" s="5" t="n">
        <v>4475</v>
      </c>
      <c r="P127" s="5" t="n">
        <v>1</v>
      </c>
      <c r="Q127">
        <f>L127+IF(M127&gt;1,N(N127)*(M127-1),0)</f>
        <v/>
      </c>
      <c r="R127">
        <f>IFERROR(K127*MAX(M127,1)/Q127*P127,0)</f>
        <v/>
      </c>
      <c r="AA127" s="6" t="inlineStr">
        <is>
          <t>^SmallArms</t>
        </is>
      </c>
    </row>
    <row r="128">
      <c r="A128" t="inlineStr">
        <is>
          <t>tiberiansun</t>
        </is>
      </c>
      <c r="B128" t="inlineStr">
        <is>
          <t>forgotten_rattytank</t>
        </is>
      </c>
      <c r="C128" t="inlineStr">
        <is>
          <t>actor_forgotten_rattytank.name</t>
        </is>
      </c>
      <c r="D128" t="inlineStr"/>
      <c r="E128" s="5" t="n">
        <v>70000</v>
      </c>
      <c r="F128" s="5" t="n">
        <v>90</v>
      </c>
      <c r="G128" t="inlineStr">
        <is>
          <t>Medium</t>
        </is>
      </c>
      <c r="H128" s="5" t="n">
        <v>1</v>
      </c>
      <c r="I128" s="5" t="n">
        <v>1</v>
      </c>
      <c r="J128" s="5" t="n">
        <v>1</v>
      </c>
      <c r="O128">
        <f>MAX(O129,O130)</f>
        <v/>
      </c>
      <c r="R128">
        <f>R129+R130</f>
        <v/>
      </c>
      <c r="S128">
        <f>(E128/100000+F128/100+(O128/1000)*J128/5+R128/200)*200*I128*H128</f>
        <v/>
      </c>
      <c r="T128">
        <f>((E128*F128/25000)+((O128/1000)*J128*R128/2.5))*I128*H128</f>
        <v/>
      </c>
      <c r="U128">
        <f>(E128*F128*(O128/1000)*J128*R128*I128*H128)/12500000</f>
        <v/>
      </c>
      <c r="V128">
        <f>(S128+T128+U128)/3</f>
        <v/>
      </c>
      <c r="W128" s="5" t="n">
        <v>600</v>
      </c>
      <c r="X128">
        <f>IFERROR(V128-W128,"")</f>
        <v/>
      </c>
      <c r="Y128">
        <f>IFERROR(ABS(X128)/MAX(W128,1),"")</f>
        <v/>
      </c>
      <c r="Z128">
        <f>IFERROR((W128-(((E128/100000+F128/100+R128/200)*200*I128*H128)+((E128*F128/25000)*I128*H128))/3)/(((J128/5)*200*I128*H128)+((J128*R128/2.5)*I128*H128)+((E128*F128*J128*R128*I128*H128)/12500000))/3*1000,"")</f>
        <v/>
      </c>
    </row>
    <row r="129">
      <c r="B129" s="6" t="inlineStr">
        <is>
          <t xml:space="preserve">  ↳ TS70mm</t>
        </is>
      </c>
      <c r="C129" s="6" t="inlineStr">
        <is>
          <t>Armament@PRIMARY</t>
        </is>
      </c>
      <c r="K129" s="5" t="n">
        <v>4000</v>
      </c>
      <c r="L129" s="5" t="n">
        <v>24</v>
      </c>
      <c r="M129" s="5" t="n">
        <v>1</v>
      </c>
      <c r="N129" s="5" t="n"/>
      <c r="O129" s="5" t="n">
        <v>5566</v>
      </c>
      <c r="P129" s="5" t="n">
        <v>1</v>
      </c>
      <c r="Q129">
        <f>L129+IF(M129&gt;1,N(N129)*(M129-1),0)</f>
        <v/>
      </c>
      <c r="R129">
        <f>IFERROR(K129*MAX(M129,1)/Q129*P129,0)</f>
        <v/>
      </c>
      <c r="AA129" s="6" t="inlineStr">
        <is>
          <t>^TSCannonEffect, ^MediumCannon</t>
        </is>
      </c>
    </row>
    <row r="130">
      <c r="B130" s="6" t="inlineStr">
        <is>
          <t xml:space="preserve">  ↳ TS70mmChem</t>
        </is>
      </c>
      <c r="C130" s="6" t="inlineStr">
        <is>
          <t>Armament@UPGRADE</t>
        </is>
      </c>
      <c r="K130" s="5" t="n">
        <v>4000</v>
      </c>
      <c r="L130" s="5" t="n">
        <v>24</v>
      </c>
      <c r="M130" s="5" t="n">
        <v>1</v>
      </c>
      <c r="N130" s="5" t="n"/>
      <c r="O130" s="5" t="n">
        <v>5566</v>
      </c>
      <c r="P130" s="5" t="n">
        <v>1</v>
      </c>
      <c r="Q130">
        <f>L130+IF(M130&gt;1,N(N130)*(M130-1),0)</f>
        <v/>
      </c>
      <c r="R130">
        <f>IFERROR(K130*MAX(M130,1)/Q130*P130,0)</f>
        <v/>
      </c>
      <c r="AA130" s="6" t="inlineStr">
        <is>
          <t>^TSCannonEffect, ^LightChemicalWeapon, ^MediumCannon</t>
        </is>
      </c>
    </row>
    <row r="131">
      <c r="A131" t="inlineStr">
        <is>
          <t>tiberiansun</t>
        </is>
      </c>
      <c r="B131" t="inlineStr">
        <is>
          <t>forgotten_ruiner</t>
        </is>
      </c>
      <c r="C131" t="inlineStr">
        <is>
          <t>actor_forgotten_ruiner.name</t>
        </is>
      </c>
      <c r="D131" t="inlineStr"/>
      <c r="E131" s="5" t="n">
        <v>35000</v>
      </c>
      <c r="F131" s="5" t="n">
        <v>150</v>
      </c>
      <c r="G131" t="inlineStr">
        <is>
          <t>Scout</t>
        </is>
      </c>
      <c r="H131" s="5" t="n">
        <v>1</v>
      </c>
      <c r="I131" s="5" t="n">
        <v>1</v>
      </c>
      <c r="J131" s="5" t="n">
        <v>1</v>
      </c>
      <c r="O131">
        <f>MAX(O132,O133)</f>
        <v/>
      </c>
      <c r="R131">
        <f>R132+R133</f>
        <v/>
      </c>
      <c r="S131">
        <f>(E131/100000+F131/100+(O131/1000)*J131/5+R131/200)*200*I131*H131</f>
        <v/>
      </c>
      <c r="T131">
        <f>((E131*F131/25000)+((O131/1000)*J131*R131/2.5))*I131*H131</f>
        <v/>
      </c>
      <c r="U131">
        <f>(E131*F131*(O131/1000)*J131*R131*I131*H131)/12500000</f>
        <v/>
      </c>
      <c r="V131">
        <f>(S131+T131+U131)/3</f>
        <v/>
      </c>
      <c r="W131" s="5" t="n">
        <v>500</v>
      </c>
      <c r="X131">
        <f>IFERROR(V131-W131,"")</f>
        <v/>
      </c>
      <c r="Y131">
        <f>IFERROR(ABS(X131)/MAX(W131,1),"")</f>
        <v/>
      </c>
      <c r="Z131">
        <f>IFERROR((W131-(((E131/100000+F131/100+R131/200)*200*I131*H131)+((E131*F131/25000)*I131*H131))/3)/(((J131/5)*200*I131*H131)+((J131*R131/2.5)*I131*H131)+((E131*F131*J131*R131*I131*H131)/12500000))/3*1000,"")</f>
        <v/>
      </c>
    </row>
    <row r="132">
      <c r="B132" s="6" t="inlineStr">
        <is>
          <t xml:space="preserve">  ↳ TSRuinerMissile</t>
        </is>
      </c>
      <c r="C132" s="6" t="inlineStr">
        <is>
          <t>Armament@PRIMARY</t>
        </is>
      </c>
      <c r="K132" s="5" t="n">
        <v>18000</v>
      </c>
      <c r="L132" s="5" t="n">
        <v>50</v>
      </c>
      <c r="M132" s="5" t="n">
        <v>1</v>
      </c>
      <c r="N132" s="5" t="n"/>
      <c r="O132" s="5" t="n">
        <v>5919</v>
      </c>
      <c r="P132" s="5" t="n">
        <v>1</v>
      </c>
      <c r="Q132">
        <f>L132+IF(M132&gt;1,N(N132)*(M132-1),0)</f>
        <v/>
      </c>
      <c r="R132">
        <f>IFERROR(K132*MAX(M132,1)/Q132*P132,0)</f>
        <v/>
      </c>
      <c r="AA132" s="6" t="inlineStr">
        <is>
          <t>^Grenade, ^MediumMissile</t>
        </is>
      </c>
    </row>
    <row r="133">
      <c r="B133" s="6" t="inlineStr">
        <is>
          <t xml:space="preserve">  ↳ TSChemRuinerMissile</t>
        </is>
      </c>
      <c r="C133" s="6" t="inlineStr">
        <is>
          <t>Armament@UPGRADE</t>
        </is>
      </c>
      <c r="K133" s="5" t="n">
        <v>18000</v>
      </c>
      <c r="L133" s="5" t="n">
        <v>50</v>
      </c>
      <c r="M133" s="5" t="n">
        <v>1</v>
      </c>
      <c r="N133" s="5" t="n"/>
      <c r="O133" s="5" t="n">
        <v>5919</v>
      </c>
      <c r="P133" s="5" t="n">
        <v>1</v>
      </c>
      <c r="Q133">
        <f>L133+IF(M133&gt;1,N(N133)*(M133-1),0)</f>
        <v/>
      </c>
      <c r="R133">
        <f>IFERROR(K133*MAX(M133,1)/Q133*P133,0)</f>
        <v/>
      </c>
      <c r="AA133" s="6" t="inlineStr">
        <is>
          <t>^LightChemicalWeapon, ^MediumChemicalWeapon, ^Grenade, ^MediumMissile</t>
        </is>
      </c>
    </row>
    <row r="134">
      <c r="A134" t="inlineStr">
        <is>
          <t>tiberiansun</t>
        </is>
      </c>
      <c r="B134" t="inlineStr">
        <is>
          <t>forgotten_scarabapc</t>
        </is>
      </c>
      <c r="C134" t="inlineStr">
        <is>
          <t>Subterranean APC</t>
        </is>
      </c>
      <c r="D134" t="inlineStr"/>
      <c r="E134" s="5" t="n">
        <v>17500</v>
      </c>
      <c r="F134" s="5" t="n">
        <v>60</v>
      </c>
      <c r="G134" t="inlineStr">
        <is>
          <t>Medium</t>
        </is>
      </c>
      <c r="H134" s="5" t="n">
        <v>1</v>
      </c>
      <c r="I134" s="5" t="n">
        <v>1</v>
      </c>
      <c r="J134" s="5" t="n">
        <v>1</v>
      </c>
      <c r="O134">
        <f>MAX(O135,O136)</f>
        <v/>
      </c>
      <c r="R134">
        <f>R135+R136</f>
        <v/>
      </c>
      <c r="S134">
        <f>(E134/100000+F134/100+(O134/1000)*J134/5+R134/200)*200*I134*H134</f>
        <v/>
      </c>
      <c r="T134">
        <f>((E134*F134/25000)+((O134/1000)*J134*R134/2.5))*I134*H134</f>
        <v/>
      </c>
      <c r="U134">
        <f>(E134*F134*(O134/1000)*J134*R134*I134*H134)/12500000</f>
        <v/>
      </c>
      <c r="V134">
        <f>(S134+T134+U134)/3</f>
        <v/>
      </c>
      <c r="W134" s="5" t="n">
        <v>1410</v>
      </c>
      <c r="X134">
        <f>IFERROR(V134-W134,"")</f>
        <v/>
      </c>
      <c r="Y134">
        <f>IFERROR(ABS(X134)/MAX(W134,1),"")</f>
        <v/>
      </c>
      <c r="Z134">
        <f>IFERROR((W134-(((E134/100000+F134/100+R134/200)*200*I134*H134)+((E134*F134/25000)*I134*H134))/3)/(((J134/5)*200*I134*H134)+((J134*R134/2.5)*I134*H134)+((E134*F134*J134*R134*I134*H134)/12500000))/3*1000,"")</f>
        <v/>
      </c>
    </row>
    <row r="135">
      <c r="B135" s="6" t="inlineStr">
        <is>
          <t xml:space="preserve">  ↳ TSSAPCMissiles</t>
        </is>
      </c>
      <c r="C135" s="6" t="inlineStr">
        <is>
          <t>Armament@PRIMARY</t>
        </is>
      </c>
      <c r="K135" s="5" t="n">
        <v>8000</v>
      </c>
      <c r="L135" s="5" t="n">
        <v>18</v>
      </c>
      <c r="M135" s="5" t="n">
        <v>2</v>
      </c>
      <c r="N135" s="5" t="n">
        <v>2</v>
      </c>
      <c r="O135" s="5" t="n">
        <v>5300</v>
      </c>
      <c r="P135" s="5" t="n">
        <v>1</v>
      </c>
      <c r="Q135">
        <f>L135+IF(M135&gt;1,N(N135)*(M135-1),0)</f>
        <v/>
      </c>
      <c r="R135">
        <f>IFERROR(K135*MAX(M135,1)/Q135*P135,0)</f>
        <v/>
      </c>
      <c r="AA135" s="6" t="inlineStr">
        <is>
          <t>^Grenade, ^LightMissile</t>
        </is>
      </c>
    </row>
    <row r="136">
      <c r="B136" s="6" t="inlineStr">
        <is>
          <t xml:space="preserve">  ↳ TSSAPCCoreMissiles</t>
        </is>
      </c>
      <c r="C136" s="6" t="inlineStr">
        <is>
          <t>Armament@UPGRADE</t>
        </is>
      </c>
      <c r="K136" s="5" t="n">
        <v>8000</v>
      </c>
      <c r="L136" s="5" t="n">
        <v>18</v>
      </c>
      <c r="M136" s="5" t="n">
        <v>2</v>
      </c>
      <c r="N136" s="5" t="n">
        <v>2</v>
      </c>
      <c r="O136" s="5" t="n">
        <v>5300</v>
      </c>
      <c r="P136" s="5" t="n">
        <v>1</v>
      </c>
      <c r="Q136">
        <f>L136+IF(M136&gt;1,N(N136)*(M136-1),0)</f>
        <v/>
      </c>
      <c r="R136">
        <f>IFERROR(K136*MAX(M136,1)/Q136*P136,0)</f>
        <v/>
      </c>
      <c r="AA136" s="6" t="inlineStr">
        <is>
          <t>^LightChemicalWeapon, ^Grenade, ^LightMissile</t>
        </is>
      </c>
    </row>
    <row r="137">
      <c r="A137" t="inlineStr">
        <is>
          <t>tiberiansun</t>
        </is>
      </c>
      <c r="B137" t="inlineStr">
        <is>
          <t>forgotten_scoopertank</t>
        </is>
      </c>
      <c r="C137" t="inlineStr">
        <is>
          <t>actor_forgotten_scoopertank.name</t>
        </is>
      </c>
      <c r="D137" t="inlineStr"/>
      <c r="E137" s="5" t="n">
        <v>250000</v>
      </c>
      <c r="F137" s="5" t="n">
        <v>65</v>
      </c>
      <c r="G137" t="inlineStr">
        <is>
          <t>Heavy</t>
        </is>
      </c>
      <c r="H137" s="5" t="n">
        <v>1</v>
      </c>
      <c r="I137" s="5" t="n">
        <v>1</v>
      </c>
      <c r="J137" s="5" t="n">
        <v>1</v>
      </c>
      <c r="O137">
        <f>MAX(O138,O139)</f>
        <v/>
      </c>
      <c r="R137">
        <f>R138+R139</f>
        <v/>
      </c>
      <c r="S137">
        <f>(E137/100000+F137/100+(O137/1000)*J137/5+R137/200)*200*I137*H137</f>
        <v/>
      </c>
      <c r="T137">
        <f>((E137*F137/25000)+((O137/1000)*J137*R137/2.5))*I137*H137</f>
        <v/>
      </c>
      <c r="U137">
        <f>(E137*F137*(O137/1000)*J137*R137*I137*H137)/12500000</f>
        <v/>
      </c>
      <c r="V137">
        <f>(S137+T137+U137)/3</f>
        <v/>
      </c>
      <c r="W137" s="5" t="n">
        <v>2250</v>
      </c>
      <c r="X137">
        <f>IFERROR(V137-W137,"")</f>
        <v/>
      </c>
      <c r="Y137">
        <f>IFERROR(ABS(X137)/MAX(W137,1),"")</f>
        <v/>
      </c>
      <c r="Z137">
        <f>IFERROR((W137-(((E137/100000+F137/100+R137/200)*200*I137*H137)+((E137*F137/25000)*I137*H137))/3)/(((J137/5)*200*I137*H137)+((J137*R137/2.5)*I137*H137)+((E137*F137*J137*R137*I137*H137)/12500000))/3*1000,"")</f>
        <v/>
      </c>
    </row>
    <row r="138">
      <c r="B138" s="6" t="inlineStr">
        <is>
          <t xml:space="preserve">  ↳ TSScoopDual</t>
        </is>
      </c>
      <c r="C138" s="6" t="inlineStr">
        <is>
          <t>Armament@PRIMARY</t>
        </is>
      </c>
      <c r="K138" s="5" t="n">
        <v>20000</v>
      </c>
      <c r="L138" s="5" t="n">
        <v>60</v>
      </c>
      <c r="M138" s="5" t="n">
        <v>2</v>
      </c>
      <c r="N138" s="5" t="n">
        <v>2</v>
      </c>
      <c r="O138" s="5" t="n">
        <v>6224</v>
      </c>
      <c r="P138" s="5" t="n">
        <v>1</v>
      </c>
      <c r="Q138">
        <f>L138+IF(M138&gt;1,N(N138)*(M138-1),0)</f>
        <v/>
      </c>
      <c r="R138">
        <f>IFERROR(K138*MAX(M138,1)/Q138*P138,0)</f>
        <v/>
      </c>
      <c r="AA138" s="6" t="inlineStr">
        <is>
          <t>^TSCannonEffect, ^MediumCannon</t>
        </is>
      </c>
    </row>
    <row r="139">
      <c r="B139" s="6" t="inlineStr">
        <is>
          <t xml:space="preserve">  ↳ TSScoopDualChem</t>
        </is>
      </c>
      <c r="C139" s="6" t="inlineStr">
        <is>
          <t>Armament@UPGRADE</t>
        </is>
      </c>
      <c r="K139" s="5" t="n">
        <v>20000</v>
      </c>
      <c r="L139" s="5" t="n">
        <v>60</v>
      </c>
      <c r="M139" s="5" t="n">
        <v>2</v>
      </c>
      <c r="N139" s="5" t="n">
        <v>2</v>
      </c>
      <c r="O139" s="5" t="n">
        <v>6224</v>
      </c>
      <c r="P139" s="5" t="n">
        <v>1</v>
      </c>
      <c r="Q139">
        <f>L139+IF(M139&gt;1,N(N139)*(M139-1),0)</f>
        <v/>
      </c>
      <c r="R139">
        <f>IFERROR(K139*MAX(M139,1)/Q139*P139,0)</f>
        <v/>
      </c>
      <c r="AA139" s="6" t="inlineStr">
        <is>
          <t>^TSCannonEffect, ^MediumChemicalWeapon, ^MediumCannon</t>
        </is>
      </c>
    </row>
    <row r="140">
      <c r="A140" t="inlineStr">
        <is>
          <t>tiberiansun</t>
        </is>
      </c>
      <c r="B140" t="inlineStr">
        <is>
          <t>forgotten_tankkiller</t>
        </is>
      </c>
      <c r="C140" t="inlineStr">
        <is>
          <t>actor_forgotten_tankkiller.name</t>
        </is>
      </c>
      <c r="D140" t="inlineStr"/>
      <c r="E140" s="5" t="n">
        <v>85000</v>
      </c>
      <c r="F140" s="5" t="n">
        <v>65</v>
      </c>
      <c r="G140" t="inlineStr">
        <is>
          <t>Medium</t>
        </is>
      </c>
      <c r="H140" s="5" t="n">
        <v>1</v>
      </c>
      <c r="I140" s="5" t="n">
        <v>1</v>
      </c>
      <c r="J140" s="5" t="n">
        <v>1</v>
      </c>
      <c r="O140">
        <f>MAX(O141,O142)</f>
        <v/>
      </c>
      <c r="R140">
        <f>R141+R142</f>
        <v/>
      </c>
      <c r="S140">
        <f>(E140/100000+F140/100+(O140/1000)*J140/5+R140/200)*200*I140*H140</f>
        <v/>
      </c>
      <c r="T140">
        <f>((E140*F140/25000)+((O140/1000)*J140*R140/2.5))*I140*H140</f>
        <v/>
      </c>
      <c r="U140">
        <f>(E140*F140*(O140/1000)*J140*R140*I140*H140)/12500000</f>
        <v/>
      </c>
      <c r="V140">
        <f>(S140+T140+U140)/3</f>
        <v/>
      </c>
      <c r="W140" s="5" t="n">
        <v>900</v>
      </c>
      <c r="X140">
        <f>IFERROR(V140-W140,"")</f>
        <v/>
      </c>
      <c r="Y140">
        <f>IFERROR(ABS(X140)/MAX(W140,1),"")</f>
        <v/>
      </c>
      <c r="Z140">
        <f>IFERROR((W140-(((E140/100000+F140/100+R140/200)*200*I140*H140)+((E140*F140/25000)*I140*H140))/3)/(((J140/5)*200*I140*H140)+((J140*R140/2.5)*I140*H140)+((E140*F140*J140*R140*I140*H140)/12500000))/3*1000,"")</f>
        <v/>
      </c>
    </row>
    <row r="141">
      <c r="B141" s="6" t="inlineStr">
        <is>
          <t xml:space="preserve">  ↳ TSHighVelocity</t>
        </is>
      </c>
      <c r="C141" s="6" t="inlineStr">
        <is>
          <t>Armament@PRIMARY</t>
        </is>
      </c>
      <c r="K141" s="5" t="n">
        <v>30000</v>
      </c>
      <c r="L141" s="5" t="n">
        <v>90</v>
      </c>
      <c r="M141" s="5" t="n">
        <v>1</v>
      </c>
      <c r="N141" s="5" t="n"/>
      <c r="O141" s="5" t="n">
        <v>7701</v>
      </c>
      <c r="P141" s="5" t="n">
        <v>1</v>
      </c>
      <c r="Q141">
        <f>L141+IF(M141&gt;1,N(N141)*(M141-1),0)</f>
        <v/>
      </c>
      <c r="R141">
        <f>IFERROR(K141*MAX(M141,1)/Q141*P141,0)</f>
        <v/>
      </c>
      <c r="AA141" s="6" t="inlineStr">
        <is>
          <t>^TSCannonEffect, ^TankDestroyerCannon</t>
        </is>
      </c>
    </row>
    <row r="142">
      <c r="B142" s="6" t="inlineStr">
        <is>
          <t xml:space="preserve">  ↳ TSHighVelocityChem</t>
        </is>
      </c>
      <c r="C142" s="6" t="inlineStr">
        <is>
          <t>Armament@UPGRADE</t>
        </is>
      </c>
      <c r="K142" s="5" t="n">
        <v>30000</v>
      </c>
      <c r="L142" s="5" t="n">
        <v>90</v>
      </c>
      <c r="M142" s="5" t="n">
        <v>1</v>
      </c>
      <c r="N142" s="5" t="n"/>
      <c r="O142" s="5" t="n">
        <v>7701</v>
      </c>
      <c r="P142" s="5" t="n">
        <v>1</v>
      </c>
      <c r="Q142">
        <f>L142+IF(M142&gt;1,N(N142)*(M142-1),0)</f>
        <v/>
      </c>
      <c r="R142">
        <f>IFERROR(K142*MAX(M142,1)/Q142*P142,0)</f>
        <v/>
      </c>
      <c r="AA142" s="6" t="inlineStr">
        <is>
          <t>^TSCannonEffect, ^LightChemicalWeapon, ^TankDestroyerCannon</t>
        </is>
      </c>
    </row>
    <row r="143">
      <c r="A143" t="inlineStr">
        <is>
          <t>tiberiansun</t>
        </is>
      </c>
      <c r="B143" t="inlineStr">
        <is>
          <t>forgotten_thumperbus</t>
        </is>
      </c>
      <c r="C143" t="inlineStr">
        <is>
          <t>actor_forgotten_thumperbus.name</t>
        </is>
      </c>
      <c r="D143" t="inlineStr"/>
      <c r="E143" s="5" t="n">
        <v>200000</v>
      </c>
      <c r="F143" s="5" t="n">
        <v>90</v>
      </c>
      <c r="G143" t="inlineStr">
        <is>
          <t>Heavy</t>
        </is>
      </c>
      <c r="H143" s="5" t="n">
        <v>1</v>
      </c>
      <c r="I143" s="5" t="n">
        <v>1</v>
      </c>
      <c r="J143" s="5" t="n">
        <v>1</v>
      </c>
      <c r="O143">
        <f>MAX(O144,O145)</f>
        <v/>
      </c>
      <c r="R143">
        <f>R144+R145</f>
        <v/>
      </c>
      <c r="S143">
        <f>(E143/100000+F143/100+(O143/1000)*J143/5+R143/200)*200*I143*H143</f>
        <v/>
      </c>
      <c r="T143">
        <f>((E143*F143/25000)+((O143/1000)*J143*R143/2.5))*I143*H143</f>
        <v/>
      </c>
      <c r="U143">
        <f>(E143*F143*(O143/1000)*J143*R143*I143*H143)/12500000</f>
        <v/>
      </c>
      <c r="V143">
        <f>(S143+T143+U143)/3</f>
        <v/>
      </c>
      <c r="W143" s="5" t="n">
        <v>5200</v>
      </c>
      <c r="X143">
        <f>IFERROR(V143-W143,"")</f>
        <v/>
      </c>
      <c r="Y143">
        <f>IFERROR(ABS(X143)/MAX(W143,1),"")</f>
        <v/>
      </c>
      <c r="Z143">
        <f>IFERROR((W143-(((E143/100000+F143/100+R143/200)*200*I143*H143)+((E143*F143/25000)*I143*H143))/3)/(((J143/5)*200*I143*H143)+((J143*R143/2.5)*I143*H143)+((E143*F143*J143*R143*I143*H143)/12500000))/3*1000,"")</f>
        <v/>
      </c>
    </row>
    <row r="144">
      <c r="B144" s="6" t="inlineStr">
        <is>
          <t xml:space="preserve">  ↳ TSBusMortar</t>
        </is>
      </c>
      <c r="C144" s="6" t="inlineStr">
        <is>
          <t>Armament@PRIMARY</t>
        </is>
      </c>
      <c r="K144" s="5" t="n">
        <v>32000</v>
      </c>
      <c r="L144" s="5" t="n">
        <v>120</v>
      </c>
      <c r="M144" s="5" t="n">
        <v>1</v>
      </c>
      <c r="N144" s="5" t="n"/>
      <c r="O144" s="5" t="n">
        <v>7850</v>
      </c>
      <c r="P144" s="5" t="n">
        <v>1</v>
      </c>
      <c r="Q144">
        <f>L144+IF(M144&gt;1,N(N144)*(M144-1),0)</f>
        <v/>
      </c>
      <c r="R144">
        <f>IFERROR(K144*MAX(M144,1)/Q144*P144,0)</f>
        <v/>
      </c>
      <c r="AA144" s="6" t="inlineStr">
        <is>
          <t>^ShrapnelWeapon, ^HeavyBomb</t>
        </is>
      </c>
    </row>
    <row r="145">
      <c r="B145" s="6" t="inlineStr">
        <is>
          <t xml:space="preserve">  ↳ TSBusMortarChem</t>
        </is>
      </c>
      <c r="C145" s="6" t="inlineStr">
        <is>
          <t>Armament@UPGRADE</t>
        </is>
      </c>
      <c r="K145" s="5" t="n">
        <v>32000</v>
      </c>
      <c r="L145" s="5" t="n">
        <v>120</v>
      </c>
      <c r="M145" s="5" t="n">
        <v>1</v>
      </c>
      <c r="N145" s="5" t="n"/>
      <c r="O145" s="5" t="n">
        <v>7850</v>
      </c>
      <c r="P145" s="5" t="n">
        <v>1</v>
      </c>
      <c r="Q145">
        <f>L145+IF(M145&gt;1,N(N145)*(M145-1),0)</f>
        <v/>
      </c>
      <c r="R145">
        <f>IFERROR(K145*MAX(M145,1)/Q145*P145,0)</f>
        <v/>
      </c>
      <c r="AA145" s="6" t="inlineStr">
        <is>
          <t>^ShrapnelWeapon, ^HeavyBomb, ^MediumChemicalWeapon, ^HeavyChemicalWeapon</t>
        </is>
      </c>
    </row>
    <row r="146">
      <c r="A146" t="inlineStr">
        <is>
          <t>tiberiansun</t>
        </is>
      </c>
      <c r="B146" t="inlineStr">
        <is>
          <t>forgotten_tiberiumharvester</t>
        </is>
      </c>
      <c r="C146" t="inlineStr">
        <is>
          <t>actor_forgotten_tiberiumharvester.name</t>
        </is>
      </c>
      <c r="D146" t="inlineStr"/>
      <c r="E146" s="5" t="n">
        <v>150000</v>
      </c>
      <c r="F146" s="5" t="n">
        <v>60</v>
      </c>
      <c r="G146" t="inlineStr">
        <is>
          <t>Heavy</t>
        </is>
      </c>
      <c r="H146" s="5" t="n">
        <v>1</v>
      </c>
      <c r="I146" s="5" t="n">
        <v>1</v>
      </c>
      <c r="J146" s="5" t="n">
        <v>1</v>
      </c>
      <c r="W146" s="5" t="n">
        <v>1000</v>
      </c>
    </row>
    <row r="147">
      <c r="A147" t="inlineStr">
        <is>
          <t>tiberiansun</t>
        </is>
      </c>
      <c r="B147" t="inlineStr">
        <is>
          <t>forgotten_warriortank</t>
        </is>
      </c>
      <c r="C147" t="inlineStr">
        <is>
          <t>actor_forgotten_warriortank.name</t>
        </is>
      </c>
      <c r="D147" t="inlineStr"/>
      <c r="E147" s="5" t="n">
        <v>100000</v>
      </c>
      <c r="F147" s="5" t="n">
        <v>75</v>
      </c>
      <c r="G147" t="inlineStr">
        <is>
          <t>Medium</t>
        </is>
      </c>
      <c r="H147" s="5" t="n">
        <v>1</v>
      </c>
      <c r="I147" s="5" t="n">
        <v>1</v>
      </c>
      <c r="J147" s="5" t="n">
        <v>1</v>
      </c>
      <c r="O147">
        <f>MAX(O148,O149)</f>
        <v/>
      </c>
      <c r="R147">
        <f>R148+R149</f>
        <v/>
      </c>
      <c r="S147">
        <f>(E147/100000+F147/100+(O147/1000)*J147/5+R147/200)*200*I147*H147</f>
        <v/>
      </c>
      <c r="T147">
        <f>((E147*F147/25000)+((O147/1000)*J147*R147/2.5))*I147*H147</f>
        <v/>
      </c>
      <c r="U147">
        <f>(E147*F147*(O147/1000)*J147*R147*I147*H147)/12500000</f>
        <v/>
      </c>
      <c r="V147">
        <f>(S147+T147+U147)/3</f>
        <v/>
      </c>
      <c r="W147" s="5" t="n">
        <v>2000</v>
      </c>
      <c r="X147">
        <f>IFERROR(V147-W147,"")</f>
        <v/>
      </c>
      <c r="Y147">
        <f>IFERROR(ABS(X147)/MAX(W147,1),"")</f>
        <v/>
      </c>
      <c r="Z147">
        <f>IFERROR((W147-(((E147/100000+F147/100+R147/200)*200*I147*H147)+((E147*F147/25000)*I147*H147))/3)/(((J147/5)*200*I147*H147)+((J147*R147/2.5)*I147*H147)+((E147*F147*J147*R147*I147*H147)/12500000))/3*1000,"")</f>
        <v/>
      </c>
    </row>
    <row r="148">
      <c r="B148" s="6" t="inlineStr">
        <is>
          <t xml:space="preserve">  ↳ TSHighVelocity2</t>
        </is>
      </c>
      <c r="C148" s="6" t="inlineStr">
        <is>
          <t>Armament@PRIMARY</t>
        </is>
      </c>
      <c r="K148" s="5" t="n">
        <v>40000</v>
      </c>
      <c r="L148" s="5" t="n">
        <v>55</v>
      </c>
      <c r="M148" s="5" t="n">
        <v>1</v>
      </c>
      <c r="N148" s="5" t="n"/>
      <c r="O148" s="5" t="n">
        <v>8207</v>
      </c>
      <c r="P148" s="5" t="n">
        <v>1</v>
      </c>
      <c r="Q148">
        <f>L148+IF(M148&gt;1,N(N148)*(M148-1),0)</f>
        <v/>
      </c>
      <c r="R148">
        <f>IFERROR(K148*MAX(M148,1)/Q148*P148,0)</f>
        <v/>
      </c>
      <c r="AA148" s="6" t="inlineStr">
        <is>
          <t>^TSCannonEffect, ^TankDestroyerCannon</t>
        </is>
      </c>
    </row>
    <row r="149">
      <c r="B149" s="6" t="inlineStr">
        <is>
          <t xml:space="preserve">  ↳ TSHighVelocity2Chem</t>
        </is>
      </c>
      <c r="C149" s="6" t="inlineStr">
        <is>
          <t>Armament@UPGRADE</t>
        </is>
      </c>
      <c r="K149" s="5" t="n">
        <v>40000</v>
      </c>
      <c r="L149" s="5" t="n">
        <v>55</v>
      </c>
      <c r="M149" s="5" t="n">
        <v>1</v>
      </c>
      <c r="N149" s="5" t="n"/>
      <c r="O149" s="5" t="n">
        <v>8207</v>
      </c>
      <c r="P149" s="5" t="n">
        <v>1</v>
      </c>
      <c r="Q149">
        <f>L149+IF(M149&gt;1,N(N149)*(M149-1),0)</f>
        <v/>
      </c>
      <c r="R149">
        <f>IFERROR(K149*MAX(M149,1)/Q149*P149,0)</f>
        <v/>
      </c>
      <c r="AA149" s="6" t="inlineStr">
        <is>
          <t>^TSCannonEffect, ^LightChemicalWeapon, ^TankDestroyerCannon</t>
        </is>
      </c>
    </row>
    <row r="150">
      <c r="A150" s="3" t="inlineStr">
        <is>
          <t>AIRCRAFT</t>
        </is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>
      <c r="A151" t="inlineStr">
        <is>
          <t>tiberiansun</t>
        </is>
      </c>
      <c r="B151" t="inlineStr">
        <is>
          <t>forgotten_apache</t>
        </is>
      </c>
      <c r="C151" t="inlineStr">
        <is>
          <t>actor_forgotten_apache.name</t>
        </is>
      </c>
      <c r="D151" t="inlineStr"/>
      <c r="E151" s="5" t="n">
        <v>30000</v>
      </c>
      <c r="F151" s="5" t="n">
        <v>160</v>
      </c>
      <c r="G151" t="inlineStr">
        <is>
          <t>Helicopter</t>
        </is>
      </c>
      <c r="H151" s="5" t="n">
        <v>1</v>
      </c>
      <c r="I151" s="5" t="n">
        <v>1</v>
      </c>
      <c r="J151" s="5" t="n">
        <v>1</v>
      </c>
      <c r="O151">
        <f>MAX(O152,O153)</f>
        <v/>
      </c>
      <c r="R151">
        <f>R152+R153</f>
        <v/>
      </c>
      <c r="S151">
        <f>(E151/100000+F151/100+(O151/1000)*J151/5+R151/200)*200*I151*H151</f>
        <v/>
      </c>
      <c r="T151">
        <f>((E151*F151/25000)+((O151/1000)*J151*R151/2.5))*I151*H151</f>
        <v/>
      </c>
      <c r="U151">
        <f>(E151*F151*(O151/1000)*J151*R151*I151*H151)/12500000</f>
        <v/>
      </c>
      <c r="V151">
        <f>(S151+T151+U151)/3</f>
        <v/>
      </c>
      <c r="W151" s="5" t="n">
        <v>1500</v>
      </c>
      <c r="X151">
        <f>IFERROR(V151-W151,"")</f>
        <v/>
      </c>
      <c r="Y151">
        <f>IFERROR(ABS(X151)/MAX(W151,1),"")</f>
        <v/>
      </c>
      <c r="Z151">
        <f>IFERROR((W151-(((E151/100000+F151/100+R151/200)*200*I151*H151)+((E151*F151/25000)*I151*H151))/3)/(((J151/5)*200*I151*H151)+((J151*R151/2.5)*I151*H151)+((E151*F151*J151*R151*I151*H151)/12500000))/3*1000,"")</f>
        <v/>
      </c>
    </row>
    <row r="152">
      <c r="B152" s="6" t="inlineStr">
        <is>
          <t xml:space="preserve">  ↳ TSApacheMissile</t>
        </is>
      </c>
      <c r="C152" s="6" t="inlineStr">
        <is>
          <t>Armament@PRIMARY</t>
        </is>
      </c>
      <c r="K152" s="5" t="n">
        <v>4000</v>
      </c>
      <c r="L152" s="5" t="n">
        <v>15</v>
      </c>
      <c r="M152" s="5" t="n">
        <v>1</v>
      </c>
      <c r="N152" s="5" t="n"/>
      <c r="O152" s="5" t="n">
        <v>4688</v>
      </c>
      <c r="P152" s="5" t="n">
        <v>1</v>
      </c>
      <c r="Q152">
        <f>L152+IF(M152&gt;1,N(N152)*(M152-1),0)</f>
        <v/>
      </c>
      <c r="R152">
        <f>IFERROR(K152*MAX(M152,1)/Q152*P152,0)</f>
        <v/>
      </c>
      <c r="AA152" s="6" t="inlineStr">
        <is>
          <t>^HeavyCannon, ^TankDestroyerCannon, ^ShrapnelWeapon, ^Grenade, ^HeavyMissile, ^MediumMissile</t>
        </is>
      </c>
    </row>
    <row r="153">
      <c r="B153" s="6" t="inlineStr">
        <is>
          <t xml:space="preserve">  ↳ TSChemApacheMissile</t>
        </is>
      </c>
      <c r="C153" s="6" t="inlineStr">
        <is>
          <t>Armament@UPGRADE</t>
        </is>
      </c>
      <c r="K153" s="5" t="n">
        <v>12000</v>
      </c>
      <c r="L153" s="5" t="n">
        <v>15</v>
      </c>
      <c r="M153" s="5" t="n">
        <v>1</v>
      </c>
      <c r="N153" s="5" t="n"/>
      <c r="O153" s="5" t="n">
        <v>4688</v>
      </c>
      <c r="P153" s="5" t="n">
        <v>1</v>
      </c>
      <c r="Q153">
        <f>L153+IF(M153&gt;1,N(N153)*(M153-1),0)</f>
        <v/>
      </c>
      <c r="R153">
        <f>IFERROR(K153*MAX(M153,1)/Q153*P153,0)</f>
        <v/>
      </c>
      <c r="AA153" s="6" t="inlineStr">
        <is>
          <t>^MediumChemicalWeapon, ^HeavyCannon, ^TankDestroyerCannon, ^ShrapnelWeapon, ^Grenade, ^HeavyMissile, ^MediumMissile</t>
        </is>
      </c>
    </row>
    <row r="154">
      <c r="A154" t="inlineStr">
        <is>
          <t>tiberiansun</t>
        </is>
      </c>
      <c r="B154" t="inlineStr">
        <is>
          <t>forgotten_carryall</t>
        </is>
      </c>
      <c r="C154" t="inlineStr">
        <is>
          <t>actor_forgotten_carryall.name</t>
        </is>
      </c>
      <c r="D154" t="inlineStr"/>
      <c r="E154" s="5" t="n">
        <v>17500</v>
      </c>
      <c r="F154" s="5" t="n">
        <v>149</v>
      </c>
      <c r="G154" t="inlineStr">
        <is>
          <t>Light</t>
        </is>
      </c>
      <c r="H154" s="5" t="n">
        <v>1</v>
      </c>
      <c r="I154" s="5" t="n">
        <v>1</v>
      </c>
      <c r="J154" s="5" t="n">
        <v>1</v>
      </c>
      <c r="W154" s="5" t="n">
        <v>750</v>
      </c>
    </row>
    <row r="155">
      <c r="A155" t="inlineStr">
        <is>
          <t>tiberiansun</t>
        </is>
      </c>
      <c r="B155" t="inlineStr">
        <is>
          <t>forgotten_chinook</t>
        </is>
      </c>
      <c r="C155" t="inlineStr">
        <is>
          <t>Chinook</t>
        </is>
      </c>
      <c r="D155" t="inlineStr"/>
      <c r="E155" s="5" t="n">
        <v>18000</v>
      </c>
      <c r="F155" s="5" t="n">
        <v>120</v>
      </c>
      <c r="G155" t="inlineStr">
        <is>
          <t>Light</t>
        </is>
      </c>
      <c r="H155" s="5" t="n">
        <v>1</v>
      </c>
      <c r="I155" s="5" t="n">
        <v>1</v>
      </c>
      <c r="J155" s="5" t="n">
        <v>1</v>
      </c>
      <c r="W155" s="5" t="n">
        <v>700</v>
      </c>
    </row>
    <row r="156">
      <c r="A156" t="inlineStr">
        <is>
          <t>tiberiansun</t>
        </is>
      </c>
      <c r="B156" t="inlineStr">
        <is>
          <t>forgotten_cobracopter</t>
        </is>
      </c>
      <c r="C156" t="inlineStr">
        <is>
          <t>actor_forgotten_cobracopter.name</t>
        </is>
      </c>
      <c r="D156" t="inlineStr"/>
      <c r="E156" s="5" t="n">
        <v>32500</v>
      </c>
      <c r="F156" s="5" t="n">
        <v>165</v>
      </c>
      <c r="G156" t="inlineStr">
        <is>
          <t>Helicopter</t>
        </is>
      </c>
      <c r="H156" s="5" t="n">
        <v>1</v>
      </c>
      <c r="I156" s="5" t="n">
        <v>1</v>
      </c>
      <c r="J156" s="5" t="n">
        <v>1</v>
      </c>
      <c r="O156">
        <f>MAX(O157,O158)</f>
        <v/>
      </c>
      <c r="R156">
        <f>R157+R158</f>
        <v/>
      </c>
      <c r="S156">
        <f>(E156/100000+F156/100+(O156/1000)*J156/5+R156/200)*200*I156*H156</f>
        <v/>
      </c>
      <c r="T156">
        <f>((E156*F156/25000)+((O156/1000)*J156*R156/2.5))*I156*H156</f>
        <v/>
      </c>
      <c r="U156">
        <f>(E156*F156*(O156/1000)*J156*R156*I156*H156)/12500000</f>
        <v/>
      </c>
      <c r="V156">
        <f>(S156+T156+U156)/3</f>
        <v/>
      </c>
      <c r="W156" s="5" t="n">
        <v>2000</v>
      </c>
      <c r="X156">
        <f>IFERROR(V156-W156,"")</f>
        <v/>
      </c>
      <c r="Y156">
        <f>IFERROR(ABS(X156)/MAX(W156,1),"")</f>
        <v/>
      </c>
      <c r="Z156">
        <f>IFERROR((W156-(((E156/100000+F156/100+R156/200)*200*I156*H156)+((E156*F156/25000)*I156*H156))/3)/(((J156/5)*200*I156*H156)+((J156*R156/2.5)*I156*H156)+((E156*F156*J156*R156*I156*H156)/12500000))/3*1000,"")</f>
        <v/>
      </c>
    </row>
    <row r="157">
      <c r="B157" s="6" t="inlineStr">
        <is>
          <t xml:space="preserve">  ↳ TSCobraMissile</t>
        </is>
      </c>
      <c r="C157" s="6" t="inlineStr">
        <is>
          <t>Armament@PRIMARY</t>
        </is>
      </c>
      <c r="K157" s="5" t="n">
        <v>4000</v>
      </c>
      <c r="L157" s="5" t="n">
        <v>12</v>
      </c>
      <c r="M157" s="5" t="n">
        <v>1</v>
      </c>
      <c r="N157" s="5" t="n"/>
      <c r="O157" s="5" t="n">
        <v>5052</v>
      </c>
      <c r="P157" s="5" t="n">
        <v>1</v>
      </c>
      <c r="Q157">
        <f>L157+IF(M157&gt;1,N(N157)*(M157-1),0)</f>
        <v/>
      </c>
      <c r="R157">
        <f>IFERROR(K157*MAX(M157,1)/Q157*P157,0)</f>
        <v/>
      </c>
      <c r="AA157" s="6" t="inlineStr">
        <is>
          <t>^HeavyCannon, ^TankDestroyerCannon, ^ShrapnelWeapon, ^Grenade, ^HeavyMissile, ^MediumMissile</t>
        </is>
      </c>
    </row>
    <row r="158">
      <c r="B158" s="6" t="inlineStr">
        <is>
          <t xml:space="preserve">  ↳ TSChemCobraMissile</t>
        </is>
      </c>
      <c r="C158" s="6" t="inlineStr">
        <is>
          <t>Armament@SECONDARY</t>
        </is>
      </c>
      <c r="K158" s="5" t="n">
        <v>12000</v>
      </c>
      <c r="L158" s="5" t="n">
        <v>12</v>
      </c>
      <c r="M158" s="5" t="n">
        <v>1</v>
      </c>
      <c r="N158" s="5" t="n"/>
      <c r="O158" s="5" t="n">
        <v>5052</v>
      </c>
      <c r="P158" s="5" t="n">
        <v>1</v>
      </c>
      <c r="Q158">
        <f>L158+IF(M158&gt;1,N(N158)*(M158-1),0)</f>
        <v/>
      </c>
      <c r="R158">
        <f>IFERROR(K158*MAX(M158,1)/Q158*P158,0)</f>
        <v/>
      </c>
      <c r="AA158" s="6" t="inlineStr">
        <is>
          <t>^MediumChemicalWeapon, ^HeavyCannon, ^TankDestroyerCannon, ^ShrapnelWeapon, ^Grenade, ^HeavyMissile, ^MediumMissile</t>
        </is>
      </c>
    </row>
    <row r="159">
      <c r="A159" t="inlineStr">
        <is>
          <t>tiberiansun</t>
        </is>
      </c>
      <c r="B159" t="inlineStr">
        <is>
          <t>forgotten_cropplane</t>
        </is>
      </c>
      <c r="C159" t="inlineStr">
        <is>
          <t>actor_forgotten_cropplane.name</t>
        </is>
      </c>
      <c r="D159" t="inlineStr"/>
      <c r="E159" s="5" t="n">
        <v>75000</v>
      </c>
      <c r="F159" s="5" t="n">
        <v>160</v>
      </c>
      <c r="G159" t="inlineStr">
        <is>
          <t>Bomber</t>
        </is>
      </c>
      <c r="H159" s="5" t="n">
        <v>1</v>
      </c>
      <c r="I159" s="5" t="n">
        <v>1</v>
      </c>
      <c r="J159" s="5" t="n">
        <v>1</v>
      </c>
      <c r="O159">
        <f>MAX(O160,O161)</f>
        <v/>
      </c>
      <c r="R159">
        <f>R160+R161</f>
        <v/>
      </c>
      <c r="S159">
        <f>(E159/100000+F159/100+(O159/1000)*J159/5+R159/200)*200*I159*H159</f>
        <v/>
      </c>
      <c r="T159">
        <f>((E159*F159/25000)+((O159/1000)*J159*R159/2.5))*I159*H159</f>
        <v/>
      </c>
      <c r="U159">
        <f>(E159*F159*(O159/1000)*J159*R159*I159*H159)/12500000</f>
        <v/>
      </c>
      <c r="V159">
        <f>(S159+T159+U159)/3</f>
        <v/>
      </c>
      <c r="W159" s="5" t="n">
        <v>1500</v>
      </c>
      <c r="X159">
        <f>IFERROR(V159-W159,"")</f>
        <v/>
      </c>
      <c r="Y159">
        <f>IFERROR(ABS(X159)/MAX(W159,1),"")</f>
        <v/>
      </c>
      <c r="Z159">
        <f>IFERROR((W159-(((E159/100000+F159/100+R159/200)*200*I159*H159)+((E159*F159/25000)*I159*H159))/3)/(((J159/5)*200*I159*H159)+((J159*R159/2.5)*I159*H159)+((E159*F159*J159*R159*I159*H159)/12500000))/3*1000,"")</f>
        <v/>
      </c>
    </row>
    <row r="160">
      <c r="B160" s="6" t="inlineStr">
        <is>
          <t xml:space="preserve">  ↳ TSCropBomb</t>
        </is>
      </c>
      <c r="C160" s="6" t="inlineStr">
        <is>
          <t>Armament@PRIMARY</t>
        </is>
      </c>
      <c r="K160" s="5" t="n">
        <v>120000</v>
      </c>
      <c r="L160" s="5" t="n">
        <v>50</v>
      </c>
      <c r="M160" s="5" t="n">
        <v>1</v>
      </c>
      <c r="N160" s="5" t="n"/>
      <c r="O160" s="5" t="n">
        <v>1250</v>
      </c>
      <c r="P160" s="5" t="n">
        <v>1</v>
      </c>
      <c r="Q160">
        <f>L160+IF(M160&gt;1,N(N160)*(M160-1),0)</f>
        <v/>
      </c>
      <c r="R160">
        <f>IFERROR(K160*MAX(M160,1)/Q160*P160,0)</f>
        <v/>
      </c>
      <c r="AA160" s="6" t="inlineStr">
        <is>
          <t>^HeavyBomb</t>
        </is>
      </c>
    </row>
    <row r="161">
      <c r="B161" s="6" t="inlineStr">
        <is>
          <t xml:space="preserve">  ↳ TSCropBombChem</t>
        </is>
      </c>
      <c r="C161" s="6" t="inlineStr">
        <is>
          <t>Armament@UPGRADE</t>
        </is>
      </c>
      <c r="K161" s="5" t="n">
        <v>120000</v>
      </c>
      <c r="L161" s="5" t="n">
        <v>50</v>
      </c>
      <c r="M161" s="5" t="n">
        <v>1</v>
      </c>
      <c r="N161" s="5" t="n"/>
      <c r="O161" s="5" t="n">
        <v>1250</v>
      </c>
      <c r="P161" s="5" t="n">
        <v>1</v>
      </c>
      <c r="Q161">
        <f>L161+IF(M161&gt;1,N(N161)*(M161-1),0)</f>
        <v/>
      </c>
      <c r="R161">
        <f>IFERROR(K161*MAX(M161,1)/Q161*P161,0)</f>
        <v/>
      </c>
      <c r="AA161" s="6" t="inlineStr">
        <is>
          <t>^HeavyBomb, ^HeavyChemicalWeapon</t>
        </is>
      </c>
    </row>
    <row r="162">
      <c r="A162" t="inlineStr">
        <is>
          <t>tiberiansun</t>
        </is>
      </c>
      <c r="B162" t="inlineStr">
        <is>
          <t>forgotten_locustbomber</t>
        </is>
      </c>
      <c r="C162" t="inlineStr">
        <is>
          <t>actor_forgotten_locustbomber.name</t>
        </is>
      </c>
      <c r="D162" t="inlineStr"/>
      <c r="E162" s="5" t="n">
        <v>115000</v>
      </c>
      <c r="F162" s="5" t="n">
        <v>180</v>
      </c>
      <c r="G162" t="inlineStr">
        <is>
          <t>Bomber</t>
        </is>
      </c>
      <c r="H162" s="5" t="n">
        <v>1</v>
      </c>
      <c r="I162" s="5" t="n">
        <v>1</v>
      </c>
      <c r="J162" s="5" t="n">
        <v>1</v>
      </c>
      <c r="O162">
        <f>MAX(O163,O164)</f>
        <v/>
      </c>
      <c r="R162">
        <f>R163+R164</f>
        <v/>
      </c>
      <c r="S162">
        <f>(E162/100000+F162/100+(O162/1000)*J162/5+R162/200)*200*I162*H162</f>
        <v/>
      </c>
      <c r="T162">
        <f>((E162*F162/25000)+((O162/1000)*J162*R162/2.5))*I162*H162</f>
        <v/>
      </c>
      <c r="U162">
        <f>(E162*F162*(O162/1000)*J162*R162*I162*H162)/12500000</f>
        <v/>
      </c>
      <c r="V162">
        <f>(S162+T162+U162)/3</f>
        <v/>
      </c>
      <c r="W162" s="5" t="n">
        <v>3000</v>
      </c>
      <c r="X162">
        <f>IFERROR(V162-W162,"")</f>
        <v/>
      </c>
      <c r="Y162">
        <f>IFERROR(ABS(X162)/MAX(W162,1),"")</f>
        <v/>
      </c>
      <c r="Z162">
        <f>IFERROR((W162-(((E162/100000+F162/100+R162/200)*200*I162*H162)+((E162*F162/25000)*I162*H162))/3)/(((J162/5)*200*I162*H162)+((J162*R162/2.5)*I162*H162)+((E162*F162*J162*R162*I162*H162)/12500000))/3*1000,"")</f>
        <v/>
      </c>
    </row>
    <row r="163">
      <c r="B163" s="6" t="inlineStr">
        <is>
          <t xml:space="preserve">  ↳ TSLocustBomb</t>
        </is>
      </c>
      <c r="C163" s="6" t="inlineStr">
        <is>
          <t>Armament@PRIMARY</t>
        </is>
      </c>
      <c r="K163" s="5" t="n">
        <v>180000</v>
      </c>
      <c r="L163" s="5" t="n">
        <v>38</v>
      </c>
      <c r="M163" s="5" t="n">
        <v>5</v>
      </c>
      <c r="N163" s="5" t="n">
        <v>3</v>
      </c>
      <c r="O163" s="5" t="n">
        <v>1250</v>
      </c>
      <c r="P163" s="5" t="n">
        <v>1</v>
      </c>
      <c r="Q163">
        <f>L163+IF(M163&gt;1,N(N163)*(M163-1),0)</f>
        <v/>
      </c>
      <c r="R163">
        <f>IFERROR(K163*MAX(M163,1)/Q163*P163,0)</f>
        <v/>
      </c>
      <c r="AA163" s="6" t="inlineStr">
        <is>
          <t>^HeavyBomb</t>
        </is>
      </c>
    </row>
    <row r="164">
      <c r="B164" s="6" t="inlineStr">
        <is>
          <t xml:space="preserve">  ↳ TSLocustBombChem</t>
        </is>
      </c>
      <c r="C164" s="6" t="inlineStr">
        <is>
          <t>Armament@UPGRADE</t>
        </is>
      </c>
      <c r="K164" s="5" t="n">
        <v>180000</v>
      </c>
      <c r="L164" s="5" t="n">
        <v>38</v>
      </c>
      <c r="M164" s="5" t="n">
        <v>5</v>
      </c>
      <c r="N164" s="5" t="n">
        <v>3</v>
      </c>
      <c r="O164" s="5" t="n">
        <v>1250</v>
      </c>
      <c r="P164" s="5" t="n">
        <v>1</v>
      </c>
      <c r="Q164">
        <f>L164+IF(M164&gt;1,N(N164)*(M164-1),0)</f>
        <v/>
      </c>
      <c r="R164">
        <f>IFERROR(K164*MAX(M164,1)/Q164*P164,0)</f>
        <v/>
      </c>
      <c r="AA164" s="6" t="inlineStr">
        <is>
          <t>^HeavyBomb, ^HeavyChemicalWeapon</t>
        </is>
      </c>
    </row>
    <row r="165">
      <c r="A165" t="inlineStr">
        <is>
          <t>tiberiansun</t>
        </is>
      </c>
      <c r="B165" t="inlineStr">
        <is>
          <t>forgotten_wasp</t>
        </is>
      </c>
      <c r="C165" t="inlineStr">
        <is>
          <t>actor_forgotten_wasp.name</t>
        </is>
      </c>
      <c r="D165" t="inlineStr"/>
      <c r="E165" s="5" t="n">
        <v>25000</v>
      </c>
      <c r="F165" s="5" t="n">
        <v>200</v>
      </c>
      <c r="G165" t="inlineStr">
        <is>
          <t>Helicopter</t>
        </is>
      </c>
      <c r="H165" s="5" t="n">
        <v>1</v>
      </c>
      <c r="I165" s="5" t="n">
        <v>1</v>
      </c>
      <c r="J165" s="5" t="n">
        <v>1</v>
      </c>
      <c r="O165">
        <f>MAX(O166)</f>
        <v/>
      </c>
      <c r="R165">
        <f>R166</f>
        <v/>
      </c>
      <c r="S165">
        <f>(E165/100000+F165/100+(O165/1000)*J165/5+R165/200)*200*I165*H165</f>
        <v/>
      </c>
      <c r="T165">
        <f>((E165*F165/25000)+((O165/1000)*J165*R165/2.5))*I165*H165</f>
        <v/>
      </c>
      <c r="U165">
        <f>(E165*F165*(O165/1000)*J165*R165*I165*H165)/12500000</f>
        <v/>
      </c>
      <c r="V165">
        <f>(S165+T165+U165)/3</f>
        <v/>
      </c>
      <c r="W165" s="5" t="n">
        <v>1000</v>
      </c>
      <c r="X165">
        <f>IFERROR(V165-W165,"")</f>
        <v/>
      </c>
      <c r="Y165">
        <f>IFERROR(ABS(X165)/MAX(W165,1),"")</f>
        <v/>
      </c>
      <c r="Z165">
        <f>IFERROR((W165-(((E165/100000+F165/100+R165/200)*200*I165*H165)+((E165*F165/25000)*I165*H165))/3)/(((J165/5)*200*I165*H165)+((J165*R165/2.5)*I165*H165)+((E165*F165*J165*R165*I165*H165)/12500000))/3*1000,"")</f>
        <v/>
      </c>
    </row>
    <row r="166">
      <c r="B166" s="6" t="inlineStr">
        <is>
          <t xml:space="preserve">  ↳ TSWaspClaw</t>
        </is>
      </c>
      <c r="C166" s="6" t="inlineStr">
        <is>
          <t>Armament@PRIMARY</t>
        </is>
      </c>
      <c r="K166" s="5" t="n">
        <v>4000</v>
      </c>
      <c r="L166" s="5" t="n">
        <v>18</v>
      </c>
      <c r="M166" s="5" t="n">
        <v>2</v>
      </c>
      <c r="N166" s="5" t="n">
        <v>0</v>
      </c>
      <c r="O166" s="5" t="n">
        <v>4882</v>
      </c>
      <c r="P166" s="5" t="n">
        <v>1</v>
      </c>
      <c r="Q166">
        <f>L166+IF(M166&gt;1,N(N166)*(M166-1),0)</f>
        <v/>
      </c>
      <c r="R166">
        <f>IFERROR(K166*MAX(M166,1)/Q166*P166,0)</f>
        <v/>
      </c>
      <c r="AA166" s="6" t="inlineStr">
        <is>
          <t>^Chaingun</t>
        </is>
      </c>
    </row>
    <row r="167">
      <c r="A167" s="3" t="inlineStr">
        <is>
          <t>NAVAL</t>
        </is>
      </c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>
      <c r="A168" t="inlineStr">
        <is>
          <t>tiberiansun</t>
        </is>
      </c>
      <c r="B168" t="inlineStr">
        <is>
          <t>forgotten_cannonboat</t>
        </is>
      </c>
      <c r="C168" t="inlineStr">
        <is>
          <t>Cannon Tug</t>
        </is>
      </c>
      <c r="D168" t="inlineStr"/>
      <c r="E168" s="5" t="n">
        <v>125000</v>
      </c>
      <c r="F168" s="5" t="n">
        <v>85</v>
      </c>
      <c r="G168" t="inlineStr">
        <is>
          <t>Heavy</t>
        </is>
      </c>
      <c r="H168" s="5" t="n">
        <v>1</v>
      </c>
      <c r="I168" s="5" t="n">
        <v>1</v>
      </c>
      <c r="J168" s="5" t="n">
        <v>1</v>
      </c>
      <c r="O168">
        <f>MAX(O169,O170,O171)</f>
        <v/>
      </c>
      <c r="R168">
        <f>R169+R170+R171</f>
        <v/>
      </c>
      <c r="S168">
        <f>(E168/100000+F168/100+(O168/1000)*J168/5+R168/200)*200*I168*H168</f>
        <v/>
      </c>
      <c r="T168">
        <f>((E168*F168/25000)+((O168/1000)*J168*R168/2.5))*I168*H168</f>
        <v/>
      </c>
      <c r="U168">
        <f>(E168*F168*(O168/1000)*J168*R168*I168*H168)/12500000</f>
        <v/>
      </c>
      <c r="V168">
        <f>(S168+T168+U168)/3</f>
        <v/>
      </c>
      <c r="W168" s="5" t="n">
        <v>1600</v>
      </c>
      <c r="X168">
        <f>IFERROR(V168-W168,"")</f>
        <v/>
      </c>
      <c r="Y168">
        <f>IFERROR(ABS(X168)/MAX(W168,1),"")</f>
        <v/>
      </c>
      <c r="Z168">
        <f>IFERROR((W168-(((E168/100000+F168/100+R168/200)*200*I168*H168)+((E168*F168/25000)*I168*H168))/3)/(((J168/5)*200*I168*H168)+((J168*R168/2.5)*I168*H168)+((E168*F168*J168*R168*I168*H168)/12500000))/3*1000,"")</f>
        <v/>
      </c>
    </row>
    <row r="169">
      <c r="B169" s="6" t="inlineStr">
        <is>
          <t xml:space="preserve">  ↳ TSBoatcannon</t>
        </is>
      </c>
      <c r="C169" s="6" t="inlineStr">
        <is>
          <t>Armament</t>
        </is>
      </c>
      <c r="K169" s="5" t="n">
        <v>16000</v>
      </c>
      <c r="L169" s="5" t="n">
        <v>80</v>
      </c>
      <c r="M169" s="5" t="n">
        <v>2</v>
      </c>
      <c r="N169" s="5" t="n">
        <v>3</v>
      </c>
      <c r="O169" s="5" t="n">
        <v>8000</v>
      </c>
      <c r="P169" s="5" t="n">
        <v>1</v>
      </c>
      <c r="Q169">
        <f>L169+IF(M169&gt;1,N(N169)*(M169-1),0)</f>
        <v/>
      </c>
      <c r="R169">
        <f>IFERROR(K169*MAX(M169,1)/Q169*P169,0)</f>
        <v/>
      </c>
      <c r="AA169" s="6" t="inlineStr">
        <is>
          <t>^ShrapnelWeapon, ^HeavyBomb</t>
        </is>
      </c>
    </row>
    <row r="170">
      <c r="B170" s="6" t="inlineStr">
        <is>
          <t xml:space="preserve">  ↳ DepthCharge</t>
        </is>
      </c>
      <c r="C170" s="6" t="inlineStr">
        <is>
          <t>Armament@DC1</t>
        </is>
      </c>
      <c r="K170" s="5" t="n">
        <v>60000</v>
      </c>
      <c r="L170" s="5" t="n">
        <v>60</v>
      </c>
      <c r="M170" s="5" t="n">
        <v>1</v>
      </c>
      <c r="N170" s="5" t="n"/>
      <c r="O170" s="5" t="n">
        <v>6000</v>
      </c>
      <c r="P170" s="5" t="n">
        <v>1</v>
      </c>
      <c r="Q170">
        <f>L170+IF(M170&gt;1,N(N170)*(M170-1),0)</f>
        <v/>
      </c>
      <c r="R170">
        <f>IFERROR(K170*MAX(M170,1)/Q170*P170,0)</f>
        <v/>
      </c>
      <c r="AA170" s="6" t="inlineStr">
        <is>
          <t>^Grenade</t>
        </is>
      </c>
    </row>
    <row r="171">
      <c r="B171" s="6" t="inlineStr">
        <is>
          <t xml:space="preserve">  ↳ DepthCharge</t>
        </is>
      </c>
      <c r="C171" s="6" t="inlineStr">
        <is>
          <t>Armament@DC2</t>
        </is>
      </c>
      <c r="K171" s="5" t="n">
        <v>60000</v>
      </c>
      <c r="L171" s="5" t="n">
        <v>60</v>
      </c>
      <c r="M171" s="5" t="n">
        <v>1</v>
      </c>
      <c r="N171" s="5" t="n"/>
      <c r="O171" s="5" t="n">
        <v>6000</v>
      </c>
      <c r="P171" s="5" t="n">
        <v>1</v>
      </c>
      <c r="Q171">
        <f>L171+IF(M171&gt;1,N(N171)*(M171-1),0)</f>
        <v/>
      </c>
      <c r="R171">
        <f>IFERROR(K171*MAX(M171,1)/Q171*P171,0)</f>
        <v/>
      </c>
      <c r="AA171" s="6" t="inlineStr">
        <is>
          <t>^Grenade</t>
        </is>
      </c>
    </row>
    <row r="172">
      <c r="A172" t="inlineStr">
        <is>
          <t>tiberiansun</t>
        </is>
      </c>
      <c r="B172" t="inlineStr">
        <is>
          <t>forgotten_juggerboat</t>
        </is>
      </c>
      <c r="C172" t="inlineStr">
        <is>
          <t>Juggerboat</t>
        </is>
      </c>
      <c r="D172" t="inlineStr"/>
      <c r="E172" s="5" t="n">
        <v>60000</v>
      </c>
      <c r="F172" s="5" t="n">
        <v>120</v>
      </c>
      <c r="G172" t="inlineStr">
        <is>
          <t>Medium</t>
        </is>
      </c>
      <c r="H172" s="5" t="n">
        <v>1</v>
      </c>
      <c r="I172" s="5" t="n">
        <v>1</v>
      </c>
      <c r="J172" s="5" t="n">
        <v>1</v>
      </c>
      <c r="O172">
        <f>MAX(O173,O174,O175)</f>
        <v/>
      </c>
      <c r="R172">
        <f>R173+R174+R175</f>
        <v/>
      </c>
      <c r="S172">
        <f>(E172/100000+F172/100+(O172/1000)*J172/5+R172/200)*200*I172*H172</f>
        <v/>
      </c>
      <c r="T172">
        <f>((E172*F172/25000)+((O172/1000)*J172*R172/2.5))*I172*H172</f>
        <v/>
      </c>
      <c r="U172">
        <f>(E172*F172*(O172/1000)*J172*R172*I172*H172)/12500000</f>
        <v/>
      </c>
      <c r="V172">
        <f>(S172+T172+U172)/3</f>
        <v/>
      </c>
      <c r="W172" s="5" t="n">
        <v>1500</v>
      </c>
      <c r="X172">
        <f>IFERROR(V172-W172,"")</f>
        <v/>
      </c>
      <c r="Y172">
        <f>IFERROR(ABS(X172)/MAX(W172,1),"")</f>
        <v/>
      </c>
      <c r="Z172">
        <f>IFERROR((W172-(((E172/100000+F172/100+R172/200)*200*I172*H172)+((E172*F172/25000)*I172*H172))/3)/(((J172/5)*200*I172*H172)+((J172*R172/2.5)*I172*H172)+((E172*F172*J172*R172*I172*H172)/12500000))/3*1000,"")</f>
        <v/>
      </c>
    </row>
    <row r="173">
      <c r="B173" s="6" t="inlineStr">
        <is>
          <t xml:space="preserve">  ↳ TSJuggerFlakAA_boat</t>
        </is>
      </c>
      <c r="C173" s="6" t="inlineStr">
        <is>
          <t>Armament@AA</t>
        </is>
      </c>
      <c r="K173" s="5" t="n">
        <v>10000</v>
      </c>
      <c r="L173" s="5" t="n">
        <v>69</v>
      </c>
      <c r="M173" s="5" t="n">
        <v>2</v>
      </c>
      <c r="N173" s="5" t="n">
        <v>3</v>
      </c>
      <c r="O173" s="5" t="n">
        <v>11234</v>
      </c>
      <c r="P173" s="5" t="n">
        <v>1</v>
      </c>
      <c r="Q173">
        <f>L173+IF(M173&gt;1,N(N173)*(M173-1),0)</f>
        <v/>
      </c>
      <c r="R173">
        <f>IFERROR(K173*MAX(M173,1)/Q173*P173,0)</f>
        <v/>
      </c>
      <c r="AA173" s="6" t="inlineStr">
        <is>
          <t>^FlakWeapon</t>
        </is>
      </c>
    </row>
    <row r="174">
      <c r="B174" s="6" t="inlineStr">
        <is>
          <t xml:space="preserve">  ↳ TSJuggerboat90mm</t>
        </is>
      </c>
      <c r="C174" s="6" t="inlineStr">
        <is>
          <t>Armament@AG</t>
        </is>
      </c>
      <c r="K174" s="5" t="n">
        <v>20000</v>
      </c>
      <c r="L174" s="5" t="n">
        <v>69</v>
      </c>
      <c r="M174" s="5" t="n">
        <v>2</v>
      </c>
      <c r="N174" s="5" t="n">
        <v>3</v>
      </c>
      <c r="O174" s="5" t="n">
        <v>12834</v>
      </c>
      <c r="P174" s="5" t="n">
        <v>1</v>
      </c>
      <c r="Q174">
        <f>L174+IF(M174&gt;1,N(N174)*(M174-1),0)</f>
        <v/>
      </c>
      <c r="R174">
        <f>IFERROR(K174*MAX(M174,1)/Q174*P174,0)</f>
        <v/>
      </c>
      <c r="AA174" s="6" t="inlineStr">
        <is>
          <t>^ShrapnelWeapon</t>
        </is>
      </c>
    </row>
    <row r="175">
      <c r="B175" s="6" t="inlineStr">
        <is>
          <t xml:space="preserve">  ↳ DepthCharge</t>
        </is>
      </c>
      <c r="C175" s="6" t="inlineStr">
        <is>
          <t>Armament@SECONDARY</t>
        </is>
      </c>
      <c r="K175" s="5" t="n">
        <v>60000</v>
      </c>
      <c r="L175" s="5" t="n">
        <v>60</v>
      </c>
      <c r="M175" s="5" t="n">
        <v>1</v>
      </c>
      <c r="N175" s="5" t="n"/>
      <c r="O175" s="5" t="n">
        <v>6000</v>
      </c>
      <c r="P175" s="5" t="n">
        <v>1</v>
      </c>
      <c r="Q175">
        <f>L175+IF(M175&gt;1,N(N175)*(M175-1),0)</f>
        <v/>
      </c>
      <c r="R175">
        <f>IFERROR(K175*MAX(M175,1)/Q175*P175,0)</f>
        <v/>
      </c>
      <c r="AA175" s="6" t="inlineStr">
        <is>
          <t>^Grenade</t>
        </is>
      </c>
    </row>
    <row r="176">
      <c r="A176" t="inlineStr">
        <is>
          <t>tiberiansun</t>
        </is>
      </c>
      <c r="B176" t="inlineStr">
        <is>
          <t>forgotten_lcraft</t>
        </is>
      </c>
      <c r="C176" t="inlineStr">
        <is>
          <t>Warrior Ferry</t>
        </is>
      </c>
      <c r="D176" t="inlineStr"/>
      <c r="E176" s="5" t="n">
        <v>100000</v>
      </c>
      <c r="F176" s="5" t="n">
        <v>60</v>
      </c>
      <c r="G176" t="inlineStr">
        <is>
          <t>Heavy</t>
        </is>
      </c>
      <c r="H176" s="5" t="n">
        <v>1</v>
      </c>
      <c r="I176" s="5" t="n">
        <v>1</v>
      </c>
      <c r="J176" s="5" t="n">
        <v>1</v>
      </c>
      <c r="O176">
        <f>MAX(O177,O178)</f>
        <v/>
      </c>
      <c r="R176">
        <f>R177+R178</f>
        <v/>
      </c>
      <c r="S176">
        <f>(E176/100000+F176/100+(O176/1000)*J176/5+R176/200)*200*I176*H176</f>
        <v/>
      </c>
      <c r="T176">
        <f>((E176*F176/25000)+((O176/1000)*J176*R176/2.5))*I176*H176</f>
        <v/>
      </c>
      <c r="U176">
        <f>(E176*F176*(O176/1000)*J176*R176*I176*H176)/12500000</f>
        <v/>
      </c>
      <c r="V176">
        <f>(S176+T176+U176)/3</f>
        <v/>
      </c>
      <c r="W176" s="5" t="n">
        <v>1200</v>
      </c>
      <c r="X176">
        <f>IFERROR(V176-W176,"")</f>
        <v/>
      </c>
      <c r="Y176">
        <f>IFERROR(ABS(X176)/MAX(W176,1),"")</f>
        <v/>
      </c>
      <c r="Z176">
        <f>IFERROR((W176-(((E176/100000+F176/100+R176/200)*200*I176*H176)+((E176*F176/25000)*I176*H176))/3)/(((J176/5)*200*I176*H176)+((J176*R176/2.5)*I176*H176)+((E176*F176*J176*R176*I176*H176)/12500000))/3*1000,"")</f>
        <v/>
      </c>
    </row>
    <row r="177">
      <c r="B177" s="6" t="inlineStr">
        <is>
          <t xml:space="preserve">  ↳ TSVanMissile</t>
        </is>
      </c>
      <c r="C177" s="6" t="inlineStr">
        <is>
          <t>Armament@PRIMARY</t>
        </is>
      </c>
      <c r="K177" s="5" t="n">
        <v>24000</v>
      </c>
      <c r="L177" s="5" t="n">
        <v>32</v>
      </c>
      <c r="M177" s="5" t="n">
        <v>2</v>
      </c>
      <c r="N177" s="5" t="n">
        <v>8</v>
      </c>
      <c r="O177" s="5" t="n">
        <v>10460</v>
      </c>
      <c r="P177" s="5" t="n">
        <v>1</v>
      </c>
      <c r="Q177">
        <f>L177+IF(M177&gt;1,N(N177)*(M177-1),0)</f>
        <v/>
      </c>
      <c r="R177">
        <f>IFERROR(K177*MAX(M177,1)/Q177*P177,0)</f>
        <v/>
      </c>
      <c r="AA177" s="6" t="inlineStr">
        <is>
          <t>^ShrapnelWeapon</t>
        </is>
      </c>
    </row>
    <row r="178">
      <c r="B178" s="6" t="inlineStr">
        <is>
          <t xml:space="preserve">  ↳ TSChemVanMissile</t>
        </is>
      </c>
      <c r="C178" s="6" t="inlineStr">
        <is>
          <t>Armament@UPGRADE</t>
        </is>
      </c>
      <c r="K178" s="5" t="n">
        <v>24000</v>
      </c>
      <c r="L178" s="5" t="n">
        <v>32</v>
      </c>
      <c r="M178" s="5" t="n">
        <v>2</v>
      </c>
      <c r="N178" s="5" t="n">
        <v>8</v>
      </c>
      <c r="O178" s="5" t="n">
        <v>10460</v>
      </c>
      <c r="P178" s="5" t="n">
        <v>1</v>
      </c>
      <c r="Q178">
        <f>L178+IF(M178&gt;1,N(N178)*(M178-1),0)</f>
        <v/>
      </c>
      <c r="R178">
        <f>IFERROR(K178*MAX(M178,1)/Q178*P178,0)</f>
        <v/>
      </c>
      <c r="AA178" s="6" t="inlineStr">
        <is>
          <t>^MediumChemicalWeapon, ^ShrapnelWeapon</t>
        </is>
      </c>
    </row>
    <row r="179">
      <c r="A179" s="3" t="inlineStr">
        <is>
          <t>DEFENSES</t>
        </is>
      </c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</row>
    <row r="180">
      <c r="A180" t="inlineStr">
        <is>
          <t>tiberiansun</t>
        </is>
      </c>
      <c r="B180" t="inlineStr">
        <is>
          <t>forgotten_brokenrattytankturret</t>
        </is>
      </c>
      <c r="C180" t="inlineStr">
        <is>
          <t>actor_forgotten_brokenrattytankturret.name</t>
        </is>
      </c>
      <c r="D180" t="inlineStr"/>
      <c r="E180" s="5" t="n">
        <v>90000</v>
      </c>
      <c r="F180" s="5" t="n">
        <v>100</v>
      </c>
      <c r="G180" t="inlineStr">
        <is>
          <t>Concrete</t>
        </is>
      </c>
      <c r="H180" s="5" t="n">
        <v>1</v>
      </c>
      <c r="I180" s="5" t="n">
        <v>1</v>
      </c>
      <c r="J180" s="5" t="n">
        <v>1</v>
      </c>
      <c r="O180">
        <f>MAX(O181,O182)</f>
        <v/>
      </c>
      <c r="R180">
        <f>R181+R182</f>
        <v/>
      </c>
      <c r="S180">
        <f>(E180/100000+F180/100+(O180/1000)*J180/5+R180/200)*200*I180*H180</f>
        <v/>
      </c>
      <c r="T180">
        <f>((E180*F180/25000)+((O180/1000)*J180*R180/2.5))*I180*H180</f>
        <v/>
      </c>
      <c r="U180">
        <f>(E180*F180*(O180/1000)*J180*R180*I180*H180)/12500000</f>
        <v/>
      </c>
      <c r="V180">
        <f>(S180+T180+U180)/3</f>
        <v/>
      </c>
      <c r="W180" s="5" t="n">
        <v>800</v>
      </c>
      <c r="X180">
        <f>IFERROR(V180-W180,"")</f>
        <v/>
      </c>
      <c r="Y180">
        <f>IFERROR(ABS(X180)/MAX(W180,1),"")</f>
        <v/>
      </c>
      <c r="Z180">
        <f>IFERROR((W180-(((E180/100000+F180/100+R180/200)*200*I180*H180)+((E180*F180/25000)*I180*H180))/3)/(((J180/5)*200*I180*H180)+((J180*R180/2.5)*I180*H180)+((E180*F180*J180*R180*I180*H180)/12500000))/3*1000,"")</f>
        <v/>
      </c>
    </row>
    <row r="181">
      <c r="B181" s="6" t="inlineStr">
        <is>
          <t xml:space="preserve">  ↳ TS70mmTur</t>
        </is>
      </c>
      <c r="C181" s="6" t="inlineStr">
        <is>
          <t>Armament@PRIMARY</t>
        </is>
      </c>
      <c r="K181" s="5" t="n">
        <v>4000</v>
      </c>
      <c r="L181" s="5" t="n">
        <v>10</v>
      </c>
      <c r="M181" s="5" t="n">
        <v>1</v>
      </c>
      <c r="N181" s="5" t="n"/>
      <c r="O181" s="5" t="n">
        <v>6574</v>
      </c>
      <c r="P181" s="5" t="n">
        <v>1</v>
      </c>
      <c r="Q181">
        <f>L181+IF(M181&gt;1,N(N181)*(M181-1),0)</f>
        <v/>
      </c>
      <c r="R181">
        <f>IFERROR(K181*MAX(M181,1)/Q181*P181,0)</f>
        <v/>
      </c>
      <c r="AA181" s="6" t="inlineStr">
        <is>
          <t>^TSCannonEffect, ^TankDestroyerCannon, ^MediumCannon</t>
        </is>
      </c>
    </row>
    <row r="182">
      <c r="B182" s="6" t="inlineStr">
        <is>
          <t xml:space="preserve">  ↳ TS70mmTurChem</t>
        </is>
      </c>
      <c r="C182" s="6" t="inlineStr">
        <is>
          <t>Armament@UPGRADE</t>
        </is>
      </c>
      <c r="K182" s="5" t="n">
        <v>4000</v>
      </c>
      <c r="L182" s="5" t="n">
        <v>10</v>
      </c>
      <c r="M182" s="5" t="n">
        <v>1</v>
      </c>
      <c r="N182" s="5" t="n"/>
      <c r="O182" s="5" t="n">
        <v>6574</v>
      </c>
      <c r="P182" s="5" t="n">
        <v>1</v>
      </c>
      <c r="Q182">
        <f>L182+IF(M182&gt;1,N(N182)*(M182-1),0)</f>
        <v/>
      </c>
      <c r="R182">
        <f>IFERROR(K182*MAX(M182,1)/Q182*P182,0)</f>
        <v/>
      </c>
      <c r="AA182" s="6" t="inlineStr">
        <is>
          <t>^TSCannonEffect, ^LightChemicalWeapon, ^TankDestroyerCannon, ^MediumCannon</t>
        </is>
      </c>
    </row>
    <row r="183">
      <c r="A183" t="inlineStr">
        <is>
          <t>tiberiansun</t>
        </is>
      </c>
      <c r="B183" t="inlineStr">
        <is>
          <t>forgotten_brokenscoopertankturret</t>
        </is>
      </c>
      <c r="C183" t="inlineStr">
        <is>
          <t>actor_forgotten_brokenscoopertankturret.name</t>
        </is>
      </c>
      <c r="D183" t="inlineStr"/>
      <c r="E183" s="5" t="n">
        <v>200000</v>
      </c>
      <c r="F183" s="5" t="n">
        <v>100</v>
      </c>
      <c r="G183" t="inlineStr">
        <is>
          <t>Steel</t>
        </is>
      </c>
      <c r="H183" s="5" t="n">
        <v>1</v>
      </c>
      <c r="I183" s="5" t="n">
        <v>1</v>
      </c>
      <c r="J183" s="5" t="n">
        <v>1</v>
      </c>
      <c r="O183">
        <f>MAX(O184,O185)</f>
        <v/>
      </c>
      <c r="R183">
        <f>R184+R185</f>
        <v/>
      </c>
      <c r="S183">
        <f>(E183/100000+F183/100+(O183/1000)*J183/5+R183/200)*200*I183*H183</f>
        <v/>
      </c>
      <c r="T183">
        <f>((E183*F183/25000)+((O183/1000)*J183*R183/2.5))*I183*H183</f>
        <v/>
      </c>
      <c r="U183">
        <f>(E183*F183*(O183/1000)*J183*R183*I183*H183)/12500000</f>
        <v/>
      </c>
      <c r="V183">
        <f>(S183+T183+U183)/3</f>
        <v/>
      </c>
      <c r="W183" s="5" t="n">
        <v>1750</v>
      </c>
      <c r="X183">
        <f>IFERROR(V183-W183,"")</f>
        <v/>
      </c>
      <c r="Y183">
        <f>IFERROR(ABS(X183)/MAX(W183,1),"")</f>
        <v/>
      </c>
      <c r="Z183">
        <f>IFERROR((W183-(((E183/100000+F183/100+R183/200)*200*I183*H183)+((E183*F183/25000)*I183*H183))/3)/(((J183/5)*200*I183*H183)+((J183*R183/2.5)*I183*H183)+((E183*F183*J183*R183*I183*H183)/12500000))/3*1000,"")</f>
        <v/>
      </c>
    </row>
    <row r="184">
      <c r="B184" s="6" t="inlineStr">
        <is>
          <t xml:space="preserve">  ↳ TSScoopDualTur</t>
        </is>
      </c>
      <c r="C184" s="6" t="inlineStr">
        <is>
          <t>Armament@PRIMARY</t>
        </is>
      </c>
      <c r="K184" s="5" t="n">
        <v>16000</v>
      </c>
      <c r="L184" s="5" t="n">
        <v>48</v>
      </c>
      <c r="M184" s="5" t="n">
        <v>2</v>
      </c>
      <c r="N184" s="5" t="n">
        <v>2</v>
      </c>
      <c r="O184" s="5" t="n">
        <v>6404</v>
      </c>
      <c r="P184" s="5" t="n">
        <v>1</v>
      </c>
      <c r="Q184">
        <f>L184+IF(M184&gt;1,N(N184)*(M184-1),0)</f>
        <v/>
      </c>
      <c r="R184">
        <f>IFERROR(K184*MAX(M184,1)/Q184*P184,0)</f>
        <v/>
      </c>
      <c r="AA184" s="6" t="inlineStr">
        <is>
          <t>^TSCannonEffect, ^ShrapnelWeapon, ^HeavyCannon</t>
        </is>
      </c>
    </row>
    <row r="185">
      <c r="B185" s="6" t="inlineStr">
        <is>
          <t xml:space="preserve">  ↳ TSScoopDualTurChem</t>
        </is>
      </c>
      <c r="C185" s="6" t="inlineStr">
        <is>
          <t>Armament@UPGRADE</t>
        </is>
      </c>
      <c r="K185" s="5" t="n">
        <v>16000</v>
      </c>
      <c r="L185" s="5" t="n">
        <v>48</v>
      </c>
      <c r="M185" s="5" t="n">
        <v>2</v>
      </c>
      <c r="N185" s="5" t="n">
        <v>2</v>
      </c>
      <c r="O185" s="5" t="n">
        <v>6404</v>
      </c>
      <c r="P185" s="5" t="n">
        <v>1</v>
      </c>
      <c r="Q185">
        <f>L185+IF(M185&gt;1,N(N185)*(M185-1),0)</f>
        <v/>
      </c>
      <c r="R185">
        <f>IFERROR(K185*MAX(M185,1)/Q185*P185,0)</f>
        <v/>
      </c>
      <c r="AA185" s="6" t="inlineStr">
        <is>
          <t>^TSCannonEffect, ^MediumChemicalWeapon, ^ShrapnelWeapon, ^HeavyCannon</t>
        </is>
      </c>
    </row>
    <row r="186">
      <c r="A186" t="inlineStr">
        <is>
          <t>tiberiansun</t>
        </is>
      </c>
      <c r="B186" t="inlineStr">
        <is>
          <t>forgotten_brokenwarriortankturret</t>
        </is>
      </c>
      <c r="C186" t="inlineStr">
        <is>
          <t>actor_forgotten_brokenwarriortankturret.name</t>
        </is>
      </c>
      <c r="D186" t="inlineStr"/>
      <c r="E186" s="5" t="n">
        <v>125000</v>
      </c>
      <c r="F186" s="5" t="n">
        <v>100</v>
      </c>
      <c r="G186" t="inlineStr">
        <is>
          <t>Steel</t>
        </is>
      </c>
      <c r="H186" s="5" t="n">
        <v>1</v>
      </c>
      <c r="I186" s="5" t="n">
        <v>1</v>
      </c>
      <c r="J186" s="5" t="n">
        <v>1</v>
      </c>
      <c r="O186">
        <f>MAX(O187)</f>
        <v/>
      </c>
      <c r="R186">
        <f>R187</f>
        <v/>
      </c>
      <c r="S186">
        <f>(E186/100000+F186/100+(O186/1000)*J186/5+R186/200)*200*I186*H186</f>
        <v/>
      </c>
      <c r="T186">
        <f>((E186*F186/25000)+((O186/1000)*J186*R186/2.5))*I186*H186</f>
        <v/>
      </c>
      <c r="U186">
        <f>(E186*F186*(O186/1000)*J186*R186*I186*H186)/12500000</f>
        <v/>
      </c>
      <c r="V186">
        <f>(S186+T186+U186)/3</f>
        <v/>
      </c>
      <c r="W186" s="5" t="n">
        <v>1500</v>
      </c>
      <c r="X186">
        <f>IFERROR(V186-W186,"")</f>
        <v/>
      </c>
      <c r="Y186">
        <f>IFERROR(ABS(X186)/MAX(W186,1),"")</f>
        <v/>
      </c>
      <c r="Z186">
        <f>IFERROR((W186-(((E186/100000+F186/100+R186/200)*200*I186*H186)+((E186*F186/25000)*I186*H186))/3)/(((J186/5)*200*I186*H186)+((J186*R186/2.5)*I186*H186)+((E186*F186*J186*R186*I186*H186)/12500000))/3*1000,"")</f>
        <v/>
      </c>
    </row>
    <row r="187">
      <c r="B187" s="6" t="inlineStr">
        <is>
          <t xml:space="preserve">  ↳ TSHighVelocityTur</t>
        </is>
      </c>
      <c r="C187" s="6" t="inlineStr">
        <is>
          <t>Armament@PRIMARY</t>
        </is>
      </c>
      <c r="K187" s="5" t="n">
        <v>48000</v>
      </c>
      <c r="L187" s="5" t="n">
        <v>30</v>
      </c>
      <c r="M187" s="5" t="n">
        <v>1</v>
      </c>
      <c r="N187" s="5" t="n"/>
      <c r="O187" s="5" t="n">
        <v>9483</v>
      </c>
      <c r="P187" s="5" t="n">
        <v>1</v>
      </c>
      <c r="Q187">
        <f>L187+IF(M187&gt;1,N(N187)*(M187-1),0)</f>
        <v/>
      </c>
      <c r="R187">
        <f>IFERROR(K187*MAX(M187,1)/Q187*P187,0)</f>
        <v/>
      </c>
      <c r="AA187" s="6" t="inlineStr">
        <is>
          <t>^TSCannonEffect, ^TankDestroyerCannon</t>
        </is>
      </c>
    </row>
    <row r="188">
      <c r="A188" t="inlineStr">
        <is>
          <t>tiberiansun</t>
        </is>
      </c>
      <c r="B188" t="inlineStr">
        <is>
          <t>forgotten_juggerflakwall</t>
        </is>
      </c>
      <c r="C188" t="inlineStr">
        <is>
          <t>actor_forgotten_juggerflakwall.name</t>
        </is>
      </c>
      <c r="D188" t="inlineStr"/>
      <c r="E188" s="5" t="n">
        <v>75000</v>
      </c>
      <c r="F188" s="5" t="n">
        <v>100</v>
      </c>
      <c r="G188" t="inlineStr">
        <is>
          <t>Concrete</t>
        </is>
      </c>
      <c r="H188" s="5" t="n">
        <v>1</v>
      </c>
      <c r="I188" s="5" t="n">
        <v>1</v>
      </c>
      <c r="J188" s="5" t="n">
        <v>1</v>
      </c>
      <c r="O188">
        <f>MAX(O189)</f>
        <v/>
      </c>
      <c r="R188">
        <f>R189</f>
        <v/>
      </c>
      <c r="S188">
        <f>(E188/100000+F188/100+(O188/1000)*J188/5+R188/200)*200*I188*H188</f>
        <v/>
      </c>
      <c r="T188">
        <f>((E188*F188/25000)+((O188/1000)*J188*R188/2.5))*I188*H188</f>
        <v/>
      </c>
      <c r="U188">
        <f>(E188*F188*(O188/1000)*J188*R188*I188*H188)/12500000</f>
        <v/>
      </c>
      <c r="V188">
        <f>(S188+T188+U188)/3</f>
        <v/>
      </c>
      <c r="W188" s="5" t="n">
        <v>1000</v>
      </c>
      <c r="X188">
        <f>IFERROR(V188-W188,"")</f>
        <v/>
      </c>
      <c r="Y188">
        <f>IFERROR(ABS(X188)/MAX(W188,1),"")</f>
        <v/>
      </c>
      <c r="Z188">
        <f>IFERROR((W188-(((E188/100000+F188/100+R188/200)*200*I188*H188)+((E188*F188/25000)*I188*H188))/3)/(((J188/5)*200*I188*H188)+((J188*R188/2.5)*I188*H188)+((E188*F188*J188*R188*I188*H188)/12500000))/3*1000,"")</f>
        <v/>
      </c>
    </row>
    <row r="189">
      <c r="B189" s="6" t="inlineStr">
        <is>
          <t xml:space="preserve">  ↳ TSJuggerFlakAA</t>
        </is>
      </c>
      <c r="C189" s="6" t="inlineStr">
        <is>
          <t>Armament</t>
        </is>
      </c>
      <c r="K189" s="5" t="n">
        <v>10000</v>
      </c>
      <c r="L189" s="5" t="n">
        <v>28</v>
      </c>
      <c r="M189" s="5" t="n">
        <v>3</v>
      </c>
      <c r="N189" s="5" t="n">
        <v>1</v>
      </c>
      <c r="O189" s="5" t="n">
        <v>11234</v>
      </c>
      <c r="P189" s="5" t="n">
        <v>1</v>
      </c>
      <c r="Q189">
        <f>L189+IF(M189&gt;1,N(N189)*(M189-1),0)</f>
        <v/>
      </c>
      <c r="R189">
        <f>IFERROR(K189*MAX(M189,1)/Q189*P189,0)</f>
        <v/>
      </c>
      <c r="AA189" s="6" t="inlineStr">
        <is>
          <t>^FlakWeapon</t>
        </is>
      </c>
    </row>
    <row r="190">
      <c r="A190" t="inlineStr">
        <is>
          <t>tiberiansun</t>
        </is>
      </c>
      <c r="B190" t="inlineStr">
        <is>
          <t>forgotten_machineguntower</t>
        </is>
      </c>
      <c r="C190" t="inlineStr">
        <is>
          <t>actor_forgotten_machineguntower.name</t>
        </is>
      </c>
      <c r="D190" t="inlineStr"/>
      <c r="E190" s="5" t="n">
        <v>80000</v>
      </c>
      <c r="F190" s="5" t="n">
        <v>100</v>
      </c>
      <c r="G190" t="inlineStr">
        <is>
          <t>Concrete</t>
        </is>
      </c>
      <c r="H190" s="5" t="n">
        <v>1</v>
      </c>
      <c r="I190" s="5" t="n">
        <v>1</v>
      </c>
      <c r="J190" s="5" t="n">
        <v>1</v>
      </c>
      <c r="O190">
        <f>MAX(O191)</f>
        <v/>
      </c>
      <c r="R190">
        <f>R191</f>
        <v/>
      </c>
      <c r="S190">
        <f>(E190/100000+F190/100+(O190/1000)*J190/5+R190/200)*200*I190*H190</f>
        <v/>
      </c>
      <c r="T190">
        <f>((E190*F190/25000)+((O190/1000)*J190*R190/2.5))*I190*H190</f>
        <v/>
      </c>
      <c r="U190">
        <f>(E190*F190*(O190/1000)*J190*R190*I190*H190)/12500000</f>
        <v/>
      </c>
      <c r="V190">
        <f>(S190+T190+U190)/3</f>
        <v/>
      </c>
      <c r="W190" s="5" t="n">
        <v>600</v>
      </c>
      <c r="X190">
        <f>IFERROR(V190-W190,"")</f>
        <v/>
      </c>
      <c r="Y190">
        <f>IFERROR(ABS(X190)/MAX(W190,1),"")</f>
        <v/>
      </c>
      <c r="Z190">
        <f>IFERROR((W190-(((E190/100000+F190/100+R190/200)*200*I190*H190)+((E190*F190/25000)*I190*H190))/3)/(((J190/5)*200*I190*H190)+((J190*R190/2.5)*I190*H190)+((E190*F190*J190*R190*I190*H190)/12500000))/3*1000,"")</f>
        <v/>
      </c>
    </row>
    <row r="191">
      <c r="B191" s="6" t="inlineStr">
        <is>
          <t xml:space="preserve">  ↳ TSMutVulcanTurret</t>
        </is>
      </c>
      <c r="C191" s="6" t="inlineStr">
        <is>
          <t>Armament@PRIMARY</t>
        </is>
      </c>
      <c r="K191" s="5" t="n">
        <v>2000</v>
      </c>
      <c r="L191" s="5" t="n">
        <v>6</v>
      </c>
      <c r="M191" s="5" t="n">
        <v>1</v>
      </c>
      <c r="N191" s="5" t="n"/>
      <c r="O191" s="5" t="n">
        <v>6272</v>
      </c>
      <c r="P191" s="5" t="n">
        <v>1</v>
      </c>
      <c r="Q191">
        <f>L191+IF(M191&gt;1,N(N191)*(M191-1),0)</f>
        <v/>
      </c>
      <c r="R191">
        <f>IFERROR(K191*MAX(M191,1)/Q191*P191,0)</f>
        <v/>
      </c>
      <c r="AA191" s="6" t="inlineStr">
        <is>
          <t>^SmallArms, ^Chaingun</t>
        </is>
      </c>
    </row>
    <row r="192">
      <c r="A192" t="inlineStr">
        <is>
          <t>tiberiansun</t>
        </is>
      </c>
      <c r="B192" t="inlineStr">
        <is>
          <t>forgotten_silo</t>
        </is>
      </c>
      <c r="C192" t="inlineStr">
        <is>
          <t>actor_forgotten_silo.name</t>
        </is>
      </c>
      <c r="D192" t="inlineStr"/>
      <c r="E192" s="5" t="n">
        <v>200000</v>
      </c>
      <c r="F192" s="5" t="n">
        <v>100</v>
      </c>
      <c r="G192" t="inlineStr">
        <is>
          <t>Wood</t>
        </is>
      </c>
      <c r="H192" s="5" t="n">
        <v>1</v>
      </c>
      <c r="I192" s="5" t="n">
        <v>1</v>
      </c>
      <c r="J192" s="5" t="n">
        <v>1</v>
      </c>
      <c r="W192" s="5" t="n">
        <v>300</v>
      </c>
    </row>
    <row r="193">
      <c r="A193" t="inlineStr">
        <is>
          <t>tiberiansun</t>
        </is>
      </c>
      <c r="B193" t="inlineStr">
        <is>
          <t>forgotten_veinhole</t>
        </is>
      </c>
      <c r="C193" t="inlineStr">
        <is>
          <t>actor_forgotten_veinhole.name</t>
        </is>
      </c>
      <c r="D193" t="inlineStr"/>
      <c r="E193" s="5" t="n">
        <v>1000000</v>
      </c>
      <c r="F193" s="5" t="n">
        <v>100</v>
      </c>
      <c r="G193" t="inlineStr">
        <is>
          <t>Wood</t>
        </is>
      </c>
      <c r="H193" s="5" t="n">
        <v>1</v>
      </c>
      <c r="I193" s="5" t="n">
        <v>1</v>
      </c>
      <c r="J193" s="5" t="n">
        <v>1</v>
      </c>
      <c r="W193" s="5" t="n">
        <v>10000</v>
      </c>
    </row>
    <row r="194">
      <c r="A194" s="3" t="inlineStr">
        <is>
          <t>BUILDINGS</t>
        </is>
      </c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>
      <c r="A195" t="inlineStr">
        <is>
          <t>tiberiansun</t>
        </is>
      </c>
      <c r="B195" t="inlineStr">
        <is>
          <t>forgotten_barracks</t>
        </is>
      </c>
      <c r="C195" t="inlineStr">
        <is>
          <t>actor_forgotten_barracks.name</t>
        </is>
      </c>
      <c r="D195" t="inlineStr"/>
      <c r="E195" s="5" t="n">
        <v>200000</v>
      </c>
      <c r="F195" s="5" t="n"/>
      <c r="G195" t="inlineStr">
        <is>
          <t>Wood</t>
        </is>
      </c>
      <c r="H195" s="5" t="n">
        <v>1</v>
      </c>
      <c r="I195" s="5" t="n">
        <v>1</v>
      </c>
      <c r="J195" s="5" t="n">
        <v>1</v>
      </c>
      <c r="W195" s="5" t="n">
        <v>500</v>
      </c>
    </row>
    <row r="196">
      <c r="A196" t="inlineStr">
        <is>
          <t>tiberiansun</t>
        </is>
      </c>
      <c r="B196" t="inlineStr">
        <is>
          <t>forgotten_chemicalplant</t>
        </is>
      </c>
      <c r="C196" t="inlineStr">
        <is>
          <t>actor_forgotten_chemicalplant.name</t>
        </is>
      </c>
      <c r="D196" t="inlineStr"/>
      <c r="E196" s="5" t="n">
        <v>500000</v>
      </c>
      <c r="F196" s="5" t="n"/>
      <c r="G196" t="inlineStr">
        <is>
          <t>Wood</t>
        </is>
      </c>
      <c r="H196" s="5" t="n">
        <v>1</v>
      </c>
      <c r="I196" s="5" t="n">
        <v>1</v>
      </c>
      <c r="J196" s="5" t="n">
        <v>1</v>
      </c>
      <c r="W196" s="5" t="n">
        <v>5000</v>
      </c>
    </row>
    <row r="197">
      <c r="A197" t="inlineStr">
        <is>
          <t>tiberiansun</t>
        </is>
      </c>
      <c r="B197" t="inlineStr">
        <is>
          <t>forgotten_church</t>
        </is>
      </c>
      <c r="C197" t="inlineStr">
        <is>
          <t>actor_forgotten_church.name</t>
        </is>
      </c>
      <c r="D197" t="inlineStr"/>
      <c r="E197" s="5" t="n">
        <v>500000</v>
      </c>
      <c r="F197" s="5" t="n"/>
      <c r="G197" t="inlineStr">
        <is>
          <t>Wood</t>
        </is>
      </c>
      <c r="H197" s="5" t="n">
        <v>1</v>
      </c>
      <c r="I197" s="5" t="n">
        <v>1</v>
      </c>
      <c r="J197" s="5" t="n">
        <v>1</v>
      </c>
      <c r="W197" s="5" t="n">
        <v>5000</v>
      </c>
    </row>
    <row r="198">
      <c r="A198" t="inlineStr">
        <is>
          <t>tiberiansun</t>
        </is>
      </c>
      <c r="B198" t="inlineStr">
        <is>
          <t>forgotten_constructionyard</t>
        </is>
      </c>
      <c r="C198" t="inlineStr">
        <is>
          <t>actor_forgotten_constructionyard.name</t>
        </is>
      </c>
      <c r="D198" t="inlineStr"/>
      <c r="E198" s="5" t="n">
        <v>1000000</v>
      </c>
      <c r="F198" s="5" t="n"/>
      <c r="G198" t="inlineStr">
        <is>
          <t>Wood</t>
        </is>
      </c>
      <c r="H198" s="5" t="n">
        <v>1</v>
      </c>
      <c r="I198" s="5" t="n">
        <v>1</v>
      </c>
      <c r="J198" s="5" t="n">
        <v>1</v>
      </c>
      <c r="W198" s="5" t="n">
        <v>2500</v>
      </c>
    </row>
    <row r="199">
      <c r="A199" t="inlineStr">
        <is>
          <t>tiberiansun</t>
        </is>
      </c>
      <c r="B199" t="inlineStr">
        <is>
          <t>forgotten_crystalpowerextractor</t>
        </is>
      </c>
      <c r="C199" t="inlineStr">
        <is>
          <t>actor_forgotten_crystalpowerextractor.name</t>
        </is>
      </c>
      <c r="D199" t="inlineStr"/>
      <c r="E199" s="5" t="n">
        <v>150000</v>
      </c>
      <c r="F199" s="5" t="n"/>
      <c r="G199" t="inlineStr">
        <is>
          <t>Wood</t>
        </is>
      </c>
      <c r="H199" s="5" t="n">
        <v>1</v>
      </c>
      <c r="I199" s="5" t="n">
        <v>1</v>
      </c>
      <c r="J199" s="5" t="n">
        <v>1</v>
      </c>
      <c r="W199" s="5" t="n">
        <v>600</v>
      </c>
    </row>
    <row r="200">
      <c r="A200" t="inlineStr">
        <is>
          <t>tiberiansun</t>
        </is>
      </c>
      <c r="B200" t="inlineStr">
        <is>
          <t>forgotten_helipad</t>
        </is>
      </c>
      <c r="C200" t="inlineStr">
        <is>
          <t>actor_forgotten_helipad.name</t>
        </is>
      </c>
      <c r="D200" t="inlineStr"/>
      <c r="E200" s="5" t="n">
        <v>300000</v>
      </c>
      <c r="F200" s="5" t="n"/>
      <c r="G200" t="inlineStr">
        <is>
          <t>Wood</t>
        </is>
      </c>
      <c r="H200" s="5" t="n">
        <v>1</v>
      </c>
      <c r="I200" s="5" t="n">
        <v>1</v>
      </c>
      <c r="J200" s="5" t="n">
        <v>1</v>
      </c>
      <c r="W200" s="5" t="n">
        <v>1000</v>
      </c>
    </row>
    <row r="201">
      <c r="A201" t="inlineStr">
        <is>
          <t>tiberiansun</t>
        </is>
      </c>
      <c r="B201" t="inlineStr">
        <is>
          <t>forgotten_navalyard</t>
        </is>
      </c>
      <c r="C201" t="inlineStr">
        <is>
          <t>Forgotten Naval Yard</t>
        </is>
      </c>
      <c r="D201" t="inlineStr"/>
      <c r="E201" s="5" t="n">
        <v>600000</v>
      </c>
      <c r="F201" s="5" t="n"/>
      <c r="G201" t="inlineStr">
        <is>
          <t>Concrete</t>
        </is>
      </c>
      <c r="H201" s="5" t="n">
        <v>1</v>
      </c>
      <c r="I201" s="5" t="n">
        <v>1</v>
      </c>
      <c r="J201" s="5" t="n">
        <v>1</v>
      </c>
      <c r="W201" s="5" t="n">
        <v>3000</v>
      </c>
    </row>
    <row r="202">
      <c r="A202" t="inlineStr">
        <is>
          <t>tiberiansun</t>
        </is>
      </c>
      <c r="B202" t="inlineStr">
        <is>
          <t>forgotten_radar</t>
        </is>
      </c>
      <c r="C202" t="inlineStr">
        <is>
          <t>actor_forgotten_radar.name</t>
        </is>
      </c>
      <c r="D202" t="inlineStr"/>
      <c r="E202" s="5" t="n">
        <v>250000</v>
      </c>
      <c r="F202" s="5" t="n"/>
      <c r="G202" t="inlineStr">
        <is>
          <t>Wood</t>
        </is>
      </c>
      <c r="H202" s="5" t="n">
        <v>1</v>
      </c>
      <c r="I202" s="5" t="n">
        <v>1</v>
      </c>
      <c r="J202" s="5" t="n">
        <v>1</v>
      </c>
      <c r="W202" s="5" t="n">
        <v>1000</v>
      </c>
    </row>
    <row r="203">
      <c r="A203" t="inlineStr">
        <is>
          <t>tiberiansun</t>
        </is>
      </c>
      <c r="B203" t="inlineStr">
        <is>
          <t>forgotten_refinery</t>
        </is>
      </c>
      <c r="C203" t="inlineStr">
        <is>
          <t>actor_forgotten_refinery.name</t>
        </is>
      </c>
      <c r="D203" t="inlineStr"/>
      <c r="E203" s="5" t="n">
        <v>300000</v>
      </c>
      <c r="F203" s="5" t="n"/>
      <c r="G203" t="inlineStr">
        <is>
          <t>Concrete</t>
        </is>
      </c>
      <c r="H203" s="5" t="n">
        <v>1</v>
      </c>
      <c r="I203" s="5" t="n">
        <v>1</v>
      </c>
      <c r="J203" s="5" t="n">
        <v>1</v>
      </c>
      <c r="W203" s="5" t="n">
        <v>1500</v>
      </c>
    </row>
    <row r="204">
      <c r="A204" t="inlineStr">
        <is>
          <t>tiberiansun</t>
        </is>
      </c>
      <c r="B204" t="inlineStr">
        <is>
          <t>forgotten_servicedepot</t>
        </is>
      </c>
      <c r="C204" t="inlineStr">
        <is>
          <t>actor_forgotten_servicedepot.name</t>
        </is>
      </c>
      <c r="D204" t="inlineStr"/>
      <c r="E204" s="5" t="n">
        <v>250000</v>
      </c>
      <c r="F204" s="5" t="n"/>
      <c r="G204" t="inlineStr">
        <is>
          <t>Concrete</t>
        </is>
      </c>
      <c r="H204" s="5" t="n">
        <v>1</v>
      </c>
      <c r="I204" s="5" t="n">
        <v>1</v>
      </c>
      <c r="J204" s="5" t="n">
        <v>1</v>
      </c>
      <c r="W204" s="5" t="n">
        <v>800</v>
      </c>
    </row>
    <row r="205">
      <c r="A205" t="inlineStr">
        <is>
          <t>tiberiansun</t>
        </is>
      </c>
      <c r="B205" t="inlineStr">
        <is>
          <t>forgotten_tiberiumspike</t>
        </is>
      </c>
      <c r="C205" t="inlineStr">
        <is>
          <t>actor_forgotten_tiberiumspike.name</t>
        </is>
      </c>
      <c r="D205" t="inlineStr"/>
      <c r="E205" s="5" t="n">
        <v>500000</v>
      </c>
      <c r="F205" s="5" t="n"/>
      <c r="G205" t="inlineStr">
        <is>
          <t>Concrete</t>
        </is>
      </c>
      <c r="H205" s="5" t="n">
        <v>1</v>
      </c>
      <c r="I205" s="5" t="n">
        <v>1</v>
      </c>
      <c r="J205" s="5" t="n">
        <v>1</v>
      </c>
      <c r="W205" s="5" t="n">
        <v>5000</v>
      </c>
    </row>
    <row r="206">
      <c r="A206" t="inlineStr">
        <is>
          <t>tiberiansun</t>
        </is>
      </c>
      <c r="B206" t="inlineStr">
        <is>
          <t>forgotten_warfactory</t>
        </is>
      </c>
      <c r="C206" t="inlineStr">
        <is>
          <t>actor_forgotten_warfactory.name</t>
        </is>
      </c>
      <c r="D206" t="inlineStr"/>
      <c r="E206" s="5" t="n">
        <v>400000</v>
      </c>
      <c r="F206" s="5" t="n"/>
      <c r="G206" t="inlineStr">
        <is>
          <t>Concrete</t>
        </is>
      </c>
      <c r="H206" s="5" t="n">
        <v>1</v>
      </c>
      <c r="I206" s="5" t="n">
        <v>1</v>
      </c>
      <c r="J206" s="5" t="n">
        <v>1</v>
      </c>
      <c r="W206" s="5" t="n">
        <v>2000</v>
      </c>
    </row>
    <row r="207">
      <c r="A207" s="3" t="inlineStr">
        <is>
          <t>UPGRADES</t>
        </is>
      </c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</row>
    <row r="208">
      <c r="A208" t="inlineStr">
        <is>
          <t>tiberiansun</t>
        </is>
      </c>
      <c r="B208" t="inlineStr">
        <is>
          <t>forgotten_upgrade_chemicalfuel</t>
        </is>
      </c>
      <c r="C208" t="inlineStr">
        <is>
          <t>actor_forgotten_upgrade_chemicalfuel.name</t>
        </is>
      </c>
      <c r="D208" t="inlineStr"/>
      <c r="E208" s="5" t="n"/>
      <c r="F208" s="5" t="n"/>
      <c r="H208" s="5" t="n">
        <v>1</v>
      </c>
      <c r="I208" s="5" t="n">
        <v>1</v>
      </c>
      <c r="J208" s="5" t="n">
        <v>1</v>
      </c>
      <c r="W208" s="5" t="n">
        <v>2500</v>
      </c>
    </row>
    <row r="209">
      <c r="A209" t="inlineStr">
        <is>
          <t>tiberiansun</t>
        </is>
      </c>
      <c r="B209" t="inlineStr">
        <is>
          <t>forgotten_upgrade_chemicalweapons</t>
        </is>
      </c>
      <c r="C209" t="inlineStr">
        <is>
          <t>actor_forgotten_upgrade_chemicalweapons.name</t>
        </is>
      </c>
      <c r="D209" t="inlineStr"/>
      <c r="E209" s="5" t="n"/>
      <c r="F209" s="5" t="n"/>
      <c r="H209" s="5" t="n">
        <v>1</v>
      </c>
      <c r="I209" s="5" t="n">
        <v>1</v>
      </c>
      <c r="J209" s="5" t="n">
        <v>1</v>
      </c>
      <c r="W209" s="5" t="n">
        <v>5000</v>
      </c>
    </row>
    <row r="210">
      <c r="A210" t="inlineStr">
        <is>
          <t>tiberiansun</t>
        </is>
      </c>
      <c r="B210" t="inlineStr">
        <is>
          <t>forgotten_upgrade_friendlywildlife</t>
        </is>
      </c>
      <c r="C210" t="inlineStr">
        <is>
          <t>actor_forgotten_upgrade_friendlywildlife.name</t>
        </is>
      </c>
      <c r="D210" t="inlineStr"/>
      <c r="E210" s="5" t="n"/>
      <c r="F210" s="5" t="n"/>
      <c r="H210" s="5" t="n">
        <v>1</v>
      </c>
      <c r="I210" s="5" t="n">
        <v>1</v>
      </c>
      <c r="J210" s="5" t="n">
        <v>1</v>
      </c>
      <c r="W210" s="5" t="n">
        <v>5000</v>
      </c>
    </row>
    <row r="211">
      <c r="A211" t="inlineStr">
        <is>
          <t>tiberiansun</t>
        </is>
      </c>
      <c r="B211" t="inlineStr">
        <is>
          <t>forgotten_upgrade_genomemapping</t>
        </is>
      </c>
      <c r="C211" t="inlineStr">
        <is>
          <t>actor_forgotten_upgrade_genomemapping.name</t>
        </is>
      </c>
      <c r="D211" t="inlineStr"/>
      <c r="E211" s="5" t="n"/>
      <c r="F211" s="5" t="n"/>
      <c r="H211" s="5" t="n">
        <v>1</v>
      </c>
      <c r="I211" s="5" t="n">
        <v>1</v>
      </c>
      <c r="J211" s="5" t="n">
        <v>1</v>
      </c>
      <c r="W211" s="5" t="n">
        <v>3500</v>
      </c>
    </row>
    <row r="212">
      <c r="A212" t="inlineStr">
        <is>
          <t>tiberiansun</t>
        </is>
      </c>
      <c r="B212" t="inlineStr">
        <is>
          <t>forgotten_upgrade_junkarmor</t>
        </is>
      </c>
      <c r="C212" t="inlineStr">
        <is>
          <t>actor_forgotten_upgrade_junkarmor.name</t>
        </is>
      </c>
      <c r="D212" t="inlineStr"/>
      <c r="E212" s="5" t="n"/>
      <c r="F212" s="5" t="n"/>
      <c r="H212" s="5" t="n">
        <v>1</v>
      </c>
      <c r="I212" s="5" t="n">
        <v>1</v>
      </c>
      <c r="J212" s="5" t="n">
        <v>1</v>
      </c>
      <c r="W212" s="5" t="n">
        <v>5000</v>
      </c>
    </row>
    <row r="213">
      <c r="A213" t="inlineStr">
        <is>
          <t>tiberiansun</t>
        </is>
      </c>
      <c r="B213" t="inlineStr">
        <is>
          <t>forgotten_upgrade_tiberiumadaptability</t>
        </is>
      </c>
      <c r="C213" t="inlineStr">
        <is>
          <t>actor_forgotten_upgrade_tiberiumadaptability.name</t>
        </is>
      </c>
      <c r="D213" t="inlineStr"/>
      <c r="E213" s="5" t="n"/>
      <c r="F213" s="5" t="n"/>
      <c r="H213" s="5" t="n">
        <v>1</v>
      </c>
      <c r="I213" s="5" t="n">
        <v>1</v>
      </c>
      <c r="J213" s="5" t="n">
        <v>1</v>
      </c>
      <c r="W213" s="5" t="n">
        <v>10000</v>
      </c>
    </row>
    <row r="214">
      <c r="A214" t="inlineStr">
        <is>
          <t>tiberiansun</t>
        </is>
      </c>
      <c r="B214" t="inlineStr">
        <is>
          <t>forgotten_upgrade_tiberiumboosters</t>
        </is>
      </c>
      <c r="C214" t="inlineStr">
        <is>
          <t>actor_forgotten_upgrade_tiberiumboosters.name</t>
        </is>
      </c>
      <c r="D214" t="inlineStr"/>
      <c r="E214" s="5" t="n"/>
      <c r="F214" s="5" t="n"/>
      <c r="H214" s="5" t="n">
        <v>1</v>
      </c>
      <c r="I214" s="5" t="n">
        <v>1</v>
      </c>
      <c r="J214" s="5" t="n">
        <v>1</v>
      </c>
      <c r="W214" s="5" t="n">
        <v>4000</v>
      </c>
    </row>
    <row r="215">
      <c r="A215" t="inlineStr">
        <is>
          <t>tiberiansun</t>
        </is>
      </c>
      <c r="B215" t="inlineStr">
        <is>
          <t>forgotten_upgrade_unity</t>
        </is>
      </c>
      <c r="C215" t="inlineStr">
        <is>
          <t>actor_forgotten_upgrade_unity.name</t>
        </is>
      </c>
      <c r="D215" t="inlineStr"/>
      <c r="E215" s="5" t="n"/>
      <c r="F215" s="5" t="n"/>
      <c r="H215" s="5" t="n">
        <v>1</v>
      </c>
      <c r="I215" s="5" t="n">
        <v>1</v>
      </c>
      <c r="J215" s="5" t="n">
        <v>1</v>
      </c>
      <c r="W215" s="5" t="n">
        <v>5000</v>
      </c>
    </row>
    <row r="216">
      <c r="A216" s="3" t="inlineStr">
        <is>
          <t>PROMOTIONS</t>
        </is>
      </c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</row>
    <row r="217">
      <c r="A217" t="inlineStr">
        <is>
          <t>tiberiansun</t>
        </is>
      </c>
      <c r="B217" t="inlineStr">
        <is>
          <t>forgotten_promotion_bowler</t>
        </is>
      </c>
      <c r="C217" t="inlineStr">
        <is>
          <t>actor_forgotten_promotion_bowler.name</t>
        </is>
      </c>
      <c r="D217" t="inlineStr"/>
      <c r="E217" s="5" t="n"/>
      <c r="F217" s="5" t="n"/>
      <c r="H217" s="5" t="n">
        <v>1</v>
      </c>
      <c r="I217" s="5" t="n">
        <v>1</v>
      </c>
      <c r="J217" s="5" t="n">
        <v>1</v>
      </c>
      <c r="W217" s="5" t="n"/>
    </row>
    <row r="218">
      <c r="A218" t="inlineStr">
        <is>
          <t>tiberiansun</t>
        </is>
      </c>
      <c r="B218" t="inlineStr">
        <is>
          <t>forgotten_promotion_chemicalmammothtank</t>
        </is>
      </c>
      <c r="C218" t="inlineStr">
        <is>
          <t>actor_forgotten_promotion_chemicalmammothtank.name</t>
        </is>
      </c>
      <c r="D218" t="inlineStr"/>
      <c r="E218" s="5" t="n"/>
      <c r="F218" s="5" t="n"/>
      <c r="H218" s="5" t="n">
        <v>1</v>
      </c>
      <c r="I218" s="5" t="n">
        <v>1</v>
      </c>
      <c r="J218" s="5" t="n">
        <v>1</v>
      </c>
      <c r="W218" s="5" t="n"/>
    </row>
    <row r="219">
      <c r="A219" t="inlineStr">
        <is>
          <t>tiberiansun</t>
        </is>
      </c>
      <c r="B219" t="inlineStr">
        <is>
          <t>forgotten_promotion_cobracopter</t>
        </is>
      </c>
      <c r="C219" t="inlineStr">
        <is>
          <t>actor_forgotten_promotion_cobracopter.name</t>
        </is>
      </c>
      <c r="D219" t="inlineStr"/>
      <c r="E219" s="5" t="n"/>
      <c r="F219" s="5" t="n"/>
      <c r="H219" s="5" t="n">
        <v>1</v>
      </c>
      <c r="I219" s="5" t="n">
        <v>1</v>
      </c>
      <c r="J219" s="5" t="n">
        <v>1</v>
      </c>
      <c r="W219" s="5" t="n"/>
    </row>
    <row r="220">
      <c r="A220" t="inlineStr">
        <is>
          <t>tiberiansun</t>
        </is>
      </c>
      <c r="B220" t="inlineStr">
        <is>
          <t>forgotten_promotion_experimentalmammothtank</t>
        </is>
      </c>
      <c r="C220" t="inlineStr">
        <is>
          <t>actor_forgotten_promotion_experimentalmammothtank.name</t>
        </is>
      </c>
      <c r="D220" t="inlineStr"/>
      <c r="E220" s="5" t="n"/>
      <c r="F220" s="5" t="n"/>
      <c r="H220" s="5" t="n">
        <v>1</v>
      </c>
      <c r="I220" s="5" t="n">
        <v>1</v>
      </c>
      <c r="J220" s="5" t="n">
        <v>1</v>
      </c>
      <c r="W220" s="5" t="n"/>
    </row>
    <row r="221">
      <c r="A221" t="inlineStr">
        <is>
          <t>tiberiansun</t>
        </is>
      </c>
      <c r="B221" t="inlineStr">
        <is>
          <t>forgotten_promotion_flametank</t>
        </is>
      </c>
      <c r="C221" t="inlineStr">
        <is>
          <t>actor_forgotten_promotion_flametank.name</t>
        </is>
      </c>
      <c r="D221" t="inlineStr"/>
      <c r="E221" s="5" t="n"/>
      <c r="F221" s="5" t="n"/>
      <c r="H221" s="5" t="n">
        <v>1</v>
      </c>
      <c r="I221" s="5" t="n">
        <v>1</v>
      </c>
      <c r="J221" s="5" t="n">
        <v>1</v>
      </c>
      <c r="W221" s="5" t="n"/>
    </row>
    <row r="222">
      <c r="A222" t="inlineStr">
        <is>
          <t>tiberiansun</t>
        </is>
      </c>
      <c r="B222" t="inlineStr">
        <is>
          <t>forgotten_promotion_ghoststalker</t>
        </is>
      </c>
      <c r="C222" t="inlineStr">
        <is>
          <t>actor_forgotten_promotion_ghoststalker.name</t>
        </is>
      </c>
      <c r="D222" t="inlineStr"/>
      <c r="E222" s="5" t="n"/>
      <c r="F222" s="5" t="n"/>
      <c r="H222" s="5" t="n">
        <v>1</v>
      </c>
      <c r="I222" s="5" t="n">
        <v>1</v>
      </c>
      <c r="J222" s="5" t="n">
        <v>1</v>
      </c>
      <c r="W222" s="5" t="n"/>
    </row>
    <row r="223">
      <c r="A223" t="inlineStr">
        <is>
          <t>tiberiansun</t>
        </is>
      </c>
      <c r="B223" t="inlineStr">
        <is>
          <t>forgotten_promotion_locustbomber</t>
        </is>
      </c>
      <c r="C223" t="inlineStr">
        <is>
          <t>actor_forgotten_promotion_locustbomber.name</t>
        </is>
      </c>
      <c r="D223" t="inlineStr"/>
      <c r="E223" s="5" t="n"/>
      <c r="F223" s="5" t="n"/>
      <c r="H223" s="5" t="n">
        <v>1</v>
      </c>
      <c r="I223" s="5" t="n">
        <v>1</v>
      </c>
      <c r="J223" s="5" t="n">
        <v>1</v>
      </c>
      <c r="W223" s="5" t="n"/>
    </row>
    <row r="224">
      <c r="A224" t="inlineStr">
        <is>
          <t>tiberiansun</t>
        </is>
      </c>
      <c r="B224" t="inlineStr">
        <is>
          <t>forgotten_promotion_mlrs</t>
        </is>
      </c>
      <c r="C224" t="inlineStr">
        <is>
          <t>actor_forgotten_promotion_mlrs.name</t>
        </is>
      </c>
      <c r="D224" t="inlineStr"/>
      <c r="E224" s="5" t="n"/>
      <c r="F224" s="5" t="n"/>
      <c r="H224" s="5" t="n">
        <v>1</v>
      </c>
      <c r="I224" s="5" t="n">
        <v>1</v>
      </c>
      <c r="J224" s="5" t="n">
        <v>1</v>
      </c>
      <c r="W224" s="5" t="n"/>
    </row>
    <row r="225">
      <c r="A225" t="inlineStr">
        <is>
          <t>tiberiansun</t>
        </is>
      </c>
      <c r="B225" t="inlineStr">
        <is>
          <t>forgotten_promotion_runnershotgal</t>
        </is>
      </c>
      <c r="C225" t="inlineStr">
        <is>
          <t>actor_forgotten_promotion_runnershotgal.name</t>
        </is>
      </c>
      <c r="D225" t="inlineStr"/>
      <c r="E225" s="5" t="n"/>
      <c r="F225" s="5" t="n"/>
      <c r="H225" s="5" t="n">
        <v>1</v>
      </c>
      <c r="I225" s="5" t="n">
        <v>1</v>
      </c>
      <c r="J225" s="5" t="n">
        <v>1</v>
      </c>
      <c r="W225" s="5" t="n"/>
    </row>
    <row r="226">
      <c r="A226" t="inlineStr">
        <is>
          <t>tiberiansun</t>
        </is>
      </c>
      <c r="B226" t="inlineStr">
        <is>
          <t>forgotten_promotion_scoopertank</t>
        </is>
      </c>
      <c r="C226" t="inlineStr">
        <is>
          <t>actor_forgotten_promotion_scoopertank.name</t>
        </is>
      </c>
      <c r="D226" t="inlineStr"/>
      <c r="E226" s="5" t="n"/>
      <c r="F226" s="5" t="n"/>
      <c r="H226" s="5" t="n">
        <v>1</v>
      </c>
      <c r="I226" s="5" t="n">
        <v>1</v>
      </c>
      <c r="J226" s="5" t="n">
        <v>1</v>
      </c>
      <c r="W226" s="5" t="n"/>
    </row>
    <row r="227">
      <c r="A227" t="inlineStr">
        <is>
          <t>tiberiansun</t>
        </is>
      </c>
      <c r="B227" t="inlineStr">
        <is>
          <t>forgotten_promotion_viniferafiend</t>
        </is>
      </c>
      <c r="C227" t="inlineStr">
        <is>
          <t>actor_forgotten_promotion_viniferafiend.name</t>
        </is>
      </c>
      <c r="D227" t="inlineStr"/>
      <c r="E227" s="5" t="n"/>
      <c r="F227" s="5" t="n"/>
      <c r="H227" s="5" t="n">
        <v>1</v>
      </c>
      <c r="I227" s="5" t="n">
        <v>1</v>
      </c>
      <c r="J227" s="5" t="n">
        <v>1</v>
      </c>
      <c r="W227" s="5" t="n"/>
    </row>
    <row r="228">
      <c r="A228" t="inlineStr">
        <is>
          <t>tiberiansun</t>
        </is>
      </c>
      <c r="B228" t="inlineStr">
        <is>
          <t>forgotten_promotion_warriortank</t>
        </is>
      </c>
      <c r="C228" t="inlineStr">
        <is>
          <t>actor_forgotten_promotion_warriortank.name</t>
        </is>
      </c>
      <c r="D228" t="inlineStr"/>
      <c r="E228" s="5" t="n"/>
      <c r="F228" s="5" t="n"/>
      <c r="H228" s="5" t="n">
        <v>1</v>
      </c>
      <c r="I228" s="5" t="n">
        <v>1</v>
      </c>
      <c r="J228" s="5" t="n">
        <v>1</v>
      </c>
      <c r="W228" s="5" t="n"/>
    </row>
    <row r="229">
      <c r="A229" s="3" t="inlineStr">
        <is>
          <t>MISC</t>
        </is>
      </c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</row>
    <row r="230">
      <c r="A230" t="inlineStr">
        <is>
          <t>tiberiansun</t>
        </is>
      </c>
      <c r="B230" t="inlineStr">
        <is>
          <t>forgotten_upgrade_tiberiumadaptability_proxy_actor</t>
        </is>
      </c>
      <c r="C230" t="inlineStr">
        <is>
          <t>Tiberium Adaptability (Team Upgrade)</t>
        </is>
      </c>
      <c r="D230" t="inlineStr"/>
      <c r="E230" s="5" t="n"/>
      <c r="F230" s="5" t="n"/>
      <c r="H230" s="5" t="n">
        <v>1</v>
      </c>
      <c r="I230" s="5" t="n">
        <v>1</v>
      </c>
      <c r="J230" s="5" t="n">
        <v>1</v>
      </c>
      <c r="W230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231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A1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tiberiansun</t>
        </is>
      </c>
      <c r="B3" t="inlineStr">
        <is>
          <t>ts_gdi_discthrower</t>
        </is>
      </c>
      <c r="C3" t="inlineStr">
        <is>
          <t>Disc Thrower</t>
        </is>
      </c>
      <c r="D3" t="inlineStr"/>
      <c r="E3" s="5" t="n">
        <v>12000</v>
      </c>
      <c r="F3" s="5" t="n">
        <v>60</v>
      </c>
      <c r="G3" t="inlineStr">
        <is>
          <t>None</t>
        </is>
      </c>
      <c r="H3" s="5" t="n">
        <v>1</v>
      </c>
      <c r="I3" s="5" t="n">
        <v>1</v>
      </c>
      <c r="J3" s="5" t="n">
        <v>1</v>
      </c>
      <c r="O3">
        <f>MAX(O4,O5)</f>
        <v/>
      </c>
      <c r="R3">
        <f>R4+R5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300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TSGrenade</t>
        </is>
      </c>
      <c r="C4" s="6" t="inlineStr">
        <is>
          <t>Armament@PRIMARY</t>
        </is>
      </c>
      <c r="K4" s="5" t="n">
        <v>12000</v>
      </c>
      <c r="L4" s="5" t="n">
        <v>50</v>
      </c>
      <c r="M4" s="5" t="n">
        <v>1</v>
      </c>
      <c r="N4" s="5" t="n"/>
      <c r="O4" s="5" t="n">
        <v>6151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^ShrapnelWeapon, ^MediumCannon</t>
        </is>
      </c>
    </row>
    <row r="5">
      <c r="B5" s="6" t="inlineStr">
        <is>
          <t xml:space="preserve">  ↳ TSGrenadeSonic</t>
        </is>
      </c>
      <c r="C5" s="6" t="inlineStr">
        <is>
          <t>Armament@Upgrade</t>
        </is>
      </c>
      <c r="K5" s="5" t="n">
        <v>12000</v>
      </c>
      <c r="L5" s="5" t="n">
        <v>50</v>
      </c>
      <c r="M5" s="5" t="n">
        <v>1</v>
      </c>
      <c r="N5" s="5" t="n"/>
      <c r="O5" s="5" t="n">
        <v>6151</v>
      </c>
      <c r="P5" s="5" t="n">
        <v>1</v>
      </c>
      <c r="Q5">
        <f>L5+IF(M5&gt;1,N(N5)*(M5-1),0)</f>
        <v/>
      </c>
      <c r="R5">
        <f>IFERROR(K5*MAX(M5,1)/Q5*P5,0)</f>
        <v/>
      </c>
      <c r="AA5" s="6" t="inlineStr">
        <is>
          <t>^ShrapnelWeapon, ^MediumCannon, ^TeslaWeapon, ^MagicWeapon, ^TSSonicGrenade</t>
        </is>
      </c>
    </row>
    <row r="6">
      <c r="B6" s="6" t="inlineStr">
        <is>
          <t xml:space="preserve">  ↳ TSGrenadeG</t>
        </is>
      </c>
      <c r="C6" s="6" t="inlineStr">
        <is>
          <t>Armament@GARRISONED</t>
        </is>
      </c>
      <c r="K6" s="5" t="n">
        <v>12000</v>
      </c>
      <c r="L6" s="5" t="n">
        <v>45</v>
      </c>
      <c r="M6" s="5" t="n">
        <v>1</v>
      </c>
      <c r="N6" s="5" t="n"/>
      <c r="O6" s="5" t="n">
        <v>6656</v>
      </c>
      <c r="P6" s="5" t="n">
        <v>1</v>
      </c>
      <c r="Q6">
        <f>L6+IF(M6&gt;1,N(N6)*(M6-1),0)</f>
        <v/>
      </c>
      <c r="R6">
        <f>IFERROR(K6*MAX(M6,1)/Q6*P6,0)</f>
        <v/>
      </c>
      <c r="AA6" s="6" t="inlineStr">
        <is>
          <t>^ShrapnelWeapon, ^MediumCannon</t>
        </is>
      </c>
    </row>
    <row r="7">
      <c r="B7" s="6" t="inlineStr">
        <is>
          <t xml:space="preserve">  ↳ TSGrenadeSonic</t>
        </is>
      </c>
      <c r="C7" s="6" t="inlineStr">
        <is>
          <t>Armament@UpgradeGARRISONED</t>
        </is>
      </c>
      <c r="K7" s="5" t="n">
        <v>12000</v>
      </c>
      <c r="L7" s="5" t="n">
        <v>50</v>
      </c>
      <c r="M7" s="5" t="n">
        <v>1</v>
      </c>
      <c r="N7" s="5" t="n"/>
      <c r="O7" s="5" t="n">
        <v>6151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^ShrapnelWeapon, ^MediumCannon, ^TeslaWeapon, ^MagicWeapon, ^TSSonicGrenade</t>
        </is>
      </c>
    </row>
    <row r="8">
      <c r="A8" t="inlineStr">
        <is>
          <t>tiberiansun</t>
        </is>
      </c>
      <c r="B8" t="inlineStr">
        <is>
          <t>ts_gdi_engineer</t>
        </is>
      </c>
      <c r="C8" t="inlineStr">
        <is>
          <t>Engineer</t>
        </is>
      </c>
      <c r="D8" t="inlineStr"/>
      <c r="E8" s="5" t="n">
        <v>10000</v>
      </c>
      <c r="F8" s="5" t="n">
        <v>55</v>
      </c>
      <c r="G8" t="inlineStr">
        <is>
          <t>Flak</t>
        </is>
      </c>
      <c r="H8" s="5" t="n">
        <v>1</v>
      </c>
      <c r="I8" s="5" t="n">
        <v>1</v>
      </c>
      <c r="J8" s="5" t="n">
        <v>1</v>
      </c>
      <c r="O8">
        <f>MAX(O9,O10,O11)</f>
        <v/>
      </c>
      <c r="R8">
        <f>R9+R10+R11</f>
        <v/>
      </c>
      <c r="S8">
        <f>(E8/100000+F8/100+(O8/1000)*J8/5+R8/200)*200*I8*H8</f>
        <v/>
      </c>
      <c r="T8">
        <f>((E8*F8/25000)+((O8/1000)*J8*R8/2.5))*I8*H8</f>
        <v/>
      </c>
      <c r="U8">
        <f>(E8*F8*(O8/1000)*J8*R8*I8*H8)/12500000</f>
        <v/>
      </c>
      <c r="V8">
        <f>(S8+T8+U8)/3</f>
        <v/>
      </c>
      <c r="W8" s="5" t="n">
        <v>600</v>
      </c>
      <c r="X8">
        <f>IFERROR(V8-W8,"")</f>
        <v/>
      </c>
      <c r="Y8">
        <f>IFERROR(ABS(X8)/MAX(W8,1),"")</f>
        <v/>
      </c>
      <c r="Z8">
        <f>IFERROR((W8-(((E8/100000+F8/100+R8/200)*200*I8*H8)+((E8*F8/25000)*I8*H8))/3)/(((J8/5)*200*I8*H8)+((J8*R8/2.5)*I8*H8)+((E8*F8*J8*R8*I8*H8)/12500000))/3*1000,"")</f>
        <v/>
      </c>
    </row>
    <row r="9">
      <c r="B9" s="6" t="inlineStr">
        <is>
          <t xml:space="preserve">  ↳ DefuseKit</t>
        </is>
      </c>
      <c r="C9" s="6" t="inlineStr">
        <is>
          <t>Armament@defuse</t>
        </is>
      </c>
      <c r="K9" s="5" t="n"/>
      <c r="L9" s="5" t="n">
        <v>20</v>
      </c>
      <c r="M9" s="5" t="n">
        <v>1</v>
      </c>
      <c r="N9" s="5" t="n"/>
      <c r="O9" s="5" t="n">
        <v>1536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>
        <is>
          <t>^RemovesIvanBombs, ^RemovesTerrorDrone</t>
        </is>
      </c>
    </row>
    <row r="10">
      <c r="B10" s="6" t="inlineStr">
        <is>
          <t xml:space="preserve">  ↳ LeechDisinfect</t>
        </is>
      </c>
      <c r="C10" s="6" t="inlineStr">
        <is>
          <t>Armament@leechdisinfect</t>
        </is>
      </c>
      <c r="K10" s="5" t="n"/>
      <c r="L10" s="5" t="n">
        <v>100</v>
      </c>
      <c r="M10" s="5" t="n">
        <v>1</v>
      </c>
      <c r="N10" s="5" t="n"/>
      <c r="O10" s="5" t="n">
        <v>1536</v>
      </c>
      <c r="P10" s="5" t="n">
        <v>1</v>
      </c>
      <c r="Q10">
        <f>L10+IF(M10&gt;1,N(N10)*(M10-1),0)</f>
        <v/>
      </c>
      <c r="R10">
        <f>IFERROR(K10*MAX(M10,1)/Q10*P10,0)</f>
        <v/>
      </c>
      <c r="AA10" s="6" t="inlineStr"/>
    </row>
    <row r="11">
      <c r="B11" s="6" t="inlineStr">
        <is>
          <t xml:space="preserve">  ↳ TSEngineerPistol</t>
        </is>
      </c>
      <c r="C11" s="6" t="inlineStr">
        <is>
          <t>Armament@PRIMARY</t>
        </is>
      </c>
      <c r="K11" s="5" t="n">
        <v>20000</v>
      </c>
      <c r="L11" s="5" t="n">
        <v>25</v>
      </c>
      <c r="M11" s="5" t="n">
        <v>1</v>
      </c>
      <c r="N11" s="5" t="n"/>
      <c r="O11" s="5" t="n">
        <v>4303</v>
      </c>
      <c r="P11" s="5" t="n">
        <v>1</v>
      </c>
      <c r="Q11">
        <f>L11+IF(M11&gt;1,N(N11)*(M11-1),0)</f>
        <v/>
      </c>
      <c r="R11">
        <f>IFERROR(K11*MAX(M11,1)/Q11*P11,0)</f>
        <v/>
      </c>
      <c r="AA11" s="6" t="inlineStr">
        <is>
          <t>^SniperWeapon</t>
        </is>
      </c>
    </row>
    <row r="12">
      <c r="B12" s="6" t="inlineStr">
        <is>
          <t xml:space="preserve">  ↳ TSEngineerPistol</t>
        </is>
      </c>
      <c r="C12" s="6" t="inlineStr">
        <is>
          <t>Armament@GARRISONED</t>
        </is>
      </c>
      <c r="K12" s="5" t="n">
        <v>20000</v>
      </c>
      <c r="L12" s="5" t="n">
        <v>25</v>
      </c>
      <c r="M12" s="5" t="n">
        <v>1</v>
      </c>
      <c r="N12" s="5" t="n"/>
      <c r="O12" s="5" t="n">
        <v>4303</v>
      </c>
      <c r="P12" s="5" t="n">
        <v>1</v>
      </c>
      <c r="Q12">
        <f>L12+IF(M12&gt;1,N(N12)*(M12-1),0)</f>
        <v/>
      </c>
      <c r="R12">
        <f>IFERROR(K12*MAX(M12,1)/Q12*P12,0)</f>
        <v/>
      </c>
      <c r="AA12" s="6" t="inlineStr">
        <is>
          <t>^SniperWeapon</t>
        </is>
      </c>
    </row>
    <row r="13">
      <c r="A13" t="inlineStr">
        <is>
          <t>tiberiansun</t>
        </is>
      </c>
      <c r="B13" t="inlineStr">
        <is>
          <t>ts_gdi_falconenforcer</t>
        </is>
      </c>
      <c r="C13" t="inlineStr">
        <is>
          <t>Falcon Enforcer</t>
        </is>
      </c>
      <c r="D13" t="inlineStr"/>
      <c r="E13" s="5" t="n">
        <v>45000</v>
      </c>
      <c r="F13" s="5" t="n">
        <v>60</v>
      </c>
      <c r="G13" t="inlineStr">
        <is>
          <t>Flak</t>
        </is>
      </c>
      <c r="H13" s="5" t="n">
        <v>1</v>
      </c>
      <c r="I13" s="5" t="n">
        <v>1</v>
      </c>
      <c r="J13" s="5" t="n">
        <v>1</v>
      </c>
      <c r="O13">
        <f>MAX(O14,O16)</f>
        <v/>
      </c>
      <c r="R13">
        <f>R14+R16</f>
        <v/>
      </c>
      <c r="S13">
        <f>(E13/100000+F13/100+(O13/1000)*J13/5+R13/200)*200*I13*H13</f>
        <v/>
      </c>
      <c r="T13">
        <f>((E13*F13/25000)+((O13/1000)*J13*R13/2.5))*I13*H13</f>
        <v/>
      </c>
      <c r="U13">
        <f>(E13*F13*(O13/1000)*J13*R13*I13*H13)/12500000</f>
        <v/>
      </c>
      <c r="V13">
        <f>(S13+T13+U13)/3</f>
        <v/>
      </c>
      <c r="W13" s="5" t="n">
        <v>400</v>
      </c>
      <c r="X13">
        <f>IFERROR(V13-W13,"")</f>
        <v/>
      </c>
      <c r="Y13">
        <f>IFERROR(ABS(X13)/MAX(W13,1),"")</f>
        <v/>
      </c>
      <c r="Z13">
        <f>IFERROR((W13-(((E13/100000+F13/100+R13/200)*200*I13*H13)+((E13*F13/25000)*I13*H13))/3)/(((J13/5)*200*I13*H13)+((J13*R13/2.5)*I13*H13)+((E13*F13*J13*R13*I13*H13)/12500000))/3*1000,"")</f>
        <v/>
      </c>
    </row>
    <row r="14">
      <c r="B14" s="6" t="inlineStr">
        <is>
          <t xml:space="preserve">  ↳ TS30mm</t>
        </is>
      </c>
      <c r="C14" s="6" t="inlineStr">
        <is>
          <t>Armament@PRIMARY</t>
        </is>
      </c>
      <c r="K14" s="5" t="n">
        <v>2000</v>
      </c>
      <c r="L14" s="5" t="n">
        <v>26</v>
      </c>
      <c r="M14" s="5" t="n">
        <v>3</v>
      </c>
      <c r="N14" s="5" t="n">
        <v>2</v>
      </c>
      <c r="O14" s="5" t="n">
        <v>5873</v>
      </c>
      <c r="P14" s="5" t="n">
        <v>1</v>
      </c>
      <c r="Q14">
        <f>L14+IF(M14&gt;1,N(N14)*(M14-1),0)</f>
        <v/>
      </c>
      <c r="R14">
        <f>IFERROR(K14*MAX(M14,1)/Q14*P14,0)</f>
        <v/>
      </c>
      <c r="AA14" s="6" t="inlineStr">
        <is>
          <t>^MediumMissile, ^FlakWeapon</t>
        </is>
      </c>
    </row>
    <row r="15">
      <c r="B15" s="6" t="inlineStr">
        <is>
          <t xml:space="preserve">  ↳ TS30mm</t>
        </is>
      </c>
      <c r="C15" s="6" t="inlineStr">
        <is>
          <t>Armament@GARRISONED</t>
        </is>
      </c>
      <c r="K15" s="5" t="n">
        <v>2000</v>
      </c>
      <c r="L15" s="5" t="n">
        <v>26</v>
      </c>
      <c r="M15" s="5" t="n">
        <v>3</v>
      </c>
      <c r="N15" s="5" t="n">
        <v>2</v>
      </c>
      <c r="O15" s="5" t="n">
        <v>5873</v>
      </c>
      <c r="P15" s="5" t="n">
        <v>1</v>
      </c>
      <c r="Q15">
        <f>L15+IF(M15&gt;1,N(N15)*(M15-1),0)</f>
        <v/>
      </c>
      <c r="R15">
        <f>IFERROR(K15*MAX(M15,1)/Q15*P15,0)</f>
        <v/>
      </c>
      <c r="AA15" s="6" t="inlineStr">
        <is>
          <t>^MediumMissile, ^FlakWeapon</t>
        </is>
      </c>
    </row>
    <row r="16">
      <c r="B16" s="6" t="inlineStr">
        <is>
          <t xml:space="preserve">  ↳ TS30mmRail</t>
        </is>
      </c>
      <c r="C16" s="6" t="inlineStr">
        <is>
          <t>Armament@Upgrade</t>
        </is>
      </c>
      <c r="K16" s="5" t="n">
        <v>2000</v>
      </c>
      <c r="L16" s="5" t="n">
        <v>26</v>
      </c>
      <c r="M16" s="5" t="n">
        <v>3</v>
      </c>
      <c r="N16" s="5" t="n">
        <v>2</v>
      </c>
      <c r="O16" s="5" t="n">
        <v>5873</v>
      </c>
      <c r="P16" s="5" t="n">
        <v>1</v>
      </c>
      <c r="Q16">
        <f>L16+IF(M16&gt;1,N(N16)*(M16-1),0)</f>
        <v/>
      </c>
      <c r="R16">
        <f>IFERROR(K16*MAX(M16,1)/Q16*P16,0)</f>
        <v/>
      </c>
      <c r="AA16" s="6" t="inlineStr">
        <is>
          <t>^MediumMissile, ^FlakWeapon, ^RailgunWeapon</t>
        </is>
      </c>
    </row>
    <row r="17">
      <c r="B17" s="6" t="inlineStr">
        <is>
          <t xml:space="preserve">  ↳ TS30mmRail</t>
        </is>
      </c>
      <c r="C17" s="6" t="inlineStr">
        <is>
          <t>Armament@UpgradeGARRISONED</t>
        </is>
      </c>
      <c r="K17" s="5" t="n">
        <v>2000</v>
      </c>
      <c r="L17" s="5" t="n">
        <v>26</v>
      </c>
      <c r="M17" s="5" t="n">
        <v>3</v>
      </c>
      <c r="N17" s="5" t="n">
        <v>2</v>
      </c>
      <c r="O17" s="5" t="n">
        <v>5873</v>
      </c>
      <c r="P17" s="5" t="n">
        <v>1</v>
      </c>
      <c r="Q17">
        <f>L17+IF(M17&gt;1,N(N17)*(M17-1),0)</f>
        <v/>
      </c>
      <c r="R17">
        <f>IFERROR(K17*MAX(M17,1)/Q17*P17,0)</f>
        <v/>
      </c>
      <c r="AA17" s="6" t="inlineStr">
        <is>
          <t>^MediumMissile, ^FlakWeapon, ^RailgunWeapon</t>
        </is>
      </c>
    </row>
    <row r="18">
      <c r="A18" t="inlineStr">
        <is>
          <t>tiberiansun</t>
        </is>
      </c>
      <c r="B18" t="inlineStr">
        <is>
          <t>ts_gdi_jumpjetinfantry</t>
        </is>
      </c>
      <c r="C18" t="inlineStr">
        <is>
          <t>Jumpjet Infantry</t>
        </is>
      </c>
      <c r="D18" t="inlineStr"/>
      <c r="E18" s="5" t="n">
        <v>34000</v>
      </c>
      <c r="F18" s="5" t="n">
        <v>110</v>
      </c>
      <c r="G18" t="inlineStr">
        <is>
          <t>Scout</t>
        </is>
      </c>
      <c r="H18" s="5" t="n">
        <v>1</v>
      </c>
      <c r="I18" s="5" t="n">
        <v>1</v>
      </c>
      <c r="J18" s="5" t="n">
        <v>1</v>
      </c>
      <c r="O18">
        <f>MAX(O19)</f>
        <v/>
      </c>
      <c r="R18">
        <f>R19</f>
        <v/>
      </c>
      <c r="S18">
        <f>(E18/100000+F18/100+(O18/1000)*J18/5+R18/200)*200*I18*H18</f>
        <v/>
      </c>
      <c r="T18">
        <f>((E18*F18/25000)+((O18/1000)*J18*R18/2.5))*I18*H18</f>
        <v/>
      </c>
      <c r="U18">
        <f>(E18*F18*(O18/1000)*J18*R18*I18*H18)/12500000</f>
        <v/>
      </c>
      <c r="V18">
        <f>(S18+T18+U18)/3</f>
        <v/>
      </c>
      <c r="W18" s="5" t="n">
        <v>700</v>
      </c>
      <c r="X18">
        <f>IFERROR(V18-W18,"")</f>
        <v/>
      </c>
      <c r="Y18">
        <f>IFERROR(ABS(X18)/MAX(W18,1),"")</f>
        <v/>
      </c>
      <c r="Z18">
        <f>IFERROR((W18-(((E18/100000+F18/100+R18/200)*200*I18*H18)+((E18*F18/25000)*I18*H18))/3)/(((J18/5)*200*I18*H18)+((J18*R18/2.5)*I18*H18)+((E18*F18*J18*R18*I18*H18)/12500000))/3*1000,"")</f>
        <v/>
      </c>
    </row>
    <row r="19">
      <c r="B19" s="6" t="inlineStr">
        <is>
          <t xml:space="preserve">  ↳ TSJumpCannon</t>
        </is>
      </c>
      <c r="C19" s="6" t="inlineStr">
        <is>
          <t>Armament@PRIMARY</t>
        </is>
      </c>
      <c r="K19" s="5" t="n">
        <v>4000</v>
      </c>
      <c r="L19" s="5" t="n">
        <v>25</v>
      </c>
      <c r="M19" s="5" t="n">
        <v>1</v>
      </c>
      <c r="N19" s="5" t="n"/>
      <c r="O19" s="5" t="n">
        <v>5090</v>
      </c>
      <c r="P19" s="5" t="n">
        <v>1</v>
      </c>
      <c r="Q19">
        <f>L19+IF(M19&gt;1,N(N19)*(M19-1),0)</f>
        <v/>
      </c>
      <c r="R19">
        <f>IFERROR(K19*MAX(M19,1)/Q19*P19,0)</f>
        <v/>
      </c>
      <c r="AA19" s="6" t="inlineStr">
        <is>
          <t>^RA2FlakWeapon, ^RA2Chaingun</t>
        </is>
      </c>
    </row>
    <row r="20">
      <c r="A20" t="inlineStr">
        <is>
          <t>tiberiansun</t>
        </is>
      </c>
      <c r="B20" t="inlineStr">
        <is>
          <t>ts_gdi_lightinfantry</t>
        </is>
      </c>
      <c r="C20" t="inlineStr">
        <is>
          <t>Light Infantry</t>
        </is>
      </c>
      <c r="D20" t="inlineStr"/>
      <c r="E20" s="5" t="n">
        <v>16000</v>
      </c>
      <c r="F20" s="5" t="n">
        <v>60</v>
      </c>
      <c r="G20" t="inlineStr">
        <is>
          <t>None</t>
        </is>
      </c>
      <c r="H20" s="5" t="n">
        <v>1</v>
      </c>
      <c r="I20" s="5" t="n">
        <v>1</v>
      </c>
      <c r="J20" s="5" t="n">
        <v>1</v>
      </c>
      <c r="O20">
        <f>MAX(O21)</f>
        <v/>
      </c>
      <c r="R20">
        <f>R21</f>
        <v/>
      </c>
      <c r="S20">
        <f>(E20/100000+F20/100+(O20/1000)*J20/5+R20/200)*200*I20*H20</f>
        <v/>
      </c>
      <c r="T20">
        <f>((E20*F20/25000)+((O20/1000)*J20*R20/2.5))*I20*H20</f>
        <v/>
      </c>
      <c r="U20">
        <f>(E20*F20*(O20/1000)*J20*R20*I20*H20)/12500000</f>
        <v/>
      </c>
      <c r="V20">
        <f>(S20+T20+U20)/3</f>
        <v/>
      </c>
      <c r="W20" s="5" t="n">
        <v>120</v>
      </c>
      <c r="X20">
        <f>IFERROR(V20-W20,"")</f>
        <v/>
      </c>
      <c r="Y20">
        <f>IFERROR(ABS(X20)/MAX(W20,1),"")</f>
        <v/>
      </c>
      <c r="Z20">
        <f>IFERROR((W20-(((E20/100000+F20/100+R20/200)*200*I20*H20)+((E20*F20/25000)*I20*H20))/3)/(((J20/5)*200*I20*H20)+((J20*R20/2.5)*I20*H20)+((E20*F20*J20*R20*I20*H20)/12500000))/3*1000,"")</f>
        <v/>
      </c>
    </row>
    <row r="21">
      <c r="B21" s="6" t="inlineStr">
        <is>
          <t xml:space="preserve">  ↳ TSMinigun</t>
        </is>
      </c>
      <c r="C21" s="6" t="inlineStr">
        <is>
          <t>Armament@PRIMARY</t>
        </is>
      </c>
      <c r="K21" s="5" t="n">
        <v>2000</v>
      </c>
      <c r="L21" s="5" t="n">
        <v>12</v>
      </c>
      <c r="M21" s="5" t="n">
        <v>1</v>
      </c>
      <c r="N21" s="5" t="n"/>
      <c r="O21" s="5" t="n">
        <v>4062</v>
      </c>
      <c r="P21" s="5" t="n">
        <v>1</v>
      </c>
      <c r="Q21">
        <f>L21+IF(M21&gt;1,N(N21)*(M21-1),0)</f>
        <v/>
      </c>
      <c r="R21">
        <f>IFERROR(K21*MAX(M21,1)/Q21*P21,0)</f>
        <v/>
      </c>
      <c r="AA21" s="6" t="inlineStr">
        <is>
          <t>^SmallArms</t>
        </is>
      </c>
    </row>
    <row r="22">
      <c r="B22" s="6" t="inlineStr">
        <is>
          <t xml:space="preserve">  ↳ TSMinigun</t>
        </is>
      </c>
      <c r="C22" s="6" t="inlineStr">
        <is>
          <t>Armament@GARRISONED</t>
        </is>
      </c>
      <c r="K22" s="5" t="n">
        <v>2000</v>
      </c>
      <c r="L22" s="5" t="n">
        <v>12</v>
      </c>
      <c r="M22" s="5" t="n">
        <v>1</v>
      </c>
      <c r="N22" s="5" t="n"/>
      <c r="O22" s="5" t="n">
        <v>4062</v>
      </c>
      <c r="P22" s="5" t="n">
        <v>1</v>
      </c>
      <c r="Q22">
        <f>L22+IF(M22&gt;1,N(N22)*(M22-1),0)</f>
        <v/>
      </c>
      <c r="R22">
        <f>IFERROR(K22*MAX(M22,1)/Q22*P22,0)</f>
        <v/>
      </c>
      <c r="AA22" s="6" t="inlineStr">
        <is>
          <t>^SmallArms</t>
        </is>
      </c>
    </row>
    <row r="23">
      <c r="A23" t="inlineStr">
        <is>
          <t>tiberiansun</t>
        </is>
      </c>
      <c r="B23" t="inlineStr">
        <is>
          <t>ts_gdi_medic</t>
        </is>
      </c>
      <c r="C23" t="inlineStr">
        <is>
          <t>Medic</t>
        </is>
      </c>
      <c r="D23" t="inlineStr"/>
      <c r="E23" s="5" t="n">
        <v>10000</v>
      </c>
      <c r="F23" s="5" t="n">
        <v>50</v>
      </c>
      <c r="G23" t="inlineStr">
        <is>
          <t>None</t>
        </is>
      </c>
      <c r="H23" s="5" t="n">
        <v>1</v>
      </c>
      <c r="I23" s="5" t="n">
        <v>1</v>
      </c>
      <c r="J23" s="5" t="n">
        <v>1</v>
      </c>
      <c r="O23">
        <f>MAX(O24,O25)</f>
        <v/>
      </c>
      <c r="R23">
        <f>R24+R25</f>
        <v/>
      </c>
      <c r="S23">
        <f>(E23/100000+F23/100+(O23/1000)*J23/5+R23/200)*200*I23*H23</f>
        <v/>
      </c>
      <c r="T23">
        <f>((E23*F23/25000)+((O23/1000)*J23*R23/2.5))*I23*H23</f>
        <v/>
      </c>
      <c r="U23">
        <f>(E23*F23*(O23/1000)*J23*R23*I23*H23)/12500000</f>
        <v/>
      </c>
      <c r="V23">
        <f>(S23+T23+U23)/3</f>
        <v/>
      </c>
      <c r="W23" s="5" t="n">
        <v>500</v>
      </c>
      <c r="X23">
        <f>IFERROR(V23-W23,"")</f>
        <v/>
      </c>
      <c r="Y23">
        <f>IFERROR(ABS(X23)/MAX(W23,1),"")</f>
        <v/>
      </c>
      <c r="Z23">
        <f>IFERROR((W23-(((E23/100000+F23/100+R23/200)*200*I23*H23)+((E23*F23/25000)*I23*H23))/3)/(((J23/5)*200*I23*H23)+((J23*R23/2.5)*I23*H23)+((E23*F23*J23*R23*I23*H23)/12500000))/3*1000,"")</f>
        <v/>
      </c>
    </row>
    <row r="24">
      <c r="B24" s="6" t="inlineStr">
        <is>
          <t xml:space="preserve">  ↳ dummytargeting</t>
        </is>
      </c>
      <c r="C24" s="6" t="inlineStr">
        <is>
          <t>Armament@Dummy</t>
        </is>
      </c>
      <c r="K24" s="5" t="n"/>
      <c r="L24" s="5" t="n"/>
      <c r="M24" s="5" t="n">
        <v>1</v>
      </c>
      <c r="N24" s="5" t="n"/>
      <c r="O24" s="5" t="n">
        <v>10000</v>
      </c>
      <c r="P24" s="5" t="n">
        <v>1</v>
      </c>
      <c r="Q24">
        <f>L24+IF(M24&gt;1,N(N24)*(M24-1),0)</f>
        <v/>
      </c>
      <c r="R24">
        <f>IFERROR(K24*MAX(M24,1)/Q24*P24,0)</f>
        <v/>
      </c>
      <c r="AA24" s="6" t="inlineStr"/>
    </row>
    <row r="25">
      <c r="B25" s="6" t="inlineStr">
        <is>
          <t xml:space="preserve">  ↳ Heal</t>
        </is>
      </c>
      <c r="C25" s="6" t="inlineStr">
        <is>
          <t>Armament</t>
        </is>
      </c>
      <c r="K25" s="5" t="n">
        <v>-1</v>
      </c>
      <c r="L25" s="5" t="n">
        <v>75</v>
      </c>
      <c r="M25" s="5" t="n">
        <v>1</v>
      </c>
      <c r="N25" s="5" t="n"/>
      <c r="O25" s="5" t="n">
        <v>5000</v>
      </c>
      <c r="P25" s="5" t="n">
        <v>1</v>
      </c>
      <c r="Q25">
        <f>L25+IF(M25&gt;1,N(N25)*(M25-1),0)</f>
        <v/>
      </c>
      <c r="R25">
        <f>IFERROR(K25*MAX(M25,1)/Q25*P25,0)</f>
        <v/>
      </c>
      <c r="AA25" s="6" t="inlineStr">
        <is>
          <t>^HealingWeapon</t>
        </is>
      </c>
    </row>
    <row r="26">
      <c r="B26" s="6" t="inlineStr">
        <is>
          <t xml:space="preserve">  ↳ Heal</t>
        </is>
      </c>
      <c r="C26" s="6" t="inlineStr">
        <is>
          <t>Armament@GARRISONED</t>
        </is>
      </c>
      <c r="K26" s="5" t="n">
        <v>-1</v>
      </c>
      <c r="L26" s="5" t="n">
        <v>75</v>
      </c>
      <c r="M26" s="5" t="n">
        <v>1</v>
      </c>
      <c r="N26" s="5" t="n"/>
      <c r="O26" s="5" t="n">
        <v>5000</v>
      </c>
      <c r="P26" s="5" t="n">
        <v>1</v>
      </c>
      <c r="Q26">
        <f>L26+IF(M26&gt;1,N(N26)*(M26-1),0)</f>
        <v/>
      </c>
      <c r="R26">
        <f>IFERROR(K26*MAX(M26,1)/Q26*P26,0)</f>
        <v/>
      </c>
      <c r="AA26" s="6" t="inlineStr">
        <is>
          <t>^HealingWeapon</t>
        </is>
      </c>
    </row>
    <row r="27">
      <c r="A27" t="inlineStr">
        <is>
          <t>tiberiansun</t>
        </is>
      </c>
      <c r="B27" t="inlineStr">
        <is>
          <t>ts_gdi_railguncommando</t>
        </is>
      </c>
      <c r="C27" t="inlineStr">
        <is>
          <t>Railgun Commando</t>
        </is>
      </c>
      <c r="D27" t="inlineStr"/>
      <c r="E27" s="5" t="n">
        <v>100000</v>
      </c>
      <c r="F27" s="5" t="n">
        <v>60</v>
      </c>
      <c r="G27" t="inlineStr">
        <is>
          <t>Heroic</t>
        </is>
      </c>
      <c r="H27" s="5" t="n">
        <v>1</v>
      </c>
      <c r="I27" s="5" t="n">
        <v>1</v>
      </c>
      <c r="J27" s="5" t="n">
        <v>1</v>
      </c>
      <c r="O27">
        <f>MAX(O28,O29)</f>
        <v/>
      </c>
      <c r="R27">
        <f>R28+R29</f>
        <v/>
      </c>
      <c r="S27">
        <f>(E27/100000+F27/100+(O27/1000)*J27/5+R27/200)*200*I27*H27</f>
        <v/>
      </c>
      <c r="T27">
        <f>((E27*F27/25000)+((O27/1000)*J27*R27/2.5))*I27*H27</f>
        <v/>
      </c>
      <c r="U27">
        <f>(E27*F27*(O27/1000)*J27*R27*I27*H27)/12500000</f>
        <v/>
      </c>
      <c r="V27">
        <f>(S27+T27+U27)/3</f>
        <v/>
      </c>
      <c r="W27" s="5" t="n">
        <v>5000</v>
      </c>
      <c r="X27">
        <f>IFERROR(V27-W27,"")</f>
        <v/>
      </c>
      <c r="Y27">
        <f>IFERROR(ABS(X27)/MAX(W27,1),"")</f>
        <v/>
      </c>
      <c r="Z27">
        <f>IFERROR((W27-(((E27/100000+F27/100+R27/200)*200*I27*H27)+((E27*F27/25000)*I27*H27))/3)/(((J27/5)*200*I27*H27)+((J27*R27/2.5)*I27*H27)+((E27*F27*J27*R27*I27*H27)/12500000))/3*1000,"")</f>
        <v/>
      </c>
    </row>
    <row r="28">
      <c r="B28" s="6" t="inlineStr">
        <is>
          <t xml:space="preserve">  ↳ TSCommandoRailgun</t>
        </is>
      </c>
      <c r="C28" s="6" t="inlineStr">
        <is>
          <t>Armament@PRIMARY</t>
        </is>
      </c>
      <c r="K28" s="5" t="n">
        <v>40000</v>
      </c>
      <c r="L28" s="5" t="n">
        <v>52</v>
      </c>
      <c r="M28" s="5" t="n">
        <v>3</v>
      </c>
      <c r="N28" s="5" t="n">
        <v>4</v>
      </c>
      <c r="O28" s="5" t="n">
        <v>7563</v>
      </c>
      <c r="P28" s="5" t="n">
        <v>1</v>
      </c>
      <c r="Q28">
        <f>L28+IF(M28&gt;1,N(N28)*(M28-1),0)</f>
        <v/>
      </c>
      <c r="R28">
        <f>IFERROR(K28*MAX(M28,1)/Q28*P28,0)</f>
        <v/>
      </c>
      <c r="AA28" s="6" t="inlineStr">
        <is>
          <t>^RailgunWeapon</t>
        </is>
      </c>
    </row>
    <row r="29">
      <c r="B29" s="6" t="inlineStr">
        <is>
          <t xml:space="preserve">  ↳ TSCommandoRailgunRail</t>
        </is>
      </c>
      <c r="C29" s="6" t="inlineStr">
        <is>
          <t>Armament@Upgrade</t>
        </is>
      </c>
      <c r="K29" s="5" t="n">
        <v>40000</v>
      </c>
      <c r="L29" s="5" t="n">
        <v>52</v>
      </c>
      <c r="M29" s="5" t="n">
        <v>5</v>
      </c>
      <c r="N29" s="5" t="n">
        <v>4</v>
      </c>
      <c r="O29" s="5" t="n">
        <v>7563</v>
      </c>
      <c r="P29" s="5" t="n">
        <v>1</v>
      </c>
      <c r="Q29">
        <f>L29+IF(M29&gt;1,N(N29)*(M29-1),0)</f>
        <v/>
      </c>
      <c r="R29">
        <f>IFERROR(K29*MAX(M29,1)/Q29*P29,0)</f>
        <v/>
      </c>
      <c r="AA29" s="6" t="inlineStr">
        <is>
          <t>^RailgunWeapon</t>
        </is>
      </c>
    </row>
    <row r="30">
      <c r="B30" s="6" t="inlineStr">
        <is>
          <t xml:space="preserve">  ↳ TSCommandoRailgun</t>
        </is>
      </c>
      <c r="C30" s="6" t="inlineStr">
        <is>
          <t>Armament@GARRISONED</t>
        </is>
      </c>
      <c r="K30" s="5" t="n">
        <v>40000</v>
      </c>
      <c r="L30" s="5" t="n">
        <v>52</v>
      </c>
      <c r="M30" s="5" t="n">
        <v>3</v>
      </c>
      <c r="N30" s="5" t="n">
        <v>4</v>
      </c>
      <c r="O30" s="5" t="n">
        <v>7563</v>
      </c>
      <c r="P30" s="5" t="n">
        <v>1</v>
      </c>
      <c r="Q30">
        <f>L30+IF(M30&gt;1,N(N30)*(M30-1),0)</f>
        <v/>
      </c>
      <c r="R30">
        <f>IFERROR(K30*MAX(M30,1)/Q30*P30,0)</f>
        <v/>
      </c>
      <c r="AA30" s="6" t="inlineStr">
        <is>
          <t>^RailgunWeapon</t>
        </is>
      </c>
    </row>
    <row r="31">
      <c r="B31" s="6" t="inlineStr">
        <is>
          <t xml:space="preserve">  ↳ TSCommandoRailgunRail</t>
        </is>
      </c>
      <c r="C31" s="6" t="inlineStr">
        <is>
          <t>Armament@UpgradeGARRISONED</t>
        </is>
      </c>
      <c r="K31" s="5" t="n">
        <v>40000</v>
      </c>
      <c r="L31" s="5" t="n">
        <v>52</v>
      </c>
      <c r="M31" s="5" t="n">
        <v>5</v>
      </c>
      <c r="N31" s="5" t="n">
        <v>4</v>
      </c>
      <c r="O31" s="5" t="n">
        <v>7563</v>
      </c>
      <c r="P31" s="5" t="n">
        <v>1</v>
      </c>
      <c r="Q31">
        <f>L31+IF(M31&gt;1,N(N31)*(M31-1),0)</f>
        <v/>
      </c>
      <c r="R31">
        <f>IFERROR(K31*MAX(M31,1)/Q31*P31,0)</f>
        <v/>
      </c>
      <c r="AA31" s="6" t="inlineStr">
        <is>
          <t>^RailgunWeapon</t>
        </is>
      </c>
    </row>
    <row r="32">
      <c r="A32" t="inlineStr">
        <is>
          <t>tiberiansun</t>
        </is>
      </c>
      <c r="B32" t="inlineStr">
        <is>
          <t>ts_gdi_riottrooper</t>
        </is>
      </c>
      <c r="C32" t="inlineStr">
        <is>
          <t>Riot Trooper</t>
        </is>
      </c>
      <c r="D32" t="inlineStr"/>
      <c r="E32" s="5" t="n">
        <v>54000</v>
      </c>
      <c r="F32" s="5" t="n">
        <v>60</v>
      </c>
      <c r="G32" t="inlineStr">
        <is>
          <t>Plate</t>
        </is>
      </c>
      <c r="H32" s="5" t="n">
        <v>1</v>
      </c>
      <c r="I32" s="5" t="n">
        <v>1</v>
      </c>
      <c r="J32" s="5" t="n">
        <v>1</v>
      </c>
      <c r="O32">
        <f>MAX(O33)</f>
        <v/>
      </c>
      <c r="R32">
        <f>R33</f>
        <v/>
      </c>
      <c r="S32">
        <f>(E32/100000+F32/100+(O32/1000)*J32/5+R32/200)*200*I32*H32</f>
        <v/>
      </c>
      <c r="T32">
        <f>((E32*F32/25000)+((O32/1000)*J32*R32/2.5))*I32*H32</f>
        <v/>
      </c>
      <c r="U32">
        <f>(E32*F32*(O32/1000)*J32*R32*I32*H32)/12500000</f>
        <v/>
      </c>
      <c r="V32">
        <f>(S32+T32+U32)/3</f>
        <v/>
      </c>
      <c r="W32" s="5" t="n">
        <v>700</v>
      </c>
      <c r="X32">
        <f>IFERROR(V32-W32,"")</f>
        <v/>
      </c>
      <c r="Y32">
        <f>IFERROR(ABS(X32)/MAX(W32,1),"")</f>
        <v/>
      </c>
      <c r="Z32">
        <f>IFERROR((W32-(((E32/100000+F32/100+R32/200)*200*I32*H32)+((E32*F32/25000)*I32*H32))/3)/(((J32/5)*200*I32*H32)+((J32*R32/2.5)*I32*H32)+((E32*F32*J32*R32*I32*H32)/12500000))/3*1000,"")</f>
        <v/>
      </c>
    </row>
    <row r="33">
      <c r="B33" s="6" t="inlineStr">
        <is>
          <t xml:space="preserve">  ↳ TSShotgun</t>
        </is>
      </c>
      <c r="C33" s="6" t="inlineStr">
        <is>
          <t>Armament@PRIMARY</t>
        </is>
      </c>
      <c r="K33" s="5" t="n">
        <v>4000</v>
      </c>
      <c r="L33" s="5" t="n">
        <v>46</v>
      </c>
      <c r="M33" s="5" t="n">
        <v>1</v>
      </c>
      <c r="N33" s="5" t="n"/>
      <c r="O33" s="5" t="n">
        <v>4002</v>
      </c>
      <c r="P33" s="5" t="n">
        <v>1</v>
      </c>
      <c r="Q33">
        <f>L33+IF(M33&gt;1,N(N33)*(M33-1),0)</f>
        <v/>
      </c>
      <c r="R33">
        <f>IFERROR(K33*MAX(M33,1)/Q33*P33,0)</f>
        <v/>
      </c>
      <c r="AA33" s="6" t="inlineStr">
        <is>
          <t>^Grenade, ^ShrapnelWeapon, ^TankDestroyerCannon, ^MediumCannon, ^SmallArms, ^Chaingun</t>
        </is>
      </c>
    </row>
    <row r="34">
      <c r="B34" s="6" t="inlineStr">
        <is>
          <t xml:space="preserve">  ↳ TSShotgun</t>
        </is>
      </c>
      <c r="C34" s="6" t="inlineStr">
        <is>
          <t>Armament@GARRISONED</t>
        </is>
      </c>
      <c r="K34" s="5" t="n">
        <v>4000</v>
      </c>
      <c r="L34" s="5" t="n">
        <v>46</v>
      </c>
      <c r="M34" s="5" t="n">
        <v>1</v>
      </c>
      <c r="N34" s="5" t="n"/>
      <c r="O34" s="5" t="n">
        <v>4002</v>
      </c>
      <c r="P34" s="5" t="n">
        <v>1</v>
      </c>
      <c r="Q34">
        <f>L34+IF(M34&gt;1,N(N34)*(M34-1),0)</f>
        <v/>
      </c>
      <c r="R34">
        <f>IFERROR(K34*MAX(M34,1)/Q34*P34,0)</f>
        <v/>
      </c>
      <c r="AA34" s="6" t="inlineStr">
        <is>
          <t>^Grenade, ^ShrapnelWeapon, ^TankDestroyerCannon, ^MediumCannon, ^SmallArms, ^Chaingun</t>
        </is>
      </c>
    </row>
    <row r="35">
      <c r="A35" t="inlineStr">
        <is>
          <t>tiberiansun</t>
        </is>
      </c>
      <c r="B35" t="inlineStr">
        <is>
          <t>ts_gdi_zonetrooper</t>
        </is>
      </c>
      <c r="C35" t="inlineStr">
        <is>
          <t>Zone Trooper</t>
        </is>
      </c>
      <c r="D35" t="inlineStr"/>
      <c r="E35" s="5" t="n">
        <v>80000</v>
      </c>
      <c r="F35" s="5" t="n">
        <v>60</v>
      </c>
      <c r="G35" t="inlineStr">
        <is>
          <t>Plate</t>
        </is>
      </c>
      <c r="H35" s="5" t="n">
        <v>1</v>
      </c>
      <c r="I35" s="5" t="n">
        <v>1</v>
      </c>
      <c r="J35" s="5" t="n">
        <v>1</v>
      </c>
      <c r="O35">
        <f>MAX(O36,O37)</f>
        <v/>
      </c>
      <c r="R35">
        <f>R36+R37</f>
        <v/>
      </c>
      <c r="S35">
        <f>(E35/100000+F35/100+(O35/1000)*J35/5+R35/200)*200*I35*H35</f>
        <v/>
      </c>
      <c r="T35">
        <f>((E35*F35/25000)+((O35/1000)*J35*R35/2.5))*I35*H35</f>
        <v/>
      </c>
      <c r="U35">
        <f>(E35*F35*(O35/1000)*J35*R35*I35*H35)/12500000</f>
        <v/>
      </c>
      <c r="V35">
        <f>(S35+T35+U35)/3</f>
        <v/>
      </c>
      <c r="W35" s="5" t="n">
        <v>1500</v>
      </c>
      <c r="X35">
        <f>IFERROR(V35-W35,"")</f>
        <v/>
      </c>
      <c r="Y35">
        <f>IFERROR(ABS(X35)/MAX(W35,1),"")</f>
        <v/>
      </c>
      <c r="Z35">
        <f>IFERROR((W35-(((E35/100000+F35/100+R35/200)*200*I35*H35)+((E35*F35/25000)*I35*H35))/3)/(((J35/5)*200*I35*H35)+((J35*R35/2.5)*I35*H35)+((E35*F35*J35*R35*I35*H35)/12500000))/3*1000,"")</f>
        <v/>
      </c>
    </row>
    <row r="36">
      <c r="B36" s="6" t="inlineStr">
        <is>
          <t xml:space="preserve">  ↳ TSZoneRailgun</t>
        </is>
      </c>
      <c r="C36" s="6" t="inlineStr">
        <is>
          <t>Armament@PRIMARY</t>
        </is>
      </c>
      <c r="K36" s="5" t="n">
        <v>40000</v>
      </c>
      <c r="L36" s="5" t="n">
        <v>60</v>
      </c>
      <c r="M36" s="5" t="n">
        <v>1</v>
      </c>
      <c r="N36" s="5" t="n"/>
      <c r="O36" s="5" t="n">
        <v>6230</v>
      </c>
      <c r="P36" s="5" t="n">
        <v>1</v>
      </c>
      <c r="Q36">
        <f>L36+IF(M36&gt;1,N(N36)*(M36-1),0)</f>
        <v/>
      </c>
      <c r="R36">
        <f>IFERROR(K36*MAX(M36,1)/Q36*P36,0)</f>
        <v/>
      </c>
      <c r="AA36" s="6" t="inlineStr">
        <is>
          <t>^RailgunWeapon</t>
        </is>
      </c>
    </row>
    <row r="37">
      <c r="B37" s="6" t="inlineStr">
        <is>
          <t xml:space="preserve">  ↳ TSZoneRailgunRail</t>
        </is>
      </c>
      <c r="C37" s="6" t="inlineStr">
        <is>
          <t>Armament@Upgrade</t>
        </is>
      </c>
      <c r="K37" s="5" t="n">
        <v>60000</v>
      </c>
      <c r="L37" s="5" t="n">
        <v>60</v>
      </c>
      <c r="M37" s="5" t="n">
        <v>1</v>
      </c>
      <c r="N37" s="5" t="n"/>
      <c r="O37" s="5" t="n">
        <v>6230</v>
      </c>
      <c r="P37" s="5" t="n">
        <v>1</v>
      </c>
      <c r="Q37">
        <f>L37+IF(M37&gt;1,N(N37)*(M37-1),0)</f>
        <v/>
      </c>
      <c r="R37">
        <f>IFERROR(K37*MAX(M37,1)/Q37*P37,0)</f>
        <v/>
      </c>
      <c r="AA37" s="6" t="inlineStr">
        <is>
          <t>^RailgunWeapon</t>
        </is>
      </c>
    </row>
    <row r="38">
      <c r="B38" s="6" t="inlineStr">
        <is>
          <t xml:space="preserve">  ↳ TSZoneRailgun</t>
        </is>
      </c>
      <c r="C38" s="6" t="inlineStr">
        <is>
          <t>Armament@GARRISONED</t>
        </is>
      </c>
      <c r="K38" s="5" t="n">
        <v>40000</v>
      </c>
      <c r="L38" s="5" t="n">
        <v>60</v>
      </c>
      <c r="M38" s="5" t="n">
        <v>1</v>
      </c>
      <c r="N38" s="5" t="n"/>
      <c r="O38" s="5" t="n">
        <v>6230</v>
      </c>
      <c r="P38" s="5" t="n">
        <v>1</v>
      </c>
      <c r="Q38">
        <f>L38+IF(M38&gt;1,N(N38)*(M38-1),0)</f>
        <v/>
      </c>
      <c r="R38">
        <f>IFERROR(K38*MAX(M38,1)/Q38*P38,0)</f>
        <v/>
      </c>
      <c r="AA38" s="6" t="inlineStr">
        <is>
          <t>^RailgunWeapon</t>
        </is>
      </c>
    </row>
    <row r="39">
      <c r="B39" s="6" t="inlineStr">
        <is>
          <t xml:space="preserve">  ↳ TSZoneRailgunRail</t>
        </is>
      </c>
      <c r="C39" s="6" t="inlineStr">
        <is>
          <t>Armament@UpgradeGARRISONED</t>
        </is>
      </c>
      <c r="K39" s="5" t="n">
        <v>60000</v>
      </c>
      <c r="L39" s="5" t="n">
        <v>60</v>
      </c>
      <c r="M39" s="5" t="n">
        <v>1</v>
      </c>
      <c r="N39" s="5" t="n"/>
      <c r="O39" s="5" t="n">
        <v>6230</v>
      </c>
      <c r="P39" s="5" t="n">
        <v>1</v>
      </c>
      <c r="Q39">
        <f>L39+IF(M39&gt;1,N(N39)*(M39-1),0)</f>
        <v/>
      </c>
      <c r="R39">
        <f>IFERROR(K39*MAX(M39,1)/Q39*P39,0)</f>
        <v/>
      </c>
      <c r="AA39" s="6" t="inlineStr">
        <is>
          <t>^RailgunWeapon</t>
        </is>
      </c>
    </row>
    <row r="40">
      <c r="A40" s="3" t="inlineStr">
        <is>
          <t>VEHICLES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>
      <c r="A41" t="inlineStr">
        <is>
          <t>tiberiansun</t>
        </is>
      </c>
      <c r="B41" t="inlineStr">
        <is>
          <t>ts_gdi_amphibiousapc</t>
        </is>
      </c>
      <c r="C41" t="inlineStr">
        <is>
          <t>Amphibious APC</t>
        </is>
      </c>
      <c r="D41" t="inlineStr"/>
      <c r="E41" s="5" t="n">
        <v>80000</v>
      </c>
      <c r="F41" s="5" t="n">
        <v>100</v>
      </c>
      <c r="G41" t="inlineStr">
        <is>
          <t>Heavy</t>
        </is>
      </c>
      <c r="H41" s="5" t="n">
        <v>1</v>
      </c>
      <c r="I41" s="5" t="n">
        <v>1</v>
      </c>
      <c r="J41" s="5" t="n">
        <v>1</v>
      </c>
      <c r="O41">
        <f>MAX(O42)</f>
        <v/>
      </c>
      <c r="R41">
        <f>R42</f>
        <v/>
      </c>
      <c r="S41">
        <f>(E41/100000+F41/100+(O41/1000)*J41/5+R41/200)*200*I41*H41</f>
        <v/>
      </c>
      <c r="T41">
        <f>((E41*F41/25000)+((O41/1000)*J41*R41/2.5))*I41*H41</f>
        <v/>
      </c>
      <c r="U41">
        <f>(E41*F41*(O41/1000)*J41*R41*I41*H41)/12500000</f>
        <v/>
      </c>
      <c r="V41">
        <f>(S41+T41+U41)/3</f>
        <v/>
      </c>
      <c r="W41" s="5" t="n">
        <v>1640</v>
      </c>
      <c r="X41">
        <f>IFERROR(V41-W41,"")</f>
        <v/>
      </c>
      <c r="Y41">
        <f>IFERROR(ABS(X41)/MAX(W41,1),"")</f>
        <v/>
      </c>
      <c r="Z41">
        <f>IFERROR((W41-(((E41/100000+F41/100+R41/200)*200*I41*H41)+((E41*F41/25000)*I41*H41))/3)/(((J41/5)*200*I41*H41)+((J41*R41/2.5)*I41*H41)+((E41*F41*J41*R41*I41*H41)/12500000))/3*1000,"")</f>
        <v/>
      </c>
    </row>
    <row r="42">
      <c r="B42" s="6" t="inlineStr">
        <is>
          <t xml:space="preserve">  ↳ TSAAPCCannon</t>
        </is>
      </c>
      <c r="C42" s="6" t="inlineStr">
        <is>
          <t>Armament</t>
        </is>
      </c>
      <c r="K42" s="5" t="n">
        <v>2000</v>
      </c>
      <c r="L42" s="5" t="n">
        <v>10</v>
      </c>
      <c r="M42" s="5" t="n">
        <v>1</v>
      </c>
      <c r="N42" s="5" t="n"/>
      <c r="O42" s="5" t="n">
        <v>6263</v>
      </c>
      <c r="P42" s="5" t="n">
        <v>1</v>
      </c>
      <c r="Q42">
        <f>L42+IF(M42&gt;1,N(N42)*(M42-1),0)</f>
        <v/>
      </c>
      <c r="R42">
        <f>IFERROR(K42*MAX(M42,1)/Q42*P42,0)</f>
        <v/>
      </c>
      <c r="AA42" s="6" t="inlineStr">
        <is>
          <t>^Chaingun, ^FlakWeapon</t>
        </is>
      </c>
    </row>
    <row r="43">
      <c r="A43" t="inlineStr">
        <is>
          <t>tiberiansun</t>
        </is>
      </c>
      <c r="B43" t="inlineStr">
        <is>
          <t>ts_gdi_disruptor</t>
        </is>
      </c>
      <c r="C43" t="inlineStr">
        <is>
          <t>Disruptor</t>
        </is>
      </c>
      <c r="D43" t="inlineStr"/>
      <c r="E43" s="5" t="n">
        <v>250000</v>
      </c>
      <c r="F43" s="5" t="n">
        <v>50</v>
      </c>
      <c r="G43" t="inlineStr">
        <is>
          <t>Heavy</t>
        </is>
      </c>
      <c r="H43" s="5" t="n">
        <v>1</v>
      </c>
      <c r="I43" s="5" t="n">
        <v>1</v>
      </c>
      <c r="J43" s="5" t="n">
        <v>1</v>
      </c>
      <c r="O43">
        <f>MAX(O44,O45)</f>
        <v/>
      </c>
      <c r="R43">
        <f>R44+R45</f>
        <v/>
      </c>
      <c r="S43">
        <f>(E43/100000+F43/100+(O43/1000)*J43/5+R43/200)*200*I43*H43</f>
        <v/>
      </c>
      <c r="T43">
        <f>((E43*F43/25000)+((O43/1000)*J43*R43/2.5))*I43*H43</f>
        <v/>
      </c>
      <c r="U43">
        <f>(E43*F43*(O43/1000)*J43*R43*I43*H43)/12500000</f>
        <v/>
      </c>
      <c r="V43">
        <f>(S43+T43+U43)/3</f>
        <v/>
      </c>
      <c r="W43" s="5" t="n">
        <v>2400</v>
      </c>
      <c r="X43">
        <f>IFERROR(V43-W43,"")</f>
        <v/>
      </c>
      <c r="Y43">
        <f>IFERROR(ABS(X43)/MAX(W43,1),"")</f>
        <v/>
      </c>
      <c r="Z43">
        <f>IFERROR((W43-(((E43/100000+F43/100+R43/200)*200*I43*H43)+((E43*F43/25000)*I43*H43))/3)/(((J43/5)*200*I43*H43)+((J43*R43/2.5)*I43*H43)+((E43*F43*J43*R43*I43*H43)/12500000))/3*1000,"")</f>
        <v/>
      </c>
    </row>
    <row r="44">
      <c r="B44" s="6" t="inlineStr">
        <is>
          <t xml:space="preserve">  ↳ TSSonicZapWeapon</t>
        </is>
      </c>
      <c r="C44" s="6" t="inlineStr">
        <is>
          <t>Armament@PRIMARY</t>
        </is>
      </c>
      <c r="K44" s="5" t="n">
        <v>2000</v>
      </c>
      <c r="L44" s="5" t="n">
        <v>60</v>
      </c>
      <c r="M44" s="5" t="n">
        <v>1</v>
      </c>
      <c r="N44" s="5" t="n"/>
      <c r="O44" s="5" t="n">
        <v>4050</v>
      </c>
      <c r="P44" s="5" t="n">
        <v>1</v>
      </c>
      <c r="Q44">
        <f>L44+IF(M44&gt;1,N(N44)*(M44-1),0)</f>
        <v/>
      </c>
      <c r="R44">
        <f>IFERROR(K44*MAX(M44,1)/Q44*P44,0)</f>
        <v/>
      </c>
      <c r="AA44" s="6" t="inlineStr">
        <is>
          <t>^TeslaWeapon, ^MagicWeapon</t>
        </is>
      </c>
    </row>
    <row r="45">
      <c r="B45" s="6" t="inlineStr">
        <is>
          <t xml:space="preserve">  ↳ TSSonicZapWeaponSonic</t>
        </is>
      </c>
      <c r="C45" s="6" t="inlineStr">
        <is>
          <t>Armament@Upgrade</t>
        </is>
      </c>
      <c r="K45" s="5" t="n">
        <v>4000</v>
      </c>
      <c r="L45" s="5" t="n">
        <v>60</v>
      </c>
      <c r="M45" s="5" t="n">
        <v>1</v>
      </c>
      <c r="N45" s="5" t="n"/>
      <c r="O45" s="5" t="n">
        <v>4050</v>
      </c>
      <c r="P45" s="5" t="n">
        <v>1</v>
      </c>
      <c r="Q45">
        <f>L45+IF(M45&gt;1,N(N45)*(M45-1),0)</f>
        <v/>
      </c>
      <c r="R45">
        <f>IFERROR(K45*MAX(M45,1)/Q45*P45,0)</f>
        <v/>
      </c>
      <c r="AA45" s="6" t="inlineStr">
        <is>
          <t>^TeslaWeapon, ^MagicWeapon</t>
        </is>
      </c>
    </row>
    <row r="46">
      <c r="A46" t="inlineStr">
        <is>
          <t>tiberiansun</t>
        </is>
      </c>
      <c r="B46" t="inlineStr">
        <is>
          <t>ts_gdi_hovermlrs</t>
        </is>
      </c>
      <c r="C46" t="inlineStr">
        <is>
          <t>Hover MLRS</t>
        </is>
      </c>
      <c r="D46" t="inlineStr"/>
      <c r="E46" s="5" t="n">
        <v>30000</v>
      </c>
      <c r="F46" s="5" t="n">
        <v>80</v>
      </c>
      <c r="G46" t="inlineStr">
        <is>
          <t>Medium</t>
        </is>
      </c>
      <c r="H46" s="5" t="n">
        <v>1</v>
      </c>
      <c r="I46" s="5" t="n">
        <v>1</v>
      </c>
      <c r="J46" s="5" t="n">
        <v>1</v>
      </c>
      <c r="O46">
        <f>MAX(O47)</f>
        <v/>
      </c>
      <c r="R46">
        <f>R47</f>
        <v/>
      </c>
      <c r="S46">
        <f>(E46/100000+F46/100+(O46/1000)*J46/5+R46/200)*200*I46*H46</f>
        <v/>
      </c>
      <c r="T46">
        <f>((E46*F46/25000)+((O46/1000)*J46*R46/2.5))*I46*H46</f>
        <v/>
      </c>
      <c r="U46">
        <f>(E46*F46*(O46/1000)*J46*R46*I46*H46)/12500000</f>
        <v/>
      </c>
      <c r="V46">
        <f>(S46+T46+U46)/3</f>
        <v/>
      </c>
      <c r="W46" s="5" t="n">
        <v>900</v>
      </c>
      <c r="X46">
        <f>IFERROR(V46-W46,"")</f>
        <v/>
      </c>
      <c r="Y46">
        <f>IFERROR(ABS(X46)/MAX(W46,1),"")</f>
        <v/>
      </c>
      <c r="Z46">
        <f>IFERROR((W46-(((E46/100000+F46/100+R46/200)*200*I46*H46)+((E46*F46/25000)*I46*H46))/3)/(((J46/5)*200*I46*H46)+((J46*R46/2.5)*I46*H46)+((E46*F46*J46*R46*I46*H46)/12500000))/3*1000,"")</f>
        <v/>
      </c>
    </row>
    <row r="47">
      <c r="B47" s="6" t="inlineStr">
        <is>
          <t xml:space="preserve">  ↳ TSHoverMissile</t>
        </is>
      </c>
      <c r="C47" s="6" t="inlineStr">
        <is>
          <t>Armament</t>
        </is>
      </c>
      <c r="K47" s="5" t="n">
        <v>4000</v>
      </c>
      <c r="L47" s="5" t="n">
        <v>60</v>
      </c>
      <c r="M47" s="5" t="n">
        <v>2</v>
      </c>
      <c r="N47" s="5" t="n">
        <v>8</v>
      </c>
      <c r="O47" s="5" t="n">
        <v>8159</v>
      </c>
      <c r="P47" s="5" t="n">
        <v>1</v>
      </c>
      <c r="Q47">
        <f>L47+IF(M47&gt;1,N(N47)*(M47-1),0)</f>
        <v/>
      </c>
      <c r="R47">
        <f>IFERROR(K47*MAX(M47,1)/Q47*P47,0)</f>
        <v/>
      </c>
      <c r="AA47" s="6" t="inlineStr">
        <is>
          <t>^FlakWeapon, ^MediumMissile, ^ShrapnelWeapon</t>
        </is>
      </c>
    </row>
    <row r="48">
      <c r="A48" t="inlineStr">
        <is>
          <t>tiberiansun</t>
        </is>
      </c>
      <c r="B48" t="inlineStr">
        <is>
          <t>ts_gdi_juggernaut</t>
        </is>
      </c>
      <c r="C48" t="inlineStr">
        <is>
          <t>Juggernaut</t>
        </is>
      </c>
      <c r="D48" t="inlineStr"/>
      <c r="E48" s="5" t="n">
        <v>35000</v>
      </c>
      <c r="F48" s="5" t="n">
        <v>71</v>
      </c>
      <c r="G48" t="inlineStr">
        <is>
          <t>Light</t>
        </is>
      </c>
      <c r="H48" s="5" t="n">
        <v>1</v>
      </c>
      <c r="I48" s="5" t="n">
        <v>1</v>
      </c>
      <c r="J48" s="5" t="n">
        <v>1</v>
      </c>
      <c r="O48">
        <f>MAX(O49,O50)</f>
        <v/>
      </c>
      <c r="R48">
        <f>R49+R50</f>
        <v/>
      </c>
      <c r="S48">
        <f>(E48/100000+F48/100+(O48/1000)*J48/5+R48/200)*200*I48*H48</f>
        <v/>
      </c>
      <c r="T48">
        <f>((E48*F48/25000)+((O48/1000)*J48*R48/2.5))*I48*H48</f>
        <v/>
      </c>
      <c r="U48">
        <f>(E48*F48*(O48/1000)*J48*R48*I48*H48)/12500000</f>
        <v/>
      </c>
      <c r="V48">
        <f>(S48+T48+U48)/3</f>
        <v/>
      </c>
      <c r="W48" s="5" t="n">
        <v>1400</v>
      </c>
      <c r="X48">
        <f>IFERROR(V48-W48,"")</f>
        <v/>
      </c>
      <c r="Y48">
        <f>IFERROR(ABS(X48)/MAX(W48,1),"")</f>
        <v/>
      </c>
      <c r="Z48">
        <f>IFERROR((W48-(((E48/100000+F48/100+R48/200)*200*I48*H48)+((E48*F48/25000)*I48*H48))/3)/(((J48/5)*200*I48*H48)+((J48*R48/2.5)*I48*H48)+((E48*F48*J48*R48*I48*H48)/12500000))/3*1000,"")</f>
        <v/>
      </c>
    </row>
    <row r="49">
      <c r="B49" s="6" t="inlineStr">
        <is>
          <t xml:space="preserve">  ↳ TSJuggTargeting</t>
        </is>
      </c>
      <c r="C49" s="6" t="inlineStr">
        <is>
          <t>Armament@Dummy</t>
        </is>
      </c>
      <c r="K49" s="5" t="n"/>
      <c r="L49" s="5" t="n">
        <v>33</v>
      </c>
      <c r="M49" s="5" t="n">
        <v>1</v>
      </c>
      <c r="N49" s="5" t="n"/>
      <c r="O49" s="5" t="n">
        <v>12834</v>
      </c>
      <c r="P49" s="5" t="n">
        <v>1</v>
      </c>
      <c r="Q49">
        <f>L49+IF(M49&gt;1,N(N49)*(M49-1),0)</f>
        <v/>
      </c>
      <c r="R49">
        <f>IFERROR(K49*MAX(M49,1)/Q49*P49,0)</f>
        <v/>
      </c>
      <c r="AA49" s="6" t="inlineStr"/>
    </row>
    <row r="50">
      <c r="B50" s="6" t="inlineStr">
        <is>
          <t xml:space="preserve">  ↳ TSJugg90mm</t>
        </is>
      </c>
      <c r="C50" s="6" t="inlineStr">
        <is>
          <t>Armament@Deployed</t>
        </is>
      </c>
      <c r="K50" s="5" t="n">
        <v>30000</v>
      </c>
      <c r="L50" s="5" t="n">
        <v>69</v>
      </c>
      <c r="M50" s="5" t="n">
        <v>3</v>
      </c>
      <c r="N50" s="5" t="n">
        <v>3</v>
      </c>
      <c r="O50" s="5" t="n">
        <v>12834</v>
      </c>
      <c r="P50" s="5" t="n">
        <v>1</v>
      </c>
      <c r="Q50">
        <f>L50+IF(M50&gt;1,N(N50)*(M50-1),0)</f>
        <v/>
      </c>
      <c r="R50">
        <f>IFERROR(K50*MAX(M50,1)/Q50*P50,0)</f>
        <v/>
      </c>
      <c r="AA50" s="6" t="inlineStr">
        <is>
          <t>^ShrapnelWeapon</t>
        </is>
      </c>
    </row>
    <row r="51">
      <c r="A51" t="inlineStr">
        <is>
          <t>tiberiansun</t>
        </is>
      </c>
      <c r="B51" t="inlineStr">
        <is>
          <t>ts_gdi_juggernautmkii</t>
        </is>
      </c>
      <c r="C51" t="inlineStr">
        <is>
          <t>Juggernaut MK II</t>
        </is>
      </c>
      <c r="D51" t="inlineStr"/>
      <c r="E51" s="5" t="n">
        <v>50000</v>
      </c>
      <c r="F51" s="5" t="n">
        <v>70</v>
      </c>
      <c r="G51" t="inlineStr">
        <is>
          <t>Medium</t>
        </is>
      </c>
      <c r="H51" s="5" t="n">
        <v>1</v>
      </c>
      <c r="I51" s="5" t="n">
        <v>1</v>
      </c>
      <c r="J51" s="5" t="n">
        <v>1</v>
      </c>
      <c r="O51">
        <f>MAX(O52)</f>
        <v/>
      </c>
      <c r="R51">
        <f>R52</f>
        <v/>
      </c>
      <c r="S51">
        <f>(E51/100000+F51/100+(O51/1000)*J51/5+R51/200)*200*I51*H51</f>
        <v/>
      </c>
      <c r="T51">
        <f>((E51*F51/25000)+((O51/1000)*J51*R51/2.5))*I51*H51</f>
        <v/>
      </c>
      <c r="U51">
        <f>(E51*F51*(O51/1000)*J51*R51*I51*H51)/12500000</f>
        <v/>
      </c>
      <c r="V51">
        <f>(S51+T51+U51)/3</f>
        <v/>
      </c>
      <c r="W51" s="5" t="n">
        <v>2200</v>
      </c>
      <c r="X51">
        <f>IFERROR(V51-W51,"")</f>
        <v/>
      </c>
      <c r="Y51">
        <f>IFERROR(ABS(X51)/MAX(W51,1),"")</f>
        <v/>
      </c>
      <c r="Z51">
        <f>IFERROR((W51-(((E51/100000+F51/100+R51/200)*200*I51*H51)+((E51*F51/25000)*I51*H51))/3)/(((J51/5)*200*I51*H51)+((J51*R51/2.5)*I51*H51)+((E51*F51*J51*R51*I51*H51)/12500000))/3*1000,"")</f>
        <v/>
      </c>
    </row>
    <row r="52">
      <c r="B52" s="6" t="inlineStr">
        <is>
          <t xml:space="preserve">  ↳ TSJugg120mm</t>
        </is>
      </c>
      <c r="C52" s="6" t="inlineStr">
        <is>
          <t>Armament@PRIMARY</t>
        </is>
      </c>
      <c r="K52" s="5" t="n">
        <v>40000</v>
      </c>
      <c r="L52" s="5" t="n">
        <v>64</v>
      </c>
      <c r="M52" s="5" t="n">
        <v>3</v>
      </c>
      <c r="N52" s="5" t="n">
        <v>3</v>
      </c>
      <c r="O52" s="5" t="n">
        <v>12860</v>
      </c>
      <c r="P52" s="5" t="n">
        <v>1</v>
      </c>
      <c r="Q52">
        <f>L52+IF(M52&gt;1,N(N52)*(M52-1),0)</f>
        <v/>
      </c>
      <c r="R52">
        <f>IFERROR(K52*MAX(M52,1)/Q52*P52,0)</f>
        <v/>
      </c>
      <c r="AA52" s="6" t="inlineStr">
        <is>
          <t>^ShrapnelWeapon</t>
        </is>
      </c>
    </row>
    <row r="53">
      <c r="A53" t="inlineStr">
        <is>
          <t>tiberiansun</t>
        </is>
      </c>
      <c r="B53" t="inlineStr">
        <is>
          <t>ts_gdi_mammothmkii</t>
        </is>
      </c>
      <c r="C53" t="inlineStr">
        <is>
          <t>Mammoth MK. II</t>
        </is>
      </c>
      <c r="D53" t="inlineStr"/>
      <c r="E53" s="5" t="n">
        <v>1200000</v>
      </c>
      <c r="F53" s="5" t="n">
        <v>50</v>
      </c>
      <c r="G53" t="inlineStr">
        <is>
          <t>Superheavy</t>
        </is>
      </c>
      <c r="H53" s="5" t="n">
        <v>1</v>
      </c>
      <c r="I53" s="5" t="n">
        <v>1</v>
      </c>
      <c r="J53" s="5" t="n">
        <v>1</v>
      </c>
      <c r="O53">
        <f>MAX(O54,O55,O56,O57)</f>
        <v/>
      </c>
      <c r="R53">
        <f>R54+R55+R56+R57</f>
        <v/>
      </c>
      <c r="S53">
        <f>(E53/100000+F53/100+(O53/1000)*J53/5+R53/200)*200*I53*H53</f>
        <v/>
      </c>
      <c r="T53">
        <f>((E53*F53/25000)+((O53/1000)*J53*R53/2.5))*I53*H53</f>
        <v/>
      </c>
      <c r="U53">
        <f>(E53*F53*(O53/1000)*J53*R53*I53*H53)/12500000</f>
        <v/>
      </c>
      <c r="V53">
        <f>(S53+T53+U53)/3</f>
        <v/>
      </c>
      <c r="W53" s="5" t="n">
        <v>8000</v>
      </c>
      <c r="X53">
        <f>IFERROR(V53-W53,"")</f>
        <v/>
      </c>
      <c r="Y53">
        <f>IFERROR(ABS(X53)/MAX(W53,1),"")</f>
        <v/>
      </c>
      <c r="Z53">
        <f>IFERROR((W53-(((E53/100000+F53/100+R53/200)*200*I53*H53)+((E53*F53/25000)*I53*H53))/3)/(((J53/5)*200*I53*H53)+((J53*R53/2.5)*I53*H53)+((E53*F53*J53*R53*I53*H53)/12500000))/3*1000,"")</f>
        <v/>
      </c>
    </row>
    <row r="54">
      <c r="B54" s="6" t="inlineStr">
        <is>
          <t xml:space="preserve">  ↳ TSMechRailgunII</t>
        </is>
      </c>
      <c r="C54" s="6" t="inlineStr">
        <is>
          <t>Armament@RAILGUN</t>
        </is>
      </c>
      <c r="K54" s="5" t="n">
        <v>80000</v>
      </c>
      <c r="L54" s="5" t="n">
        <v>112</v>
      </c>
      <c r="M54" s="5" t="n">
        <v>2</v>
      </c>
      <c r="N54" s="5" t="n">
        <v>8</v>
      </c>
      <c r="O54" s="5" t="n">
        <v>8434</v>
      </c>
      <c r="P54" s="5" t="n">
        <v>1</v>
      </c>
      <c r="Q54">
        <f>L54+IF(M54&gt;1,N(N54)*(M54-1),0)</f>
        <v/>
      </c>
      <c r="R54">
        <f>IFERROR(K54*MAX(M54,1)/Q54*P54,0)</f>
        <v/>
      </c>
      <c r="AA54" s="6" t="inlineStr">
        <is>
          <t>^RailgunWeapon</t>
        </is>
      </c>
    </row>
    <row r="55">
      <c r="B55" s="6" t="inlineStr">
        <is>
          <t xml:space="preserve">  ↳ TSMammothTusk2II</t>
        </is>
      </c>
      <c r="C55" s="6" t="inlineStr">
        <is>
          <t>Armament@MISSILES</t>
        </is>
      </c>
      <c r="K55" s="5" t="n">
        <v>60000</v>
      </c>
      <c r="L55" s="5" t="n">
        <v>92</v>
      </c>
      <c r="M55" s="5" t="n">
        <v>2</v>
      </c>
      <c r="N55" s="5" t="n">
        <v>8</v>
      </c>
      <c r="O55" s="5" t="n">
        <v>9388</v>
      </c>
      <c r="P55" s="5" t="n">
        <v>1</v>
      </c>
      <c r="Q55">
        <f>L55+IF(M55&gt;1,N(N55)*(M55-1),0)</f>
        <v/>
      </c>
      <c r="R55">
        <f>IFERROR(K55*MAX(M55,1)/Q55*P55,0)</f>
        <v/>
      </c>
      <c r="AA55" s="6" t="inlineStr">
        <is>
          <t>^ImpactGlow, ^HeavyMissile</t>
        </is>
      </c>
    </row>
    <row r="56">
      <c r="B56" s="6" t="inlineStr">
        <is>
          <t xml:space="preserve">  ↳ TSMechRailgunRailII</t>
        </is>
      </c>
      <c r="C56" s="6" t="inlineStr">
        <is>
          <t>Armament@UpgradeRAILGUN</t>
        </is>
      </c>
      <c r="K56" s="5" t="n">
        <v>80000</v>
      </c>
      <c r="L56" s="5" t="n">
        <v>72</v>
      </c>
      <c r="M56" s="5" t="n">
        <v>2</v>
      </c>
      <c r="N56" s="5" t="n">
        <v>8</v>
      </c>
      <c r="O56" s="5" t="n">
        <v>8434</v>
      </c>
      <c r="P56" s="5" t="n">
        <v>1</v>
      </c>
      <c r="Q56">
        <f>L56+IF(M56&gt;1,N(N56)*(M56-1),0)</f>
        <v/>
      </c>
      <c r="R56">
        <f>IFERROR(K56*MAX(M56,1)/Q56*P56,0)</f>
        <v/>
      </c>
      <c r="AA56" s="6" t="inlineStr">
        <is>
          <t>^RailgunWeapon</t>
        </is>
      </c>
    </row>
    <row r="57">
      <c r="B57" s="6" t="inlineStr">
        <is>
          <t xml:space="preserve">  ↳ TSMechMGII</t>
        </is>
      </c>
      <c r="C57" s="6" t="inlineStr">
        <is>
          <t>Armament@MG</t>
        </is>
      </c>
      <c r="K57" s="5" t="n">
        <v>16000</v>
      </c>
      <c r="L57" s="5" t="n">
        <v>8</v>
      </c>
      <c r="M57" s="5" t="n">
        <v>1</v>
      </c>
      <c r="N57" s="5" t="n"/>
      <c r="O57" s="5" t="n">
        <v>7002</v>
      </c>
      <c r="P57" s="5" t="n">
        <v>1</v>
      </c>
      <c r="Q57">
        <f>L57+IF(M57&gt;1,N(N57)*(M57-1),0)</f>
        <v/>
      </c>
      <c r="R57">
        <f>IFERROR(K57*MAX(M57,1)/Q57*P57,0)</f>
        <v/>
      </c>
      <c r="AA57" s="6" t="inlineStr">
        <is>
          <t>^Chaingun</t>
        </is>
      </c>
    </row>
    <row r="58">
      <c r="A58" t="inlineStr">
        <is>
          <t>tiberiansun</t>
        </is>
      </c>
      <c r="B58" t="inlineStr">
        <is>
          <t>ts_gdi_mammothprototype</t>
        </is>
      </c>
      <c r="C58" t="inlineStr">
        <is>
          <t>Mammoth Prototype</t>
        </is>
      </c>
      <c r="D58" t="inlineStr"/>
      <c r="E58" s="5" t="n">
        <v>800000</v>
      </c>
      <c r="F58" s="5" t="n">
        <v>50</v>
      </c>
      <c r="G58" t="inlineStr">
        <is>
          <t>Superheavy</t>
        </is>
      </c>
      <c r="H58" s="5" t="n">
        <v>1</v>
      </c>
      <c r="I58" s="5" t="n">
        <v>1</v>
      </c>
      <c r="J58" s="5" t="n">
        <v>1</v>
      </c>
      <c r="O58">
        <f>MAX(O59,O60,O61)</f>
        <v/>
      </c>
      <c r="R58">
        <f>R59+R60+R61</f>
        <v/>
      </c>
      <c r="S58">
        <f>(E58/100000+F58/100+(O58/1000)*J58/5+R58/200)*200*I58*H58</f>
        <v/>
      </c>
      <c r="T58">
        <f>((E58*F58/25000)+((O58/1000)*J58*R58/2.5))*I58*H58</f>
        <v/>
      </c>
      <c r="U58">
        <f>(E58*F58*(O58/1000)*J58*R58*I58*H58)/12500000</f>
        <v/>
      </c>
      <c r="V58">
        <f>(S58+T58+U58)/3</f>
        <v/>
      </c>
      <c r="W58" s="5" t="n">
        <v>4000</v>
      </c>
      <c r="X58">
        <f>IFERROR(V58-W58,"")</f>
        <v/>
      </c>
      <c r="Y58">
        <f>IFERROR(ABS(X58)/MAX(W58,1),"")</f>
        <v/>
      </c>
      <c r="Z58">
        <f>IFERROR((W58-(((E58/100000+F58/100+R58/200)*200*I58*H58)+((E58*F58/25000)*I58*H58))/3)/(((J58/5)*200*I58*H58)+((J58*R58/2.5)*I58*H58)+((E58*F58*J58*R58*I58*H58)/12500000))/3*1000,"")</f>
        <v/>
      </c>
    </row>
    <row r="59">
      <c r="B59" s="6" t="inlineStr">
        <is>
          <t xml:space="preserve">  ↳ TSMechRailgun</t>
        </is>
      </c>
      <c r="C59" s="6" t="inlineStr">
        <is>
          <t>Armament@RAILGUN</t>
        </is>
      </c>
      <c r="K59" s="5" t="n">
        <v>40000</v>
      </c>
      <c r="L59" s="5" t="n">
        <v>92</v>
      </c>
      <c r="M59" s="5" t="n">
        <v>2</v>
      </c>
      <c r="N59" s="5" t="n">
        <v>8</v>
      </c>
      <c r="O59" s="5" t="n">
        <v>8409</v>
      </c>
      <c r="P59" s="5" t="n">
        <v>1</v>
      </c>
      <c r="Q59">
        <f>L59+IF(M59&gt;1,N(N59)*(M59-1),0)</f>
        <v/>
      </c>
      <c r="R59">
        <f>IFERROR(K59*MAX(M59,1)/Q59*P59,0)</f>
        <v/>
      </c>
      <c r="AA59" s="6" t="inlineStr">
        <is>
          <t>^RailgunWeapon</t>
        </is>
      </c>
    </row>
    <row r="60">
      <c r="B60" s="6" t="inlineStr">
        <is>
          <t xml:space="preserve">  ↳ TSMammothTusk2</t>
        </is>
      </c>
      <c r="C60" s="6" t="inlineStr">
        <is>
          <t>Armament@MISSILES</t>
        </is>
      </c>
      <c r="K60" s="5" t="n">
        <v>42000</v>
      </c>
      <c r="L60" s="5" t="n">
        <v>92</v>
      </c>
      <c r="M60" s="5" t="n">
        <v>2</v>
      </c>
      <c r="N60" s="5" t="n">
        <v>8</v>
      </c>
      <c r="O60" s="5" t="n">
        <v>9332</v>
      </c>
      <c r="P60" s="5" t="n">
        <v>1</v>
      </c>
      <c r="Q60">
        <f>L60+IF(M60&gt;1,N(N60)*(M60-1),0)</f>
        <v/>
      </c>
      <c r="R60">
        <f>IFERROR(K60*MAX(M60,1)/Q60*P60,0)</f>
        <v/>
      </c>
      <c r="AA60" s="6" t="inlineStr">
        <is>
          <t>^ImpactGlow, ^HeavyMissile</t>
        </is>
      </c>
    </row>
    <row r="61">
      <c r="B61" s="6" t="inlineStr">
        <is>
          <t xml:space="preserve">  ↳ TSMechRailgunRail</t>
        </is>
      </c>
      <c r="C61" s="6" t="inlineStr">
        <is>
          <t>Armament@UpgradeRAILGUN</t>
        </is>
      </c>
      <c r="K61" s="5" t="n">
        <v>40000</v>
      </c>
      <c r="L61" s="5" t="n">
        <v>58</v>
      </c>
      <c r="M61" s="5" t="n">
        <v>2</v>
      </c>
      <c r="N61" s="5" t="n">
        <v>8</v>
      </c>
      <c r="O61" s="5" t="n">
        <v>8409</v>
      </c>
      <c r="P61" s="5" t="n">
        <v>1</v>
      </c>
      <c r="Q61">
        <f>L61+IF(M61&gt;1,N(N61)*(M61-1),0)</f>
        <v/>
      </c>
      <c r="R61">
        <f>IFERROR(K61*MAX(M61,1)/Q61*P61,0)</f>
        <v/>
      </c>
      <c r="AA61" s="6" t="inlineStr">
        <is>
          <t>^RailgunWeapon</t>
        </is>
      </c>
    </row>
    <row r="62">
      <c r="A62" t="inlineStr">
        <is>
          <t>tiberiansun</t>
        </is>
      </c>
      <c r="B62" t="inlineStr">
        <is>
          <t>ts_gdi_mobileconstructionvehicle</t>
        </is>
      </c>
      <c r="C62" t="inlineStr">
        <is>
          <t>Mobile Construction Vehicle</t>
        </is>
      </c>
      <c r="D62" t="inlineStr"/>
      <c r="E62" s="5" t="n">
        <v>300000</v>
      </c>
      <c r="F62" s="5" t="n">
        <v>75</v>
      </c>
      <c r="G62" t="inlineStr">
        <is>
          <t>Medium</t>
        </is>
      </c>
      <c r="H62" s="5" t="n">
        <v>1</v>
      </c>
      <c r="I62" s="5" t="n">
        <v>1</v>
      </c>
      <c r="J62" s="5" t="n">
        <v>1</v>
      </c>
      <c r="W62" s="5" t="n">
        <v>5000</v>
      </c>
    </row>
    <row r="63">
      <c r="A63" t="inlineStr">
        <is>
          <t>tiberiansun</t>
        </is>
      </c>
      <c r="B63" t="inlineStr">
        <is>
          <t>ts_gdi_mobileemp</t>
        </is>
      </c>
      <c r="C63" t="inlineStr">
        <is>
          <t>Mobile EMP</t>
        </is>
      </c>
      <c r="D63" t="inlineStr"/>
      <c r="E63" s="5" t="n">
        <v>150000</v>
      </c>
      <c r="F63" s="5" t="n">
        <v>100</v>
      </c>
      <c r="G63" t="inlineStr">
        <is>
          <t>Heavy</t>
        </is>
      </c>
      <c r="H63" s="5" t="n">
        <v>1</v>
      </c>
      <c r="I63" s="5" t="n">
        <v>1</v>
      </c>
      <c r="J63" s="5" t="n">
        <v>1</v>
      </c>
      <c r="O63">
        <f>MAX(O64)</f>
        <v/>
      </c>
      <c r="R63">
        <f>R64</f>
        <v/>
      </c>
      <c r="S63">
        <f>(E63/100000+F63/100+(O63/1000)*J63/5+R63/200)*200*I63*H63</f>
        <v/>
      </c>
      <c r="T63">
        <f>((E63*F63/25000)+((O63/1000)*J63*R63/2.5))*I63*H63</f>
        <v/>
      </c>
      <c r="U63">
        <f>(E63*F63*(O63/1000)*J63*R63*I63*H63)/12500000</f>
        <v/>
      </c>
      <c r="V63">
        <f>(S63+T63+U63)/3</f>
        <v/>
      </c>
      <c r="W63" s="5" t="n">
        <v>1400</v>
      </c>
      <c r="X63">
        <f>IFERROR(V63-W63,"")</f>
        <v/>
      </c>
      <c r="Y63">
        <f>IFERROR(ABS(X63)/MAX(W63,1),"")</f>
        <v/>
      </c>
      <c r="Z63">
        <f>IFERROR((W63-(((E63/100000+F63/100+R63/200)*200*I63*H63)+((E63*F63/25000)*I63*H63))/3)/(((J63/5)*200*I63*H63)+((J63*R63/2.5)*I63*H63)+((E63*F63*J63*R63*I63*H63)/12500000))/3*1000,"")</f>
        <v/>
      </c>
    </row>
    <row r="64">
      <c r="B64" s="6" t="inlineStr">
        <is>
          <t xml:space="preserve">  ↳ TSMobileEMP</t>
        </is>
      </c>
      <c r="C64" s="6" t="inlineStr">
        <is>
          <t>Armament</t>
        </is>
      </c>
      <c r="K64" s="5" t="n">
        <v>64000</v>
      </c>
      <c r="L64" s="5" t="n">
        <v>200</v>
      </c>
      <c r="M64" s="5" t="n">
        <v>1</v>
      </c>
      <c r="N64" s="5" t="n"/>
      <c r="O64" s="5" t="n">
        <v>1512</v>
      </c>
      <c r="P64" s="5" t="n">
        <v>1</v>
      </c>
      <c r="Q64">
        <f>L64+IF(M64&gt;1,N(N64)*(M64-1),0)</f>
        <v/>
      </c>
      <c r="R64">
        <f>IFERROR(K64*MAX(M64,1)/Q64*P64,0)</f>
        <v/>
      </c>
      <c r="AA64" s="6" t="inlineStr">
        <is>
          <t>^TeslaWeapon</t>
        </is>
      </c>
    </row>
    <row r="65">
      <c r="A65" t="inlineStr">
        <is>
          <t>tiberiansun</t>
        </is>
      </c>
      <c r="B65" t="inlineStr">
        <is>
          <t>ts_gdi_mobilesensorarray</t>
        </is>
      </c>
      <c r="C65" t="inlineStr">
        <is>
          <t>Mobile Sensor Array</t>
        </is>
      </c>
      <c r="D65" t="inlineStr"/>
      <c r="E65" s="5" t="n">
        <v>60000</v>
      </c>
      <c r="F65" s="5" t="n">
        <v>85</v>
      </c>
      <c r="G65" t="inlineStr">
        <is>
          <t>Wood</t>
        </is>
      </c>
      <c r="H65" s="5" t="n">
        <v>1</v>
      </c>
      <c r="I65" s="5" t="n">
        <v>1</v>
      </c>
      <c r="J65" s="5" t="n">
        <v>1</v>
      </c>
      <c r="W65" s="5" t="n">
        <v>1100</v>
      </c>
    </row>
    <row r="66">
      <c r="A66" t="inlineStr">
        <is>
          <t>tiberiansun</t>
        </is>
      </c>
      <c r="B66" t="inlineStr">
        <is>
          <t>ts_gdi_pitbull</t>
        </is>
      </c>
      <c r="C66" t="inlineStr">
        <is>
          <t>Pitbull</t>
        </is>
      </c>
      <c r="D66" t="inlineStr"/>
      <c r="E66" s="5" t="n">
        <v>27500</v>
      </c>
      <c r="F66" s="5" t="n">
        <v>150</v>
      </c>
      <c r="G66" t="inlineStr">
        <is>
          <t>Scout</t>
        </is>
      </c>
      <c r="H66" s="5" t="n">
        <v>1</v>
      </c>
      <c r="I66" s="5" t="n">
        <v>1</v>
      </c>
      <c r="J66" s="5" t="n">
        <v>1</v>
      </c>
      <c r="O66">
        <f>MAX(O67)</f>
        <v/>
      </c>
      <c r="R66">
        <f>R67</f>
        <v/>
      </c>
      <c r="S66">
        <f>(E66/100000+F66/100+(O66/1000)*J66/5+R66/200)*200*I66*H66</f>
        <v/>
      </c>
      <c r="T66">
        <f>((E66*F66/25000)+((O66/1000)*J66*R66/2.5))*I66*H66</f>
        <v/>
      </c>
      <c r="U66">
        <f>(E66*F66*(O66/1000)*J66*R66*I66*H66)/12500000</f>
        <v/>
      </c>
      <c r="V66">
        <f>(S66+T66+U66)/3</f>
        <v/>
      </c>
      <c r="W66" s="5" t="n">
        <v>400</v>
      </c>
      <c r="X66">
        <f>IFERROR(V66-W66,"")</f>
        <v/>
      </c>
      <c r="Y66">
        <f>IFERROR(ABS(X66)/MAX(W66,1),"")</f>
        <v/>
      </c>
      <c r="Z66">
        <f>IFERROR((W66-(((E66/100000+F66/100+R66/200)*200*I66*H66)+((E66*F66/25000)*I66*H66))/3)/(((J66/5)*200*I66*H66)+((J66*R66/2.5)*I66*H66)+((E66*F66*J66*R66*I66*H66)/12500000))/3*1000,"")</f>
        <v/>
      </c>
    </row>
    <row r="67">
      <c r="B67" s="6" t="inlineStr">
        <is>
          <t xml:space="preserve">  ↳ PitbullRockets</t>
        </is>
      </c>
      <c r="C67" s="6" t="inlineStr">
        <is>
          <t>Armament</t>
        </is>
      </c>
      <c r="K67" s="5" t="n">
        <v>20000</v>
      </c>
      <c r="L67" s="5" t="n">
        <v>55</v>
      </c>
      <c r="M67" s="5" t="n">
        <v>2</v>
      </c>
      <c r="N67" s="5" t="n">
        <v>5</v>
      </c>
      <c r="O67" s="5" t="n">
        <v>6379</v>
      </c>
      <c r="P67" s="5" t="n">
        <v>1</v>
      </c>
      <c r="Q67">
        <f>L67+IF(M67&gt;1,N(N67)*(M67-1),0)</f>
        <v/>
      </c>
      <c r="R67">
        <f>IFERROR(K67*MAX(M67,1)/Q67*P67,0)</f>
        <v/>
      </c>
      <c r="AA67" s="6" t="inlineStr">
        <is>
          <t>^LightMissile</t>
        </is>
      </c>
    </row>
    <row r="68">
      <c r="A68" t="inlineStr">
        <is>
          <t>tiberiansun</t>
        </is>
      </c>
      <c r="B68" t="inlineStr">
        <is>
          <t>ts_gdi_tiberiumharvester</t>
        </is>
      </c>
      <c r="C68" t="inlineStr">
        <is>
          <t>Tiberium Harvester</t>
        </is>
      </c>
      <c r="D68" t="inlineStr"/>
      <c r="E68" s="5" t="n">
        <v>150000</v>
      </c>
      <c r="F68" s="5" t="n">
        <v>60</v>
      </c>
      <c r="G68" t="inlineStr">
        <is>
          <t>Heavy</t>
        </is>
      </c>
      <c r="H68" s="5" t="n">
        <v>1</v>
      </c>
      <c r="I68" s="5" t="n">
        <v>1</v>
      </c>
      <c r="J68" s="5" t="n">
        <v>1</v>
      </c>
      <c r="W68" s="5" t="n">
        <v>1000</v>
      </c>
    </row>
    <row r="69">
      <c r="A69" t="inlineStr">
        <is>
          <t>tiberiansun</t>
        </is>
      </c>
      <c r="B69" t="inlineStr">
        <is>
          <t>ts_gdi_titan</t>
        </is>
      </c>
      <c r="C69" t="inlineStr">
        <is>
          <t>Titan</t>
        </is>
      </c>
      <c r="D69" t="inlineStr"/>
      <c r="E69" s="5" t="n">
        <v>100000</v>
      </c>
      <c r="F69" s="5" t="n">
        <v>75</v>
      </c>
      <c r="G69" t="inlineStr">
        <is>
          <t>Heavy</t>
        </is>
      </c>
      <c r="H69" s="5" t="n">
        <v>1</v>
      </c>
      <c r="I69" s="5" t="n">
        <v>1</v>
      </c>
      <c r="J69" s="5" t="n">
        <v>1</v>
      </c>
      <c r="O69">
        <f>MAX(O70,O71)</f>
        <v/>
      </c>
      <c r="R69">
        <f>R70+R71</f>
        <v/>
      </c>
      <c r="S69">
        <f>(E69/100000+F69/100+(O69/1000)*J69/5+R69/200)*200*I69*H69</f>
        <v/>
      </c>
      <c r="T69">
        <f>((E69*F69/25000)+((O69/1000)*J69*R69/2.5))*I69*H69</f>
        <v/>
      </c>
      <c r="U69">
        <f>(E69*F69*(O69/1000)*J69*R69*I69*H69)/12500000</f>
        <v/>
      </c>
      <c r="V69">
        <f>(S69+T69+U69)/3</f>
        <v/>
      </c>
      <c r="W69" s="5" t="n">
        <v>950</v>
      </c>
      <c r="X69">
        <f>IFERROR(V69-W69,"")</f>
        <v/>
      </c>
      <c r="Y69">
        <f>IFERROR(ABS(X69)/MAX(W69,1),"")</f>
        <v/>
      </c>
      <c r="Z69">
        <f>IFERROR((W69-(((E69/100000+F69/100+R69/200)*200*I69*H69)+((E69*F69/25000)*I69*H69))/3)/(((J69/5)*200*I69*H69)+((J69*R69/2.5)*I69*H69)+((E69*F69*J69*R69*I69*H69)/12500000))/3*1000,"")</f>
        <v/>
      </c>
    </row>
    <row r="70">
      <c r="B70" s="6" t="inlineStr">
        <is>
          <t xml:space="preserve">  ↳ TS120mm</t>
        </is>
      </c>
      <c r="C70" s="6" t="inlineStr">
        <is>
          <t>Armament@PRIMARY</t>
        </is>
      </c>
      <c r="K70" s="5" t="n">
        <v>12000</v>
      </c>
      <c r="L70" s="5" t="n">
        <v>44</v>
      </c>
      <c r="M70" s="5" t="n">
        <v>1</v>
      </c>
      <c r="N70" s="5" t="n"/>
      <c r="O70" s="5" t="n">
        <v>6201</v>
      </c>
      <c r="P70" s="5" t="n">
        <v>1</v>
      </c>
      <c r="Q70">
        <f>L70+IF(M70&gt;1,N(N70)*(M70-1),0)</f>
        <v/>
      </c>
      <c r="R70">
        <f>IFERROR(K70*MAX(M70,1)/Q70*P70,0)</f>
        <v/>
      </c>
      <c r="AA70" s="6" t="inlineStr">
        <is>
          <t>^TSCannonEffect, ^MediumCannon</t>
        </is>
      </c>
    </row>
    <row r="71">
      <c r="B71" s="6" t="inlineStr">
        <is>
          <t xml:space="preserve">  ↳ TS120mmRail</t>
        </is>
      </c>
      <c r="C71" s="6" t="inlineStr">
        <is>
          <t>Armament@Upgrade</t>
        </is>
      </c>
      <c r="K71" s="5" t="n">
        <v>8000</v>
      </c>
      <c r="L71" s="5" t="n">
        <v>44</v>
      </c>
      <c r="M71" s="5" t="n">
        <v>1</v>
      </c>
      <c r="N71" s="5" t="n"/>
      <c r="O71" s="5" t="n">
        <v>6201</v>
      </c>
      <c r="P71" s="5" t="n">
        <v>1</v>
      </c>
      <c r="Q71">
        <f>L71+IF(M71&gt;1,N(N71)*(M71-1),0)</f>
        <v/>
      </c>
      <c r="R71">
        <f>IFERROR(K71*MAX(M71,1)/Q71*P71,0)</f>
        <v/>
      </c>
      <c r="AA71" s="6" t="inlineStr">
        <is>
          <t>^MediumCannon, ^RailgunWeapon</t>
        </is>
      </c>
    </row>
    <row r="72">
      <c r="A72" t="inlineStr">
        <is>
          <t>tiberiansun</t>
        </is>
      </c>
      <c r="B72" t="inlineStr">
        <is>
          <t>ts_gdi_titanmkii</t>
        </is>
      </c>
      <c r="C72" t="inlineStr">
        <is>
          <t>Titan MK II</t>
        </is>
      </c>
      <c r="D72" t="inlineStr"/>
      <c r="E72" s="5" t="n">
        <v>120000</v>
      </c>
      <c r="F72" s="5" t="n">
        <v>75</v>
      </c>
      <c r="G72" t="inlineStr">
        <is>
          <t>Heavy</t>
        </is>
      </c>
      <c r="H72" s="5" t="n">
        <v>1</v>
      </c>
      <c r="I72" s="5" t="n">
        <v>1</v>
      </c>
      <c r="J72" s="5" t="n">
        <v>1</v>
      </c>
      <c r="O72">
        <f>MAX(O73,O74)</f>
        <v/>
      </c>
      <c r="R72">
        <f>R73+R74</f>
        <v/>
      </c>
      <c r="S72">
        <f>(E72/100000+F72/100+(O72/1000)*J72/5+R72/200)*200*I72*H72</f>
        <v/>
      </c>
      <c r="T72">
        <f>((E72*F72/25000)+((O72/1000)*J72*R72/2.5))*I72*H72</f>
        <v/>
      </c>
      <c r="U72">
        <f>(E72*F72*(O72/1000)*J72*R72*I72*H72)/12500000</f>
        <v/>
      </c>
      <c r="V72">
        <f>(S72+T72+U72)/3</f>
        <v/>
      </c>
      <c r="W72" s="5" t="n">
        <v>1600</v>
      </c>
      <c r="X72">
        <f>IFERROR(V72-W72,"")</f>
        <v/>
      </c>
      <c r="Y72">
        <f>IFERROR(ABS(X72)/MAX(W72,1),"")</f>
        <v/>
      </c>
      <c r="Z72">
        <f>IFERROR((W72-(((E72/100000+F72/100+R72/200)*200*I72*H72)+((E72*F72/25000)*I72*H72))/3)/(((J72/5)*200*I72*H72)+((J72*R72/2.5)*I72*H72)+((E72*F72*J72*R72*I72*H72)/12500000))/3*1000,"")</f>
        <v/>
      </c>
    </row>
    <row r="73">
      <c r="B73" s="6" t="inlineStr">
        <is>
          <t xml:space="preserve">  ↳ TS120mmTal</t>
        </is>
      </c>
      <c r="C73" s="6" t="inlineStr">
        <is>
          <t>Armament@PRIMARY</t>
        </is>
      </c>
      <c r="K73" s="5" t="n">
        <v>24000</v>
      </c>
      <c r="L73" s="5" t="n">
        <v>50</v>
      </c>
      <c r="M73" s="5" t="n">
        <v>1</v>
      </c>
      <c r="N73" s="5" t="n"/>
      <c r="O73" s="5" t="n">
        <v>6201</v>
      </c>
      <c r="P73" s="5" t="n">
        <v>1</v>
      </c>
      <c r="Q73">
        <f>L73+IF(M73&gt;1,N(N73)*(M73-1),0)</f>
        <v/>
      </c>
      <c r="R73">
        <f>IFERROR(K73*MAX(M73,1)/Q73*P73,0)</f>
        <v/>
      </c>
      <c r="AA73" s="6" t="inlineStr">
        <is>
          <t>^TSCannonEffect, ^MediumCannon</t>
        </is>
      </c>
    </row>
    <row r="74">
      <c r="B74" s="6" t="inlineStr">
        <is>
          <t xml:space="preserve">  ↳ TS120mmTalRail</t>
        </is>
      </c>
      <c r="C74" s="6" t="inlineStr">
        <is>
          <t>Armament@Upgrade</t>
        </is>
      </c>
      <c r="K74" s="5" t="n">
        <v>18000</v>
      </c>
      <c r="L74" s="5" t="n">
        <v>50</v>
      </c>
      <c r="M74" s="5" t="n">
        <v>1</v>
      </c>
      <c r="N74" s="5" t="n"/>
      <c r="O74" s="5" t="n">
        <v>6201</v>
      </c>
      <c r="P74" s="5" t="n">
        <v>1</v>
      </c>
      <c r="Q74">
        <f>L74+IF(M74&gt;1,N(N74)*(M74-1),0)</f>
        <v/>
      </c>
      <c r="R74">
        <f>IFERROR(K74*MAX(M74,1)/Q74*P74,0)</f>
        <v/>
      </c>
      <c r="AA74" s="6" t="inlineStr">
        <is>
          <t>^MediumCannon, ^RailgunWeapon</t>
        </is>
      </c>
    </row>
    <row r="75">
      <c r="A75" t="inlineStr">
        <is>
          <t>tiberiansun</t>
        </is>
      </c>
      <c r="B75" t="inlineStr">
        <is>
          <t>ts_gdi_wolverine</t>
        </is>
      </c>
      <c r="C75" t="inlineStr">
        <is>
          <t>Wolverine</t>
        </is>
      </c>
      <c r="D75" t="inlineStr"/>
      <c r="E75" s="5" t="n">
        <v>30000</v>
      </c>
      <c r="F75" s="5" t="n">
        <v>80</v>
      </c>
      <c r="G75" t="inlineStr">
        <is>
          <t>Light</t>
        </is>
      </c>
      <c r="H75" s="5" t="n">
        <v>1</v>
      </c>
      <c r="I75" s="5" t="n">
        <v>1</v>
      </c>
      <c r="J75" s="5" t="n">
        <v>1</v>
      </c>
      <c r="O75">
        <f>MAX(O76,O77)</f>
        <v/>
      </c>
      <c r="R75">
        <f>R76+R77</f>
        <v/>
      </c>
      <c r="S75">
        <f>(E75/100000+F75/100+(O75/1000)*J75/5+R75/200)*200*I75*H75</f>
        <v/>
      </c>
      <c r="T75">
        <f>((E75*F75/25000)+((O75/1000)*J75*R75/2.5))*I75*H75</f>
        <v/>
      </c>
      <c r="U75">
        <f>(E75*F75*(O75/1000)*J75*R75*I75*H75)/12500000</f>
        <v/>
      </c>
      <c r="V75">
        <f>(S75+T75+U75)/3</f>
        <v/>
      </c>
      <c r="W75" s="5" t="n">
        <v>550</v>
      </c>
      <c r="X75">
        <f>IFERROR(V75-W75,"")</f>
        <v/>
      </c>
      <c r="Y75">
        <f>IFERROR(ABS(X75)/MAX(W75,1),"")</f>
        <v/>
      </c>
      <c r="Z75">
        <f>IFERROR((W75-(((E75/100000+F75/100+R75/200)*200*I75*H75)+((E75*F75/25000)*I75*H75))/3)/(((J75/5)*200*I75*H75)+((J75*R75/2.5)*I75*H75)+((E75*F75*J75*R75*I75*H75)/12500000))/3*1000,"")</f>
        <v/>
      </c>
    </row>
    <row r="76">
      <c r="B76" s="6" t="inlineStr">
        <is>
          <t xml:space="preserve">  ↳ TSAssaultCannon</t>
        </is>
      </c>
      <c r="C76" s="6" t="inlineStr">
        <is>
          <t>Armament@PRIMARY</t>
        </is>
      </c>
      <c r="K76" s="5" t="n">
        <v>2000</v>
      </c>
      <c r="L76" s="5" t="n">
        <v>33</v>
      </c>
      <c r="M76" s="5" t="n">
        <v>2</v>
      </c>
      <c r="N76" s="5" t="n">
        <v>2</v>
      </c>
      <c r="O76" s="5" t="n">
        <v>6305</v>
      </c>
      <c r="P76" s="5" t="n">
        <v>1</v>
      </c>
      <c r="Q76">
        <f>L76+IF(M76&gt;1,N(N76)*(M76-1),0)</f>
        <v/>
      </c>
      <c r="R76">
        <f>IFERROR(K76*MAX(M76,1)/Q76*P76,0)</f>
        <v/>
      </c>
      <c r="AA76" s="6" t="inlineStr">
        <is>
          <t>^FlakWeapon, ^Chaingun</t>
        </is>
      </c>
    </row>
    <row r="77">
      <c r="B77" s="6" t="inlineStr">
        <is>
          <t xml:space="preserve">  ↳ TSAssaultCannonSonic</t>
        </is>
      </c>
      <c r="C77" s="6" t="inlineStr">
        <is>
          <t>Armament@Upgrade</t>
        </is>
      </c>
      <c r="K77" s="5" t="n">
        <v>2000</v>
      </c>
      <c r="L77" s="5" t="n">
        <v>45</v>
      </c>
      <c r="M77" s="5" t="n">
        <v>2</v>
      </c>
      <c r="N77" s="5" t="n">
        <v>2</v>
      </c>
      <c r="O77" s="5" t="n">
        <v>6305</v>
      </c>
      <c r="P77" s="5" t="n">
        <v>1</v>
      </c>
      <c r="Q77">
        <f>L77+IF(M77&gt;1,N(N77)*(M77-1),0)</f>
        <v/>
      </c>
      <c r="R77">
        <f>IFERROR(K77*MAX(M77,1)/Q77*P77,0)</f>
        <v/>
      </c>
      <c r="AA77" s="6" t="inlineStr">
        <is>
          <t>^FlakWeapon, ^Chaingun, ^TeslaWeapon, ^MagicWeapon, ^TSSonicGrenade</t>
        </is>
      </c>
    </row>
    <row r="78">
      <c r="A78" t="inlineStr">
        <is>
          <t>tiberiansun</t>
        </is>
      </c>
      <c r="B78" t="inlineStr">
        <is>
          <t>ts_gdi_wolverinemkii</t>
        </is>
      </c>
      <c r="C78" t="inlineStr">
        <is>
          <t>Wolverine MK II</t>
        </is>
      </c>
      <c r="D78" t="inlineStr"/>
      <c r="E78" s="5" t="n">
        <v>50000</v>
      </c>
      <c r="F78" s="5" t="n">
        <v>80</v>
      </c>
      <c r="G78" t="inlineStr">
        <is>
          <t>Medium</t>
        </is>
      </c>
      <c r="H78" s="5" t="n">
        <v>1</v>
      </c>
      <c r="I78" s="5" t="n">
        <v>1</v>
      </c>
      <c r="J78" s="5" t="n">
        <v>1</v>
      </c>
      <c r="O78">
        <f>MAX(O79,O80)</f>
        <v/>
      </c>
      <c r="R78">
        <f>R79+R80</f>
        <v/>
      </c>
      <c r="S78">
        <f>(E78/100000+F78/100+(O78/1000)*J78/5+R78/200)*200*I78*H78</f>
        <v/>
      </c>
      <c r="T78">
        <f>((E78*F78/25000)+((O78/1000)*J78*R78/2.5))*I78*H78</f>
        <v/>
      </c>
      <c r="U78">
        <f>(E78*F78*(O78/1000)*J78*R78*I78*H78)/12500000</f>
        <v/>
      </c>
      <c r="V78">
        <f>(S78+T78+U78)/3</f>
        <v/>
      </c>
      <c r="W78" s="5" t="n">
        <v>950</v>
      </c>
      <c r="X78">
        <f>IFERROR(V78-W78,"")</f>
        <v/>
      </c>
      <c r="Y78">
        <f>IFERROR(ABS(X78)/MAX(W78,1),"")</f>
        <v/>
      </c>
      <c r="Z78">
        <f>IFERROR((W78-(((E78/100000+F78/100+R78/200)*200*I78*H78)+((E78*F78/25000)*I78*H78))/3)/(((J78/5)*200*I78*H78)+((J78*R78/2.5)*I78*H78)+((E78*F78*J78*R78*I78*H78)/12500000))/3*1000,"")</f>
        <v/>
      </c>
    </row>
    <row r="79">
      <c r="B79" s="6" t="inlineStr">
        <is>
          <t xml:space="preserve">  ↳ TSAssaultCannonTal</t>
        </is>
      </c>
      <c r="C79" s="6" t="inlineStr">
        <is>
          <t>Armament@PRIMARY</t>
        </is>
      </c>
      <c r="K79" s="5" t="n">
        <v>8000</v>
      </c>
      <c r="L79" s="5" t="n">
        <v>40</v>
      </c>
      <c r="M79" s="5" t="n">
        <v>2</v>
      </c>
      <c r="N79" s="5" t="n">
        <v>2</v>
      </c>
      <c r="O79" s="5" t="n">
        <v>6520</v>
      </c>
      <c r="P79" s="5" t="n">
        <v>1</v>
      </c>
      <c r="Q79">
        <f>L79+IF(M79&gt;1,N(N79)*(M79-1),0)</f>
        <v/>
      </c>
      <c r="R79">
        <f>IFERROR(K79*MAX(M79,1)/Q79*P79,0)</f>
        <v/>
      </c>
      <c r="AA79" s="6" t="inlineStr">
        <is>
          <t>^Chaingun</t>
        </is>
      </c>
    </row>
    <row r="80">
      <c r="B80" s="6" t="inlineStr">
        <is>
          <t xml:space="preserve">  ↳ TSAssaultCannonTalSonic</t>
        </is>
      </c>
      <c r="C80" s="6" t="inlineStr">
        <is>
          <t>Armament@Upgrade</t>
        </is>
      </c>
      <c r="K80" s="5" t="n">
        <v>8000</v>
      </c>
      <c r="L80" s="5" t="n">
        <v>45</v>
      </c>
      <c r="M80" s="5" t="n">
        <v>2</v>
      </c>
      <c r="N80" s="5" t="n">
        <v>2</v>
      </c>
      <c r="O80" s="5" t="n">
        <v>6520</v>
      </c>
      <c r="P80" s="5" t="n">
        <v>1</v>
      </c>
      <c r="Q80">
        <f>L80+IF(M80&gt;1,N(N80)*(M80-1),0)</f>
        <v/>
      </c>
      <c r="R80">
        <f>IFERROR(K80*MAX(M80,1)/Q80*P80,0)</f>
        <v/>
      </c>
      <c r="AA80" s="6" t="inlineStr">
        <is>
          <t>^Chaingun, ^TeslaWeapon, ^MagicWeapon, ^TSSonicGrenade</t>
        </is>
      </c>
    </row>
    <row r="81">
      <c r="A81" s="3" t="inlineStr">
        <is>
          <t>AIRCRAFT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>
      <c r="A82" t="inlineStr">
        <is>
          <t>tiberiansun</t>
        </is>
      </c>
      <c r="B82" t="inlineStr">
        <is>
          <t>ts_gdi_carryall</t>
        </is>
      </c>
      <c r="C82" t="inlineStr">
        <is>
          <t>Carryall</t>
        </is>
      </c>
      <c r="D82" t="inlineStr"/>
      <c r="E82" s="5" t="n">
        <v>47500</v>
      </c>
      <c r="F82" s="5" t="n">
        <v>149</v>
      </c>
      <c r="G82" t="inlineStr">
        <is>
          <t>Light</t>
        </is>
      </c>
      <c r="H82" s="5" t="n">
        <v>1</v>
      </c>
      <c r="I82" s="5" t="n">
        <v>1</v>
      </c>
      <c r="J82" s="5" t="n">
        <v>1</v>
      </c>
      <c r="W82" s="5" t="n">
        <v>750</v>
      </c>
    </row>
    <row r="83">
      <c r="A83" t="inlineStr">
        <is>
          <t>tiberiansun</t>
        </is>
      </c>
      <c r="B83" t="inlineStr">
        <is>
          <t>ts_gdi_hammerhead</t>
        </is>
      </c>
      <c r="C83" t="inlineStr">
        <is>
          <t>Hammerhead</t>
        </is>
      </c>
      <c r="D83" t="inlineStr"/>
      <c r="E83" s="5" t="n">
        <v>80000</v>
      </c>
      <c r="F83" s="5" t="n">
        <v>140</v>
      </c>
      <c r="G83" t="inlineStr">
        <is>
          <t>Helicopter</t>
        </is>
      </c>
      <c r="H83" s="5" t="n">
        <v>1</v>
      </c>
      <c r="I83" s="5" t="n">
        <v>1</v>
      </c>
      <c r="J83" s="5" t="n">
        <v>1</v>
      </c>
      <c r="O83">
        <f>MAX(O84)</f>
        <v/>
      </c>
      <c r="R83">
        <f>R84</f>
        <v/>
      </c>
      <c r="S83">
        <f>(E83/100000+F83/100+(O83/1000)*J83/5+R83/200)*200*I83*H83</f>
        <v/>
      </c>
      <c r="T83">
        <f>((E83*F83/25000)+((O83/1000)*J83*R83/2.5))*I83*H83</f>
        <v/>
      </c>
      <c r="U83">
        <f>(E83*F83*(O83/1000)*J83*R83*I83*H83)/12500000</f>
        <v/>
      </c>
      <c r="V83">
        <f>(S83+T83+U83)/3</f>
        <v/>
      </c>
      <c r="W83" s="5" t="n">
        <v>2400</v>
      </c>
      <c r="X83">
        <f>IFERROR(V83-W83,"")</f>
        <v/>
      </c>
      <c r="Y83">
        <f>IFERROR(ABS(X83)/MAX(W83,1),"")</f>
        <v/>
      </c>
      <c r="Z83">
        <f>IFERROR((W83-(((E83/100000+F83/100+R83/200)*200*I83*H83)+((E83*F83/25000)*I83*H83))/3)/(((J83/5)*200*I83*H83)+((J83*R83/2.5)*I83*H83)+((E83*F83*J83*R83*I83*H83)/12500000))/3*1000,"")</f>
        <v/>
      </c>
    </row>
    <row r="84">
      <c r="B84" s="6" t="inlineStr">
        <is>
          <t xml:space="preserve">  ↳ TSHammerheadGun</t>
        </is>
      </c>
      <c r="C84" s="6" t="inlineStr">
        <is>
          <t>Armament@PRIMARY</t>
        </is>
      </c>
      <c r="K84" s="5" t="n">
        <v>4000</v>
      </c>
      <c r="L84" s="5" t="n">
        <v>6</v>
      </c>
      <c r="M84" s="5" t="n">
        <v>1</v>
      </c>
      <c r="N84" s="5" t="n"/>
      <c r="O84" s="5" t="n">
        <v>5451</v>
      </c>
      <c r="P84" s="5" t="n">
        <v>1</v>
      </c>
      <c r="Q84">
        <f>L84+IF(M84&gt;1,N(N84)*(M84-1),0)</f>
        <v/>
      </c>
      <c r="R84">
        <f>IFERROR(K84*MAX(M84,1)/Q84*P84,0)</f>
        <v/>
      </c>
      <c r="AA84" s="6" t="inlineStr">
        <is>
          <t>^Chaingun</t>
        </is>
      </c>
    </row>
    <row r="85">
      <c r="A85" t="inlineStr">
        <is>
          <t>tiberiansun</t>
        </is>
      </c>
      <c r="B85" t="inlineStr">
        <is>
          <t>ts_gdi_kodiakcommandship</t>
        </is>
      </c>
      <c r="C85" t="inlineStr">
        <is>
          <t>Kodiak Command Ship</t>
        </is>
      </c>
      <c r="D85" t="inlineStr"/>
      <c r="E85" s="5" t="n">
        <v>900000</v>
      </c>
      <c r="F85" s="5" t="n">
        <v>30</v>
      </c>
      <c r="G85" t="inlineStr">
        <is>
          <t>Spaceship</t>
        </is>
      </c>
      <c r="H85" s="5" t="n">
        <v>1</v>
      </c>
      <c r="I85" s="5" t="n">
        <v>1</v>
      </c>
      <c r="J85" s="5" t="n">
        <v>1</v>
      </c>
      <c r="O85">
        <f>MAX(O86,O87,O88)</f>
        <v/>
      </c>
      <c r="R85">
        <f>R86+R87+R88</f>
        <v/>
      </c>
      <c r="S85">
        <f>(E85/100000+F85/100+(O85/1000)*J85/5+R85/200)*200*I85*H85</f>
        <v/>
      </c>
      <c r="T85">
        <f>((E85*F85/25000)+((O85/1000)*J85*R85/2.5))*I85*H85</f>
        <v/>
      </c>
      <c r="U85">
        <f>(E85*F85*(O85/1000)*J85*R85*I85*H85)/12500000</f>
        <v/>
      </c>
      <c r="V85">
        <f>(S85+T85+U85)/3</f>
        <v/>
      </c>
      <c r="W85" s="5" t="n">
        <v>10000</v>
      </c>
      <c r="X85">
        <f>IFERROR(V85-W85,"")</f>
        <v/>
      </c>
      <c r="Y85">
        <f>IFERROR(ABS(X85)/MAX(W85,1),"")</f>
        <v/>
      </c>
      <c r="Z85">
        <f>IFERROR((W85-(((E85/100000+F85/100+R85/200)*200*I85*H85)+((E85*F85/25000)*I85*H85))/3)/(((J85/5)*200*I85*H85)+((J85*R85/2.5)*I85*H85)+((E85*F85*J85*R85*I85*H85)/12500000))/3*1000,"")</f>
        <v/>
      </c>
    </row>
    <row r="86">
      <c r="B86" s="6" t="inlineStr">
        <is>
          <t xml:space="preserve">  ↳ KodiakCannon</t>
        </is>
      </c>
      <c r="C86" s="6" t="inlineStr">
        <is>
          <t>Armament@PRIMARY</t>
        </is>
      </c>
      <c r="K86" s="5" t="n">
        <v>8000</v>
      </c>
      <c r="L86" s="5" t="n">
        <v>92</v>
      </c>
      <c r="M86" s="5" t="n">
        <v>3</v>
      </c>
      <c r="N86" s="5" t="n">
        <v>4</v>
      </c>
      <c r="O86" s="5" t="n">
        <v>9165</v>
      </c>
      <c r="P86" s="5" t="n">
        <v>1</v>
      </c>
      <c r="Q86">
        <f>L86+IF(M86&gt;1,N(N86)*(M86-1),0)</f>
        <v/>
      </c>
      <c r="R86">
        <f>IFERROR(K86*MAX(M86,1)/Q86*P86,0)</f>
        <v/>
      </c>
      <c r="AA86" s="6" t="inlineStr">
        <is>
          <t>^HeavyChemicalWeapon, ^RailgunWeapon, ^HeavyMissile, ^HeavyCannon, ^HeavyBomb</t>
        </is>
      </c>
    </row>
    <row r="87">
      <c r="B87" s="6" t="inlineStr">
        <is>
          <t xml:space="preserve">  ↳ KodiakCannonSonic</t>
        </is>
      </c>
      <c r="C87" s="6" t="inlineStr">
        <is>
          <t>Armament@Upgrade</t>
        </is>
      </c>
      <c r="K87" s="5" t="n">
        <v>8000</v>
      </c>
      <c r="L87" s="5" t="n">
        <v>86</v>
      </c>
      <c r="M87" s="5" t="n">
        <v>3</v>
      </c>
      <c r="N87" s="5" t="n">
        <v>4</v>
      </c>
      <c r="O87" s="5" t="n">
        <v>9165</v>
      </c>
      <c r="P87" s="5" t="n">
        <v>1</v>
      </c>
      <c r="Q87">
        <f>L87+IF(M87&gt;1,N(N87)*(M87-1),0)</f>
        <v/>
      </c>
      <c r="R87">
        <f>IFERROR(K87*MAX(M87,1)/Q87*P87,0)</f>
        <v/>
      </c>
      <c r="AA87" s="6" t="inlineStr">
        <is>
          <t>^HeavyChemicalWeapon, ^RailgunWeapon, ^HeavyMissile, ^HeavyCannon, ^HeavyBomb, ^TeslaWeapon, ^MagicWeapon, ^TSSonicGrenade</t>
        </is>
      </c>
    </row>
    <row r="88">
      <c r="B88" s="6" t="inlineStr">
        <is>
          <t xml:space="preserve">  ↳ KodiakAAGuns</t>
        </is>
      </c>
      <c r="C88" s="6" t="inlineStr">
        <is>
          <t>Armament@SECONDARY</t>
        </is>
      </c>
      <c r="K88" s="5" t="n">
        <v>6000</v>
      </c>
      <c r="L88" s="5" t="n">
        <v>4</v>
      </c>
      <c r="M88" s="5" t="n">
        <v>1</v>
      </c>
      <c r="N88" s="5" t="n"/>
      <c r="O88" s="5" t="n">
        <v>8450</v>
      </c>
      <c r="P88" s="5" t="n">
        <v>1</v>
      </c>
      <c r="Q88">
        <f>L88+IF(M88&gt;1,N(N88)*(M88-1),0)</f>
        <v/>
      </c>
      <c r="R88">
        <f>IFERROR(K88*MAX(M88,1)/Q88*P88,0)</f>
        <v/>
      </c>
      <c r="AA88" s="6" t="inlineStr">
        <is>
          <t>^FlakWeapon</t>
        </is>
      </c>
    </row>
    <row r="89">
      <c r="A89" t="inlineStr">
        <is>
          <t>tiberiansun</t>
        </is>
      </c>
      <c r="B89" t="inlineStr">
        <is>
          <t>ts_gdi_orcabomber</t>
        </is>
      </c>
      <c r="C89" t="inlineStr">
        <is>
          <t>Orca Bomber</t>
        </is>
      </c>
      <c r="D89" t="inlineStr"/>
      <c r="E89" s="5" t="n">
        <v>152500</v>
      </c>
      <c r="F89" s="5" t="n">
        <v>160</v>
      </c>
      <c r="G89" t="inlineStr">
        <is>
          <t>Bomber</t>
        </is>
      </c>
      <c r="H89" s="5" t="n">
        <v>0.75</v>
      </c>
      <c r="I89" s="5" t="n">
        <v>1</v>
      </c>
      <c r="J89" s="5" t="n">
        <v>1</v>
      </c>
      <c r="O89">
        <f>MAX(O90,O91)</f>
        <v/>
      </c>
      <c r="R89">
        <f>R90+R91</f>
        <v/>
      </c>
      <c r="S89">
        <f>(E89/100000+F89/100+(O89/1000)*J89/5+R89/200)*200*I89*H89</f>
        <v/>
      </c>
      <c r="T89">
        <f>((E89*F89/25000)+((O89/1000)*J89*R89/2.5))*I89*H89</f>
        <v/>
      </c>
      <c r="U89">
        <f>(E89*F89*(O89/1000)*J89*R89*I89*H89)/12500000</f>
        <v/>
      </c>
      <c r="V89">
        <f>(S89+T89+U89)/3</f>
        <v/>
      </c>
      <c r="W89" s="5" t="n">
        <v>1900</v>
      </c>
      <c r="X89">
        <f>IFERROR(V89-W89,"")</f>
        <v/>
      </c>
      <c r="Y89">
        <f>IFERROR(ABS(X89)/MAX(W89,1),"")</f>
        <v/>
      </c>
      <c r="Z89">
        <f>IFERROR((W89-(((E89/100000+F89/100+R89/200)*200*I89*H89)+((E89*F89/25000)*I89*H89))/3)/(((J89/5)*200*I89*H89)+((J89*R89/2.5)*I89*H89)+((E89*F89*J89*R89*I89*H89)/12500000))/3*1000,"")</f>
        <v/>
      </c>
    </row>
    <row r="90">
      <c r="B90" s="6" t="inlineStr">
        <is>
          <t xml:space="preserve">  ↳ TSBomb</t>
        </is>
      </c>
      <c r="C90" s="6" t="inlineStr">
        <is>
          <t>Armament@PRIMARY</t>
        </is>
      </c>
      <c r="K90" s="5" t="n">
        <v>10000</v>
      </c>
      <c r="L90" s="5" t="n">
        <v>38</v>
      </c>
      <c r="M90" s="5" t="n">
        <v>5</v>
      </c>
      <c r="N90" s="5" t="n">
        <v>3</v>
      </c>
      <c r="O90" s="5" t="n">
        <v>1500</v>
      </c>
      <c r="P90" s="5" t="n">
        <v>1</v>
      </c>
      <c r="Q90">
        <f>L90+IF(M90&gt;1,N(N90)*(M90-1),0)</f>
        <v/>
      </c>
      <c r="R90">
        <f>IFERROR(K90*MAX(M90,1)/Q90*P90,0)</f>
        <v/>
      </c>
      <c r="AA90" s="6" t="inlineStr">
        <is>
          <t>^ShrapnelWeapon, ^HeavyBomb</t>
        </is>
      </c>
    </row>
    <row r="91">
      <c r="B91" s="6" t="inlineStr">
        <is>
          <t xml:space="preserve">  ↳ TSBombSonic</t>
        </is>
      </c>
      <c r="C91" s="6" t="inlineStr">
        <is>
          <t>Armament@Upgrade</t>
        </is>
      </c>
      <c r="K91" s="5" t="n">
        <v>10000</v>
      </c>
      <c r="L91" s="5" t="n">
        <v>38</v>
      </c>
      <c r="M91" s="5" t="n">
        <v>5</v>
      </c>
      <c r="N91" s="5" t="n">
        <v>3</v>
      </c>
      <c r="O91" s="5" t="n">
        <v>1500</v>
      </c>
      <c r="P91" s="5" t="n">
        <v>1</v>
      </c>
      <c r="Q91">
        <f>L91+IF(M91&gt;1,N(N91)*(M91-1),0)</f>
        <v/>
      </c>
      <c r="R91">
        <f>IFERROR(K91*MAX(M91,1)/Q91*P91,0)</f>
        <v/>
      </c>
      <c r="AA91" s="6" t="inlineStr">
        <is>
          <t>^HeavyBomb, ^TeslaWeapon, ^MagicWeapon, ^TSSonicGrenade</t>
        </is>
      </c>
    </row>
    <row r="92">
      <c r="A92" t="inlineStr">
        <is>
          <t>tiberiansun</t>
        </is>
      </c>
      <c r="B92" t="inlineStr">
        <is>
          <t>ts_gdi_orcafighter</t>
        </is>
      </c>
      <c r="C92" t="inlineStr">
        <is>
          <t>Orca Fighter</t>
        </is>
      </c>
      <c r="D92" t="inlineStr"/>
      <c r="E92" s="5" t="n">
        <v>62500</v>
      </c>
      <c r="F92" s="5" t="n">
        <v>145</v>
      </c>
      <c r="G92" t="inlineStr">
        <is>
          <t>Helicopter</t>
        </is>
      </c>
      <c r="H92" s="5" t="n">
        <v>1</v>
      </c>
      <c r="I92" s="5" t="n">
        <v>1</v>
      </c>
      <c r="J92" s="5" t="n">
        <v>1</v>
      </c>
      <c r="O92">
        <f>MAX(O93,O94)</f>
        <v/>
      </c>
      <c r="R92">
        <f>R93+R94</f>
        <v/>
      </c>
      <c r="S92">
        <f>(E92/100000+F92/100+(O92/1000)*J92/5+R92/200)*200*I92*H92</f>
        <v/>
      </c>
      <c r="T92">
        <f>((E92*F92/25000)+((O92/1000)*J92*R92/2.5))*I92*H92</f>
        <v/>
      </c>
      <c r="U92">
        <f>(E92*F92*(O92/1000)*J92*R92*I92*H92)/12500000</f>
        <v/>
      </c>
      <c r="V92">
        <f>(S92+T92+U92)/3</f>
        <v/>
      </c>
      <c r="W92" s="5" t="n">
        <v>2200</v>
      </c>
      <c r="X92">
        <f>IFERROR(V92-W92,"")</f>
        <v/>
      </c>
      <c r="Y92">
        <f>IFERROR(ABS(X92)/MAX(W92,1),"")</f>
        <v/>
      </c>
      <c r="Z92">
        <f>IFERROR((W92-(((E92/100000+F92/100+R92/200)*200*I92*H92)+((E92*F92/25000)*I92*H92))/3)/(((J92/5)*200*I92*H92)+((J92*R92/2.5)*I92*H92)+((E92*F92*J92*R92*I92*H92)/12500000))/3*1000,"")</f>
        <v/>
      </c>
    </row>
    <row r="93">
      <c r="B93" s="6" t="inlineStr">
        <is>
          <t xml:space="preserve">  ↳ TSHellfire</t>
        </is>
      </c>
      <c r="C93" s="6" t="inlineStr">
        <is>
          <t>Armament@PRIMARY</t>
        </is>
      </c>
      <c r="K93" s="5" t="n">
        <v>4000</v>
      </c>
      <c r="L93" s="5" t="n">
        <v>32</v>
      </c>
      <c r="M93" s="5" t="n">
        <v>1</v>
      </c>
      <c r="N93" s="5" t="n"/>
      <c r="O93" s="5" t="n">
        <v>5740</v>
      </c>
      <c r="P93" s="5" t="n">
        <v>1</v>
      </c>
      <c r="Q93">
        <f>L93+IF(M93&gt;1,N(N93)*(M93-1),0)</f>
        <v/>
      </c>
      <c r="R93">
        <f>IFERROR(K93*MAX(M93,1)/Q93*P93,0)</f>
        <v/>
      </c>
      <c r="AA93" s="6" t="inlineStr">
        <is>
          <t>^HeavyCannon, ^TankDestroyerCannon, ^ShrapnelWeapon, ^Grenade, ^HeavyMissile, ^MediumMissile</t>
        </is>
      </c>
    </row>
    <row r="94">
      <c r="B94" s="6" t="inlineStr">
        <is>
          <t xml:space="preserve">  ↳ TSHellfireSonic</t>
        </is>
      </c>
      <c r="C94" s="6" t="inlineStr">
        <is>
          <t>Armament@Upgrade</t>
        </is>
      </c>
      <c r="K94" s="5" t="n">
        <v>4000</v>
      </c>
      <c r="L94" s="5" t="n">
        <v>25</v>
      </c>
      <c r="M94" s="5" t="n">
        <v>1</v>
      </c>
      <c r="N94" s="5" t="n"/>
      <c r="O94" s="5" t="n">
        <v>5120</v>
      </c>
      <c r="P94" s="5" t="n">
        <v>1</v>
      </c>
      <c r="Q94">
        <f>L94+IF(M94&gt;1,N(N94)*(M94-1),0)</f>
        <v/>
      </c>
      <c r="R94">
        <f>IFERROR(K94*MAX(M94,1)/Q94*P94,0)</f>
        <v/>
      </c>
      <c r="AA94" s="6" t="inlineStr">
        <is>
          <t>^HeavyCannon, ^TankDestroyerCannon, ^ShrapnelWeapon, ^Grenade, ^HeavyMissile, ^MediumMissile, ^TeslaWeapon, ^MagicWeapon, ^TSSonicGrenade</t>
        </is>
      </c>
    </row>
    <row r="95">
      <c r="A95" t="inlineStr">
        <is>
          <t>tiberiansun</t>
        </is>
      </c>
      <c r="B95" t="inlineStr">
        <is>
          <t>ts_gdi_zoneorcafighter</t>
        </is>
      </c>
      <c r="C95" t="inlineStr">
        <is>
          <t>Zone Orca Fighter</t>
        </is>
      </c>
      <c r="D95" t="inlineStr"/>
      <c r="E95" s="5" t="n">
        <v>70000</v>
      </c>
      <c r="F95" s="5" t="n">
        <v>165</v>
      </c>
      <c r="G95" t="inlineStr">
        <is>
          <t>Helicopter</t>
        </is>
      </c>
      <c r="H95" s="5" t="n">
        <v>1</v>
      </c>
      <c r="I95" s="5" t="n">
        <v>1</v>
      </c>
      <c r="J95" s="5" t="n">
        <v>1</v>
      </c>
      <c r="O95">
        <f>MAX(O96,O97)</f>
        <v/>
      </c>
      <c r="R95">
        <f>R96+R97</f>
        <v/>
      </c>
      <c r="S95">
        <f>(E95/100000+F95/100+(O95/1000)*J95/5+R95/200)*200*I95*H95</f>
        <v/>
      </c>
      <c r="T95">
        <f>((E95*F95/25000)+((O95/1000)*J95*R95/2.5))*I95*H95</f>
        <v/>
      </c>
      <c r="U95">
        <f>(E95*F95*(O95/1000)*J95*R95*I95*H95)/12500000</f>
        <v/>
      </c>
      <c r="V95">
        <f>(S95+T95+U95)/3</f>
        <v/>
      </c>
      <c r="W95" s="5" t="n">
        <v>3000</v>
      </c>
      <c r="X95">
        <f>IFERROR(V95-W95,"")</f>
        <v/>
      </c>
      <c r="Y95">
        <f>IFERROR(ABS(X95)/MAX(W95,1),"")</f>
        <v/>
      </c>
      <c r="Z95">
        <f>IFERROR((W95-(((E95/100000+F95/100+R95/200)*200*I95*H95)+((E95*F95/25000)*I95*H95))/3)/(((J95/5)*200*I95*H95)+((J95*R95/2.5)*I95*H95)+((E95*F95*J95*R95*I95*H95)/12500000))/3*1000,"")</f>
        <v/>
      </c>
    </row>
    <row r="96">
      <c r="B96" s="6" t="inlineStr">
        <is>
          <t xml:space="preserve">  ↳ TSZoneHellfire</t>
        </is>
      </c>
      <c r="C96" s="6" t="inlineStr">
        <is>
          <t>Armament@PRIMARY</t>
        </is>
      </c>
      <c r="K96" s="5" t="n">
        <v>4000</v>
      </c>
      <c r="L96" s="5" t="n">
        <v>28</v>
      </c>
      <c r="M96" s="5" t="n">
        <v>1</v>
      </c>
      <c r="N96" s="5" t="n"/>
      <c r="O96" s="5" t="n">
        <v>6138</v>
      </c>
      <c r="P96" s="5" t="n">
        <v>1</v>
      </c>
      <c r="Q96">
        <f>L96+IF(M96&gt;1,N(N96)*(M96-1),0)</f>
        <v/>
      </c>
      <c r="R96">
        <f>IFERROR(K96*MAX(M96,1)/Q96*P96,0)</f>
        <v/>
      </c>
      <c r="AA96" s="6" t="inlineStr">
        <is>
          <t>^HeavyCannon, ^TankDestroyerCannon, ^ShrapnelWeapon, ^Grenade, ^HeavyMissile, ^MediumMissile</t>
        </is>
      </c>
    </row>
    <row r="97">
      <c r="B97" s="6" t="inlineStr">
        <is>
          <t xml:space="preserve">  ↳ TSZoneHellfireSonic</t>
        </is>
      </c>
      <c r="C97" s="6" t="inlineStr">
        <is>
          <t>Armament@Upgrade</t>
        </is>
      </c>
      <c r="K97" s="5" t="n">
        <v>4000</v>
      </c>
      <c r="L97" s="5" t="n">
        <v>28</v>
      </c>
      <c r="M97" s="5" t="n">
        <v>1</v>
      </c>
      <c r="N97" s="5" t="n"/>
      <c r="O97" s="5" t="n">
        <v>6138</v>
      </c>
      <c r="P97" s="5" t="n">
        <v>1</v>
      </c>
      <c r="Q97">
        <f>L97+IF(M97&gt;1,N(N97)*(M97-1),0)</f>
        <v/>
      </c>
      <c r="R97">
        <f>IFERROR(K97*MAX(M97,1)/Q97*P97,0)</f>
        <v/>
      </c>
      <c r="AA97" s="6" t="inlineStr">
        <is>
          <t>^HeavyCannon, ^TankDestroyerCannon, ^ShrapnelWeapon, ^Grenade, ^HeavyMissile, ^MediumMissile, ^TeslaWeapon, ^MagicWeapon, ^TSSonicGrenade</t>
        </is>
      </c>
    </row>
    <row r="98">
      <c r="A98" s="3" t="inlineStr">
        <is>
          <t>DEFENSES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>
      <c r="A99" t="inlineStr">
        <is>
          <t>tiberiansun</t>
        </is>
      </c>
      <c r="B99" t="inlineStr">
        <is>
          <t>ts_gdi_empulsecannon</t>
        </is>
      </c>
      <c r="C99" t="inlineStr">
        <is>
          <t>E.M. Pulse Cannon</t>
        </is>
      </c>
      <c r="D99" t="inlineStr"/>
      <c r="E99" s="5" t="n">
        <v>250000</v>
      </c>
      <c r="F99" s="5" t="n">
        <v>100</v>
      </c>
      <c r="G99" t="inlineStr">
        <is>
          <t>Concrete</t>
        </is>
      </c>
      <c r="H99" s="5" t="n">
        <v>1</v>
      </c>
      <c r="I99" s="5" t="n">
        <v>1</v>
      </c>
      <c r="J99" s="5" t="n">
        <v>1</v>
      </c>
      <c r="O99">
        <f>MAX(O100)</f>
        <v/>
      </c>
      <c r="R99">
        <f>R100</f>
        <v/>
      </c>
      <c r="S99">
        <f>(E99/100000+F99/100+(O99/1000)*J99/5+R99/200)*200*I99*H99</f>
        <v/>
      </c>
      <c r="T99">
        <f>((E99*F99/25000)+((O99/1000)*J99*R99/2.5))*I99*H99</f>
        <v/>
      </c>
      <c r="U99">
        <f>(E99*F99*(O99/1000)*J99*R99*I99*H99)/12500000</f>
        <v/>
      </c>
      <c r="V99">
        <f>(S99+T99+U99)/3</f>
        <v/>
      </c>
      <c r="W99" s="5" t="n">
        <v>2000</v>
      </c>
      <c r="X99">
        <f>IFERROR(V99-W99,"")</f>
        <v/>
      </c>
      <c r="Y99">
        <f>IFERROR(ABS(X99)/MAX(W99,1),"")</f>
        <v/>
      </c>
      <c r="Z99">
        <f>IFERROR((W99-(((E99/100000+F99/100+R99/200)*200*I99*H99)+((E99*F99/25000)*I99*H99))/3)/(((J99/5)*200*I99*H99)+((J99*R99/2.5)*I99*H99)+((E99*F99*J99*R99*I99*H99)/12500000))/3*1000,"")</f>
        <v/>
      </c>
    </row>
    <row r="100">
      <c r="B100" s="6" t="inlineStr">
        <is>
          <t xml:space="preserve">  ↳ TSEMPZapWeapon</t>
        </is>
      </c>
      <c r="C100" s="6" t="inlineStr">
        <is>
          <t>Armament@PRIMARY</t>
        </is>
      </c>
      <c r="K100" s="5" t="n">
        <v>2000</v>
      </c>
      <c r="L100" s="5" t="n">
        <v>60</v>
      </c>
      <c r="M100" s="5" t="n">
        <v>1</v>
      </c>
      <c r="N100" s="5" t="n"/>
      <c r="O100" s="5" t="n">
        <v>10205</v>
      </c>
      <c r="P100" s="5" t="n">
        <v>1</v>
      </c>
      <c r="Q100">
        <f>L100+IF(M100&gt;1,N(N100)*(M100-1),0)</f>
        <v/>
      </c>
      <c r="R100">
        <f>IFERROR(K100*MAX(M100,1)/Q100*P100,0)</f>
        <v/>
      </c>
      <c r="AA100" s="6" t="inlineStr">
        <is>
          <t>^TeslaWeapon</t>
        </is>
      </c>
    </row>
    <row r="101">
      <c r="A101" t="inlineStr">
        <is>
          <t>tiberiansun</t>
        </is>
      </c>
      <c r="B101" t="inlineStr">
        <is>
          <t>ts_gdi_rpgtower</t>
        </is>
      </c>
      <c r="C101" t="inlineStr">
        <is>
          <t>RPG Tower</t>
        </is>
      </c>
      <c r="D101" t="inlineStr"/>
      <c r="E101" s="5" t="n">
        <v>150000</v>
      </c>
      <c r="F101" s="5" t="n">
        <v>100</v>
      </c>
      <c r="G101" t="inlineStr">
        <is>
          <t>Steel</t>
        </is>
      </c>
      <c r="H101" s="5" t="n">
        <v>1</v>
      </c>
      <c r="I101" s="5" t="n">
        <v>1</v>
      </c>
      <c r="J101" s="5" t="n">
        <v>1</v>
      </c>
      <c r="O101">
        <f>MAX(O102,O103)</f>
        <v/>
      </c>
      <c r="R101">
        <f>R102+R103</f>
        <v/>
      </c>
      <c r="S101">
        <f>(E101/100000+F101/100+(O101/1000)*J101/5+R101/200)*200*I101*H101</f>
        <v/>
      </c>
      <c r="T101">
        <f>((E101*F101/25000)+((O101/1000)*J101*R101/2.5))*I101*H101</f>
        <v/>
      </c>
      <c r="U101">
        <f>(E101*F101*(O101/1000)*J101*R101*I101*H101)/12500000</f>
        <v/>
      </c>
      <c r="V101">
        <f>(S101+T101+U101)/3</f>
        <v/>
      </c>
      <c r="W101" s="5" t="n">
        <v>1400</v>
      </c>
      <c r="X101">
        <f>IFERROR(V101-W101,"")</f>
        <v/>
      </c>
      <c r="Y101">
        <f>IFERROR(ABS(X101)/MAX(W101,1),"")</f>
        <v/>
      </c>
      <c r="Z101">
        <f>IFERROR((W101-(((E101/100000+F101/100+R101/200)*200*I101*H101)+((E101*F101/25000)*I101*H101))/3)/(((J101/5)*200*I101*H101)+((J101*R101/2.5)*I101*H101)+((E101*F101*J101*R101*I101*H101)/12500000))/3*1000,"")</f>
        <v/>
      </c>
    </row>
    <row r="102">
      <c r="B102" s="6" t="inlineStr">
        <is>
          <t xml:space="preserve">  ↳ TSRPGTower</t>
        </is>
      </c>
      <c r="C102" s="6" t="inlineStr">
        <is>
          <t>Armament@PRIMARY</t>
        </is>
      </c>
      <c r="K102" s="5" t="n">
        <v>16000</v>
      </c>
      <c r="L102" s="5" t="n">
        <v>46</v>
      </c>
      <c r="M102" s="5" t="n">
        <v>1</v>
      </c>
      <c r="N102" s="5" t="n"/>
      <c r="O102" s="5" t="n">
        <v>8544</v>
      </c>
      <c r="P102" s="5" t="n">
        <v>1</v>
      </c>
      <c r="Q102">
        <f>L102+IF(M102&gt;1,N(N102)*(M102-1),0)</f>
        <v/>
      </c>
      <c r="R102">
        <f>IFERROR(K102*MAX(M102,1)/Q102*P102,0)</f>
        <v/>
      </c>
      <c r="AA102" s="6" t="inlineStr">
        <is>
          <t>^ShrapnelWeapon, ^HeavyCannon</t>
        </is>
      </c>
    </row>
    <row r="103">
      <c r="B103" s="6" t="inlineStr">
        <is>
          <t xml:space="preserve">  ↳ TSRPGTowerRail</t>
        </is>
      </c>
      <c r="C103" s="6" t="inlineStr">
        <is>
          <t>Armament@Upgrade</t>
        </is>
      </c>
      <c r="K103" s="5" t="n">
        <v>16000</v>
      </c>
      <c r="L103" s="5" t="n">
        <v>46</v>
      </c>
      <c r="M103" s="5" t="n">
        <v>1</v>
      </c>
      <c r="N103" s="5" t="n"/>
      <c r="O103" s="5" t="n">
        <v>8544</v>
      </c>
      <c r="P103" s="5" t="n">
        <v>1</v>
      </c>
      <c r="Q103">
        <f>L103+IF(M103&gt;1,N(N103)*(M103-1),0)</f>
        <v/>
      </c>
      <c r="R103">
        <f>IFERROR(K103*MAX(M103,1)/Q103*P103,0)</f>
        <v/>
      </c>
      <c r="AA103" s="6" t="inlineStr">
        <is>
          <t>^ShrapnelWeapon, ^HeavyCannon, ^RailgunWeapon</t>
        </is>
      </c>
    </row>
    <row r="104">
      <c r="A104" t="inlineStr">
        <is>
          <t>tiberiansun</t>
        </is>
      </c>
      <c r="B104" t="inlineStr">
        <is>
          <t>ts_gdi_samtower</t>
        </is>
      </c>
      <c r="C104" t="inlineStr">
        <is>
          <t>SAM Tower</t>
        </is>
      </c>
      <c r="D104" t="inlineStr"/>
      <c r="E104" s="5" t="n">
        <v>100000</v>
      </c>
      <c r="F104" s="5" t="n">
        <v>100</v>
      </c>
      <c r="G104" t="inlineStr">
        <is>
          <t>Light</t>
        </is>
      </c>
      <c r="H104" s="5" t="n">
        <v>1</v>
      </c>
      <c r="I104" s="5" t="n">
        <v>1</v>
      </c>
      <c r="J104" s="5" t="n">
        <v>1</v>
      </c>
      <c r="O104">
        <f>MAX(O105)</f>
        <v/>
      </c>
      <c r="R104">
        <f>R105</f>
        <v/>
      </c>
      <c r="S104">
        <f>(E104/100000+F104/100+(O104/1000)*J104/5+R104/200)*200*I104*H104</f>
        <v/>
      </c>
      <c r="T104">
        <f>((E104*F104/25000)+((O104/1000)*J104*R104/2.5))*I104*H104</f>
        <v/>
      </c>
      <c r="U104">
        <f>(E104*F104*(O104/1000)*J104*R104*I104*H104)/12500000</f>
        <v/>
      </c>
      <c r="V104">
        <f>(S104+T104+U104)/3</f>
        <v/>
      </c>
      <c r="W104" s="5" t="n">
        <v>800</v>
      </c>
      <c r="X104">
        <f>IFERROR(V104-W104,"")</f>
        <v/>
      </c>
      <c r="Y104">
        <f>IFERROR(ABS(X104)/MAX(W104,1),"")</f>
        <v/>
      </c>
      <c r="Z104">
        <f>IFERROR((W104-(((E104/100000+F104/100+R104/200)*200*I104*H104)+((E104*F104/25000)*I104*H104))/3)/(((J104/5)*200*I104*H104)+((J104*R104/2.5)*I104*H104)+((E104*F104*J104*R104*I104*H104)/12500000))/3*1000,"")</f>
        <v/>
      </c>
    </row>
    <row r="105">
      <c r="B105" s="6" t="inlineStr">
        <is>
          <t xml:space="preserve">  ↳ TSGDIRedEye</t>
        </is>
      </c>
      <c r="C105" s="6" t="inlineStr">
        <is>
          <t>Armament</t>
        </is>
      </c>
      <c r="K105" s="5" t="n">
        <v>8000</v>
      </c>
      <c r="L105" s="5" t="n">
        <v>30</v>
      </c>
      <c r="M105" s="5" t="n">
        <v>2</v>
      </c>
      <c r="N105" s="5" t="n">
        <v>4</v>
      </c>
      <c r="O105" s="5" t="n">
        <v>12440</v>
      </c>
      <c r="P105" s="5" t="n">
        <v>1</v>
      </c>
      <c r="Q105">
        <f>L105+IF(M105&gt;1,N(N105)*(M105-1),0)</f>
        <v/>
      </c>
      <c r="R105">
        <f>IFERROR(K105*MAX(M105,1)/Q105*P105,0)</f>
        <v/>
      </c>
      <c r="AA105" s="6" t="inlineStr">
        <is>
          <t>^HeavyMissile</t>
        </is>
      </c>
    </row>
    <row r="106">
      <c r="A106" t="inlineStr">
        <is>
          <t>tiberiansun</t>
        </is>
      </c>
      <c r="B106" t="inlineStr">
        <is>
          <t>ts_gdi_upgradecenter</t>
        </is>
      </c>
      <c r="C106" t="inlineStr">
        <is>
          <t>Upgrade Center</t>
        </is>
      </c>
      <c r="D106" t="inlineStr"/>
      <c r="E106" s="5" t="n">
        <v>1000000</v>
      </c>
      <c r="F106" s="5" t="n">
        <v>100</v>
      </c>
      <c r="G106" t="inlineStr">
        <is>
          <t>Concrete</t>
        </is>
      </c>
      <c r="H106" s="5" t="n">
        <v>1</v>
      </c>
      <c r="I106" s="5" t="n">
        <v>1</v>
      </c>
      <c r="J106" s="5" t="n">
        <v>1</v>
      </c>
      <c r="W106" s="5" t="n">
        <v>10000</v>
      </c>
    </row>
    <row r="107">
      <c r="A107" t="inlineStr">
        <is>
          <t>tiberiansun</t>
        </is>
      </c>
      <c r="B107" t="inlineStr">
        <is>
          <t>ts_gdi_vulcantower</t>
        </is>
      </c>
      <c r="C107" t="inlineStr">
        <is>
          <t>Vulcan Tower</t>
        </is>
      </c>
      <c r="D107" t="inlineStr"/>
      <c r="E107" s="5" t="n">
        <v>80000</v>
      </c>
      <c r="F107" s="5" t="n">
        <v>100</v>
      </c>
      <c r="G107" t="inlineStr">
        <is>
          <t>Concrete</t>
        </is>
      </c>
      <c r="H107" s="5" t="n">
        <v>1</v>
      </c>
      <c r="I107" s="5" t="n">
        <v>1</v>
      </c>
      <c r="J107" s="5" t="n">
        <v>1</v>
      </c>
      <c r="O107">
        <f>MAX(O108,O109)</f>
        <v/>
      </c>
      <c r="R107">
        <f>R108+R109</f>
        <v/>
      </c>
      <c r="S107">
        <f>(E107/100000+F107/100+(O107/1000)*J107/5+R107/200)*200*I107*H107</f>
        <v/>
      </c>
      <c r="T107">
        <f>((E107*F107/25000)+((O107/1000)*J107*R107/2.5))*I107*H107</f>
        <v/>
      </c>
      <c r="U107">
        <f>(E107*F107*(O107/1000)*J107*R107*I107*H107)/12500000</f>
        <v/>
      </c>
      <c r="V107">
        <f>(S107+T107+U107)/3</f>
        <v/>
      </c>
      <c r="W107" s="5" t="n">
        <v>600</v>
      </c>
      <c r="X107">
        <f>IFERROR(V107-W107,"")</f>
        <v/>
      </c>
      <c r="Y107">
        <f>IFERROR(ABS(X107)/MAX(W107,1),"")</f>
        <v/>
      </c>
      <c r="Z107">
        <f>IFERROR((W107-(((E107/100000+F107/100+R107/200)*200*I107*H107)+((E107*F107/25000)*I107*H107))/3)/(((J107/5)*200*I107*H107)+((J107*R107/2.5)*I107*H107)+((E107*F107*J107*R107*I107*H107)/12500000))/3*1000,"")</f>
        <v/>
      </c>
    </row>
    <row r="108">
      <c r="B108" s="6" t="inlineStr">
        <is>
          <t xml:space="preserve">  ↳ TSVulcanGun</t>
        </is>
      </c>
      <c r="C108" s="6" t="inlineStr">
        <is>
          <t>Armament@PRIMARY</t>
        </is>
      </c>
      <c r="K108" s="5" t="n">
        <v>4000</v>
      </c>
      <c r="L108" s="5" t="n">
        <v>48</v>
      </c>
      <c r="M108" s="5" t="n">
        <v>4</v>
      </c>
      <c r="N108" s="5" t="n">
        <v>2</v>
      </c>
      <c r="O108" s="5" t="n">
        <v>6809</v>
      </c>
      <c r="P108" s="5" t="n">
        <v>1</v>
      </c>
      <c r="Q108">
        <f>L108+IF(M108&gt;1,N(N108)*(M108-1),0)</f>
        <v/>
      </c>
      <c r="R108">
        <f>IFERROR(K108*MAX(M108,1)/Q108*P108,0)</f>
        <v/>
      </c>
      <c r="AA108" s="6" t="inlineStr">
        <is>
          <t>^SmallArms, ^Chaingun</t>
        </is>
      </c>
    </row>
    <row r="109">
      <c r="B109" s="6" t="inlineStr">
        <is>
          <t xml:space="preserve">  ↳ TSVulcanGunSonic</t>
        </is>
      </c>
      <c r="C109" s="6" t="inlineStr">
        <is>
          <t>Armament@Upgrade</t>
        </is>
      </c>
      <c r="K109" s="5" t="n">
        <v>4000</v>
      </c>
      <c r="L109" s="5" t="n">
        <v>66</v>
      </c>
      <c r="M109" s="5" t="n">
        <v>4</v>
      </c>
      <c r="N109" s="5" t="n">
        <v>2</v>
      </c>
      <c r="O109" s="5" t="n">
        <v>6809</v>
      </c>
      <c r="P109" s="5" t="n">
        <v>1</v>
      </c>
      <c r="Q109">
        <f>L109+IF(M109&gt;1,N(N109)*(M109-1),0)</f>
        <v/>
      </c>
      <c r="R109">
        <f>IFERROR(K109*MAX(M109,1)/Q109*P109,0)</f>
        <v/>
      </c>
      <c r="AA109" s="6" t="inlineStr">
        <is>
          <t>^SmallArms, ^Chaingun, ^TeslaWeapon, ^MagicWeapon, ^TSSonicGrenade</t>
        </is>
      </c>
    </row>
    <row r="110">
      <c r="A110" s="3" t="inlineStr">
        <is>
          <t>BUILDINGS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>
      <c r="A111" t="inlineStr">
        <is>
          <t>tiberiansun</t>
        </is>
      </c>
      <c r="B111" t="inlineStr">
        <is>
          <t>ts_gdi_barracks</t>
        </is>
      </c>
      <c r="C111" t="inlineStr">
        <is>
          <t>Barracks</t>
        </is>
      </c>
      <c r="D111" t="inlineStr"/>
      <c r="E111" s="5" t="n">
        <v>200000</v>
      </c>
      <c r="F111" s="5" t="n"/>
      <c r="G111" t="inlineStr">
        <is>
          <t>Wood</t>
        </is>
      </c>
      <c r="H111" s="5" t="n">
        <v>1</v>
      </c>
      <c r="I111" s="5" t="n">
        <v>1</v>
      </c>
      <c r="J111" s="5" t="n">
        <v>1</v>
      </c>
      <c r="W111" s="5" t="n">
        <v>500</v>
      </c>
    </row>
    <row r="112">
      <c r="A112" t="inlineStr">
        <is>
          <t>tiberiansun</t>
        </is>
      </c>
      <c r="B112" t="inlineStr">
        <is>
          <t>ts_gdi_constructionyard</t>
        </is>
      </c>
      <c r="C112" t="inlineStr">
        <is>
          <t>Construction Yard (GDI)</t>
        </is>
      </c>
      <c r="D112" t="inlineStr"/>
      <c r="E112" s="5" t="n">
        <v>1000000</v>
      </c>
      <c r="F112" s="5" t="n"/>
      <c r="G112" t="inlineStr">
        <is>
          <t>Concrete</t>
        </is>
      </c>
      <c r="H112" s="5" t="n">
        <v>1</v>
      </c>
      <c r="I112" s="5" t="n">
        <v>1</v>
      </c>
      <c r="J112" s="5" t="n">
        <v>1</v>
      </c>
      <c r="W112" s="5" t="n">
        <v>2500</v>
      </c>
    </row>
    <row r="113">
      <c r="A113" t="inlineStr">
        <is>
          <t>tiberiansun</t>
        </is>
      </c>
      <c r="B113" t="inlineStr">
        <is>
          <t>ts_gdi_helipad</t>
        </is>
      </c>
      <c r="C113" t="inlineStr">
        <is>
          <t>Helipad (GDI)</t>
        </is>
      </c>
      <c r="D113" t="inlineStr"/>
      <c r="E113" s="5" t="n">
        <v>300000</v>
      </c>
      <c r="F113" s="5" t="n"/>
      <c r="G113" t="inlineStr">
        <is>
          <t>Wood</t>
        </is>
      </c>
      <c r="H113" s="5" t="n">
        <v>1</v>
      </c>
      <c r="I113" s="5" t="n">
        <v>1</v>
      </c>
      <c r="J113" s="5" t="n">
        <v>1</v>
      </c>
      <c r="W113" s="5" t="n">
        <v>1000</v>
      </c>
    </row>
    <row r="114">
      <c r="A114" t="inlineStr">
        <is>
          <t>tiberiansun</t>
        </is>
      </c>
      <c r="B114" t="inlineStr">
        <is>
          <t>ts_gdi_powerplant</t>
        </is>
      </c>
      <c r="C114" t="inlineStr">
        <is>
          <t>GDI Power Plant</t>
        </is>
      </c>
      <c r="D114" t="inlineStr"/>
      <c r="E114" s="5" t="n">
        <v>150000</v>
      </c>
      <c r="F114" s="5" t="n"/>
      <c r="G114" t="inlineStr">
        <is>
          <t>Wood</t>
        </is>
      </c>
      <c r="H114" s="5" t="n">
        <v>1</v>
      </c>
      <c r="I114" s="5" t="n">
        <v>1</v>
      </c>
      <c r="J114" s="5" t="n">
        <v>1</v>
      </c>
      <c r="W114" s="5" t="n">
        <v>500</v>
      </c>
    </row>
    <row r="115">
      <c r="A115" t="inlineStr">
        <is>
          <t>tiberiansun</t>
        </is>
      </c>
      <c r="B115" t="inlineStr">
        <is>
          <t>ts_gdi_powerturbine</t>
        </is>
      </c>
      <c r="C115" t="inlineStr">
        <is>
          <t>Power Turbine</t>
        </is>
      </c>
      <c r="D115" t="inlineStr"/>
      <c r="E115" s="5" t="n"/>
      <c r="F115" s="5" t="n"/>
      <c r="H115" s="5" t="n">
        <v>1</v>
      </c>
      <c r="I115" s="5" t="n">
        <v>1</v>
      </c>
      <c r="J115" s="5" t="n">
        <v>1</v>
      </c>
      <c r="W115" s="5" t="n">
        <v>500</v>
      </c>
    </row>
    <row r="116">
      <c r="A116" t="inlineStr">
        <is>
          <t>tiberiansun</t>
        </is>
      </c>
      <c r="B116" t="inlineStr">
        <is>
          <t>ts_gdi_radar</t>
        </is>
      </c>
      <c r="C116" t="inlineStr">
        <is>
          <t>Radar</t>
        </is>
      </c>
      <c r="D116" t="inlineStr"/>
      <c r="E116" s="5" t="n">
        <v>250000</v>
      </c>
      <c r="F116" s="5" t="n"/>
      <c r="G116" t="inlineStr">
        <is>
          <t>Wood</t>
        </is>
      </c>
      <c r="H116" s="5" t="n">
        <v>1</v>
      </c>
      <c r="I116" s="5" t="n">
        <v>1</v>
      </c>
      <c r="J116" s="5" t="n">
        <v>1</v>
      </c>
      <c r="W116" s="5" t="n">
        <v>1000</v>
      </c>
    </row>
    <row r="117">
      <c r="A117" t="inlineStr">
        <is>
          <t>tiberiansun</t>
        </is>
      </c>
      <c r="B117" t="inlineStr">
        <is>
          <t>ts_gdi_servicedepot</t>
        </is>
      </c>
      <c r="C117" t="inlineStr">
        <is>
          <t>Service Depot</t>
        </is>
      </c>
      <c r="D117" t="inlineStr"/>
      <c r="E117" s="5" t="n">
        <v>250000</v>
      </c>
      <c r="F117" s="5" t="n"/>
      <c r="G117" t="inlineStr">
        <is>
          <t>Concrete</t>
        </is>
      </c>
      <c r="H117" s="5" t="n">
        <v>1</v>
      </c>
      <c r="I117" s="5" t="n">
        <v>1</v>
      </c>
      <c r="J117" s="5" t="n">
        <v>1</v>
      </c>
      <c r="W117" s="5" t="n">
        <v>800</v>
      </c>
    </row>
    <row r="118">
      <c r="A118" t="inlineStr">
        <is>
          <t>tiberiansun</t>
        </is>
      </c>
      <c r="B118" t="inlineStr">
        <is>
          <t>ts_gdi_silo</t>
        </is>
      </c>
      <c r="C118" t="inlineStr">
        <is>
          <t>Silo</t>
        </is>
      </c>
      <c r="D118" t="inlineStr"/>
      <c r="E118" s="5" t="n">
        <v>100000</v>
      </c>
      <c r="F118" s="5" t="n"/>
      <c r="G118" t="inlineStr">
        <is>
          <t>Wood</t>
        </is>
      </c>
      <c r="H118" s="5" t="n">
        <v>1</v>
      </c>
      <c r="I118" s="5" t="n">
        <v>1</v>
      </c>
      <c r="J118" s="5" t="n">
        <v>1</v>
      </c>
      <c r="W118" s="5" t="n">
        <v>150</v>
      </c>
    </row>
    <row r="119">
      <c r="A119" t="inlineStr">
        <is>
          <t>tiberiansun</t>
        </is>
      </c>
      <c r="B119" t="inlineStr">
        <is>
          <t>ts_gdi_techcenter</t>
        </is>
      </c>
      <c r="C119" t="inlineStr">
        <is>
          <t>GDI Tech Center</t>
        </is>
      </c>
      <c r="D119" t="inlineStr"/>
      <c r="E119" s="5" t="n">
        <v>500000</v>
      </c>
      <c r="F119" s="5" t="n"/>
      <c r="G119" t="inlineStr">
        <is>
          <t>Wood</t>
        </is>
      </c>
      <c r="H119" s="5" t="n">
        <v>1</v>
      </c>
      <c r="I119" s="5" t="n">
        <v>1</v>
      </c>
      <c r="J119" s="5" t="n">
        <v>1</v>
      </c>
      <c r="W119" s="5" t="n">
        <v>5000</v>
      </c>
    </row>
    <row r="120">
      <c r="A120" t="inlineStr">
        <is>
          <t>tiberiansun</t>
        </is>
      </c>
      <c r="B120" t="inlineStr">
        <is>
          <t>ts_gdi_tiberiumrefinery</t>
        </is>
      </c>
      <c r="C120" t="inlineStr">
        <is>
          <t>Tiberium Refinery</t>
        </is>
      </c>
      <c r="D120" t="inlineStr"/>
      <c r="E120" s="5" t="n">
        <v>300000</v>
      </c>
      <c r="F120" s="5" t="n"/>
      <c r="G120" t="inlineStr">
        <is>
          <t>Concrete</t>
        </is>
      </c>
      <c r="H120" s="5" t="n">
        <v>1</v>
      </c>
      <c r="I120" s="5" t="n">
        <v>1</v>
      </c>
      <c r="J120" s="5" t="n">
        <v>1</v>
      </c>
      <c r="W120" s="5" t="n">
        <v>3000</v>
      </c>
    </row>
    <row r="121">
      <c r="A121" t="inlineStr">
        <is>
          <t>tiberiansun</t>
        </is>
      </c>
      <c r="B121" t="inlineStr">
        <is>
          <t>ts_gdi_warfactory</t>
        </is>
      </c>
      <c r="C121" t="inlineStr">
        <is>
          <t>GDI War Factory</t>
        </is>
      </c>
      <c r="D121" t="inlineStr"/>
      <c r="E121" s="5" t="n">
        <v>400000</v>
      </c>
      <c r="F121" s="5" t="n"/>
      <c r="G121" t="inlineStr">
        <is>
          <t>Concrete</t>
        </is>
      </c>
      <c r="H121" s="5" t="n">
        <v>1</v>
      </c>
      <c r="I121" s="5" t="n">
        <v>1</v>
      </c>
      <c r="J121" s="5" t="n">
        <v>1</v>
      </c>
      <c r="W121" s="5" t="n">
        <v>2000</v>
      </c>
    </row>
    <row r="122">
      <c r="A122" s="3" t="inlineStr">
        <is>
          <t>UPGRADES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>
      <c r="A123" t="inlineStr">
        <is>
          <t>tiberiansun</t>
        </is>
      </c>
      <c r="B123" t="inlineStr">
        <is>
          <t>ts_gdi_upgrade_ceramicarmor</t>
        </is>
      </c>
      <c r="C123" t="inlineStr">
        <is>
          <t>Ceramic Armor</t>
        </is>
      </c>
      <c r="D123" t="inlineStr"/>
      <c r="E123" s="5" t="n"/>
      <c r="F123" s="5" t="n"/>
      <c r="H123" s="5" t="n">
        <v>1</v>
      </c>
      <c r="I123" s="5" t="n">
        <v>1</v>
      </c>
      <c r="J123" s="5" t="n">
        <v>1</v>
      </c>
      <c r="W123" s="5" t="n">
        <v>7500</v>
      </c>
    </row>
    <row r="124">
      <c r="A124" t="inlineStr">
        <is>
          <t>tiberiansun</t>
        </is>
      </c>
      <c r="B124" t="inlineStr">
        <is>
          <t>ts_gdi_upgrade_mechanicalreliability</t>
        </is>
      </c>
      <c r="C124" t="inlineStr">
        <is>
          <t>Mechanical Reliability</t>
        </is>
      </c>
      <c r="D124" t="inlineStr"/>
      <c r="E124" s="5" t="n"/>
      <c r="F124" s="5" t="n"/>
      <c r="H124" s="5" t="n">
        <v>1</v>
      </c>
      <c r="I124" s="5" t="n">
        <v>1</v>
      </c>
      <c r="J124" s="5" t="n">
        <v>1</v>
      </c>
      <c r="W124" s="5" t="n">
        <v>5000</v>
      </c>
    </row>
    <row r="125">
      <c r="A125" t="inlineStr">
        <is>
          <t>tiberiansun</t>
        </is>
      </c>
      <c r="B125" t="inlineStr">
        <is>
          <t>ts_gdi_upgrade_mechengineering</t>
        </is>
      </c>
      <c r="C125" t="inlineStr">
        <is>
          <t>Mech Engineering</t>
        </is>
      </c>
      <c r="D125" t="inlineStr"/>
      <c r="E125" s="5" t="n"/>
      <c r="F125" s="5" t="n"/>
      <c r="H125" s="5" t="n">
        <v>1</v>
      </c>
      <c r="I125" s="5" t="n">
        <v>1</v>
      </c>
      <c r="J125" s="5" t="n">
        <v>1</v>
      </c>
      <c r="W125" s="5" t="n">
        <v>7500</v>
      </c>
    </row>
    <row r="126">
      <c r="A126" t="inlineStr">
        <is>
          <t>tiberiansun</t>
        </is>
      </c>
      <c r="B126" t="inlineStr">
        <is>
          <t>ts_gdi_upgrade_modernfirecontrolsystems</t>
        </is>
      </c>
      <c r="C126" t="inlineStr">
        <is>
          <t>Modern Fire Control Systems</t>
        </is>
      </c>
      <c r="D126" t="inlineStr"/>
      <c r="E126" s="5" t="n"/>
      <c r="F126" s="5" t="n"/>
      <c r="H126" s="5" t="n">
        <v>1</v>
      </c>
      <c r="I126" s="5" t="n">
        <v>1</v>
      </c>
      <c r="J126" s="5" t="n">
        <v>1</v>
      </c>
      <c r="W126" s="5" t="n">
        <v>12500</v>
      </c>
    </row>
    <row r="127">
      <c r="A127" t="inlineStr">
        <is>
          <t>tiberiansun</t>
        </is>
      </c>
      <c r="B127" t="inlineStr">
        <is>
          <t>ts_gdi_upgrade_modernfirecontrolsystems_proxy_actor</t>
        </is>
      </c>
      <c r="C127" t="inlineStr">
        <is>
          <t>Modern Fire Control Systems</t>
        </is>
      </c>
      <c r="D127" t="inlineStr"/>
      <c r="E127" s="5" t="n"/>
      <c r="F127" s="5" t="n"/>
      <c r="H127" s="5" t="n">
        <v>1</v>
      </c>
      <c r="I127" s="5" t="n">
        <v>1</v>
      </c>
      <c r="J127" s="5" t="n">
        <v>1</v>
      </c>
      <c r="W127" s="5" t="n"/>
    </row>
    <row r="128">
      <c r="A128" t="inlineStr">
        <is>
          <t>tiberiansun</t>
        </is>
      </c>
      <c r="B128" t="inlineStr">
        <is>
          <t>ts_gdi_upgrade_projectileimprovements</t>
        </is>
      </c>
      <c r="C128" t="inlineStr">
        <is>
          <t>Projectile Improvements</t>
        </is>
      </c>
      <c r="D128" t="inlineStr"/>
      <c r="E128" s="5" t="n"/>
      <c r="F128" s="5" t="n"/>
      <c r="H128" s="5" t="n">
        <v>1</v>
      </c>
      <c r="I128" s="5" t="n">
        <v>1</v>
      </c>
      <c r="J128" s="5" t="n">
        <v>1</v>
      </c>
      <c r="W128" s="5" t="n">
        <v>5000</v>
      </c>
    </row>
    <row r="129">
      <c r="A129" t="inlineStr">
        <is>
          <t>tiberiansun</t>
        </is>
      </c>
      <c r="B129" t="inlineStr">
        <is>
          <t>ts_gdi_upgrade_railgunweaponry</t>
        </is>
      </c>
      <c r="C129" t="inlineStr">
        <is>
          <t>Railgun Weaponry</t>
        </is>
      </c>
      <c r="D129" t="inlineStr"/>
      <c r="E129" s="5" t="n"/>
      <c r="F129" s="5" t="n"/>
      <c r="H129" s="5" t="n">
        <v>1</v>
      </c>
      <c r="I129" s="5" t="n">
        <v>1</v>
      </c>
      <c r="J129" s="5" t="n">
        <v>1</v>
      </c>
      <c r="W129" s="5" t="n">
        <v>10000</v>
      </c>
    </row>
    <row r="130">
      <c r="A130" t="inlineStr">
        <is>
          <t>tiberiansun</t>
        </is>
      </c>
      <c r="B130" t="inlineStr">
        <is>
          <t>ts_gdi_upgrade_seretraining</t>
        </is>
      </c>
      <c r="C130" t="inlineStr">
        <is>
          <t>SERE Training</t>
        </is>
      </c>
      <c r="D130" t="inlineStr"/>
      <c r="E130" s="5" t="n"/>
      <c r="F130" s="5" t="n"/>
      <c r="H130" s="5" t="n">
        <v>1</v>
      </c>
      <c r="I130" s="5" t="n">
        <v>1</v>
      </c>
      <c r="J130" s="5" t="n">
        <v>1</v>
      </c>
      <c r="W130" s="5" t="n">
        <v>5000</v>
      </c>
    </row>
    <row r="131">
      <c r="A131" t="inlineStr">
        <is>
          <t>tiberiansun</t>
        </is>
      </c>
      <c r="B131" t="inlineStr">
        <is>
          <t>ts_gdi_upgrade_sonicweaponry</t>
        </is>
      </c>
      <c r="C131" t="inlineStr">
        <is>
          <t>Sonic Weaponry</t>
        </is>
      </c>
      <c r="D131" t="inlineStr"/>
      <c r="E131" s="5" t="n"/>
      <c r="F131" s="5" t="n"/>
      <c r="H131" s="5" t="n">
        <v>1</v>
      </c>
      <c r="I131" s="5" t="n">
        <v>1</v>
      </c>
      <c r="J131" s="5" t="n">
        <v>1</v>
      </c>
      <c r="W131" s="5" t="n">
        <v>7500</v>
      </c>
    </row>
    <row r="132">
      <c r="A132" s="3" t="inlineStr">
        <is>
          <t>PROMOTIONS</t>
        </is>
      </c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>
      <c r="A133" t="inlineStr">
        <is>
          <t>tiberiansun</t>
        </is>
      </c>
      <c r="B133" t="inlineStr">
        <is>
          <t>ts_gdi_promotion_unlockhammerhead</t>
        </is>
      </c>
      <c r="C133" t="inlineStr">
        <is>
          <t>Unlock Hammerhead</t>
        </is>
      </c>
      <c r="D133" t="inlineStr"/>
      <c r="E133" s="5" t="n"/>
      <c r="F133" s="5" t="n"/>
      <c r="H133" s="5" t="n">
        <v>1</v>
      </c>
      <c r="I133" s="5" t="n">
        <v>1</v>
      </c>
      <c r="J133" s="5" t="n">
        <v>1</v>
      </c>
      <c r="W133" s="5" t="n"/>
    </row>
    <row r="134">
      <c r="A134" t="inlineStr">
        <is>
          <t>tiberiansun</t>
        </is>
      </c>
      <c r="B134" t="inlineStr">
        <is>
          <t>ts_gdi_promotion_unlockjuggernautmkii</t>
        </is>
      </c>
      <c r="C134" t="inlineStr">
        <is>
          <t>Unlock Juggernaut MKII</t>
        </is>
      </c>
      <c r="D134" t="inlineStr"/>
      <c r="E134" s="5" t="n"/>
      <c r="F134" s="5" t="n"/>
      <c r="H134" s="5" t="n">
        <v>1</v>
      </c>
      <c r="I134" s="5" t="n">
        <v>1</v>
      </c>
      <c r="J134" s="5" t="n">
        <v>1</v>
      </c>
      <c r="W134" s="5" t="n"/>
    </row>
    <row r="135">
      <c r="A135" t="inlineStr">
        <is>
          <t>tiberiansun</t>
        </is>
      </c>
      <c r="B135" t="inlineStr">
        <is>
          <t>ts_gdi_promotion_unlockkodiak</t>
        </is>
      </c>
      <c r="C135" t="inlineStr">
        <is>
          <t>Unlock Kodiak</t>
        </is>
      </c>
      <c r="D135" t="inlineStr"/>
      <c r="E135" s="5" t="n"/>
      <c r="F135" s="5" t="n"/>
      <c r="H135" s="5" t="n">
        <v>1</v>
      </c>
      <c r="I135" s="5" t="n">
        <v>1</v>
      </c>
      <c r="J135" s="5" t="n">
        <v>1</v>
      </c>
      <c r="W135" s="5" t="n"/>
    </row>
    <row r="136">
      <c r="A136" t="inlineStr">
        <is>
          <t>tiberiansun</t>
        </is>
      </c>
      <c r="B136" t="inlineStr">
        <is>
          <t>ts_gdi_promotion_unlockmammothmkii</t>
        </is>
      </c>
      <c r="C136" t="inlineStr">
        <is>
          <t>Unlock Mammoth MKII</t>
        </is>
      </c>
      <c r="D136" t="inlineStr"/>
      <c r="E136" s="5" t="n"/>
      <c r="F136" s="5" t="n"/>
      <c r="H136" s="5" t="n">
        <v>1</v>
      </c>
      <c r="I136" s="5" t="n">
        <v>1</v>
      </c>
      <c r="J136" s="5" t="n">
        <v>1</v>
      </c>
      <c r="W136" s="5" t="n"/>
    </row>
    <row r="137">
      <c r="A137" t="inlineStr">
        <is>
          <t>tiberiansun</t>
        </is>
      </c>
      <c r="B137" t="inlineStr">
        <is>
          <t>ts_gdi_promotion_unlocktitanmkii</t>
        </is>
      </c>
      <c r="C137" t="inlineStr">
        <is>
          <t>Unlock Titan MKII</t>
        </is>
      </c>
      <c r="D137" t="inlineStr"/>
      <c r="E137" s="5" t="n"/>
      <c r="F137" s="5" t="n"/>
      <c r="H137" s="5" t="n">
        <v>1</v>
      </c>
      <c r="I137" s="5" t="n">
        <v>1</v>
      </c>
      <c r="J137" s="5" t="n">
        <v>1</v>
      </c>
      <c r="W137" s="5" t="n"/>
    </row>
    <row r="138">
      <c r="A138" t="inlineStr">
        <is>
          <t>tiberiansun</t>
        </is>
      </c>
      <c r="B138" t="inlineStr">
        <is>
          <t>ts_gdi_promotion_unlockwolverinemkii</t>
        </is>
      </c>
      <c r="C138" t="inlineStr">
        <is>
          <t>Unlock Wolverine MKII</t>
        </is>
      </c>
      <c r="D138" t="inlineStr"/>
      <c r="E138" s="5" t="n"/>
      <c r="F138" s="5" t="n"/>
      <c r="H138" s="5" t="n">
        <v>1</v>
      </c>
      <c r="I138" s="5" t="n">
        <v>1</v>
      </c>
      <c r="J138" s="5" t="n">
        <v>1</v>
      </c>
      <c r="W138" s="5" t="n"/>
    </row>
    <row r="139">
      <c r="A139" t="inlineStr">
        <is>
          <t>tiberiansun</t>
        </is>
      </c>
      <c r="B139" t="inlineStr">
        <is>
          <t>ts_gdi_promotion_unlockzoneorca</t>
        </is>
      </c>
      <c r="C139" t="inlineStr">
        <is>
          <t>Unlock Zone Orca</t>
        </is>
      </c>
      <c r="D139" t="inlineStr"/>
      <c r="E139" s="5" t="n"/>
      <c r="F139" s="5" t="n"/>
      <c r="H139" s="5" t="n">
        <v>1</v>
      </c>
      <c r="I139" s="5" t="n">
        <v>1</v>
      </c>
      <c r="J139" s="5" t="n">
        <v>1</v>
      </c>
      <c r="W139" s="5" t="n"/>
    </row>
    <row r="140">
      <c r="A140" t="inlineStr">
        <is>
          <t>tiberiansun</t>
        </is>
      </c>
      <c r="B140" t="inlineStr">
        <is>
          <t>ts_gdi_promotion_unlockzonetrooper</t>
        </is>
      </c>
      <c r="C140" t="inlineStr">
        <is>
          <t>Unlock Zone Trooper</t>
        </is>
      </c>
      <c r="D140" t="inlineStr"/>
      <c r="E140" s="5" t="n"/>
      <c r="F140" s="5" t="n"/>
      <c r="H140" s="5" t="n">
        <v>1</v>
      </c>
      <c r="I140" s="5" t="n">
        <v>1</v>
      </c>
      <c r="J140" s="5" t="n">
        <v>1</v>
      </c>
      <c r="W140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141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A11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tiberiansun</t>
        </is>
      </c>
      <c r="B3" t="inlineStr">
        <is>
          <t>ts_nod_chameleonspy</t>
        </is>
      </c>
      <c r="C3" t="inlineStr">
        <is>
          <t>Chameleon Spy</t>
        </is>
      </c>
      <c r="D3" t="inlineStr"/>
      <c r="E3" s="5" t="n">
        <v>30000</v>
      </c>
      <c r="F3" s="5" t="n">
        <v>90</v>
      </c>
      <c r="G3" t="inlineStr">
        <is>
          <t>Plate</t>
        </is>
      </c>
      <c r="H3" s="5" t="n">
        <v>1</v>
      </c>
      <c r="I3" s="5" t="n">
        <v>1</v>
      </c>
      <c r="J3" s="5" t="n">
        <v>1</v>
      </c>
      <c r="O3">
        <f>MAX(O4)</f>
        <v/>
      </c>
      <c r="R3">
        <f>R4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500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ChamBlade</t>
        </is>
      </c>
      <c r="C4" s="6" t="inlineStr">
        <is>
          <t>Armament@PRIMARY</t>
        </is>
      </c>
      <c r="K4" s="5" t="n">
        <v>50000</v>
      </c>
      <c r="L4" s="5" t="n">
        <v>52</v>
      </c>
      <c r="M4" s="5" t="n">
        <v>1</v>
      </c>
      <c r="N4" s="5" t="n"/>
      <c r="O4" s="5" t="n">
        <v>1538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^SniperWeapon</t>
        </is>
      </c>
    </row>
    <row r="5">
      <c r="A5" t="inlineStr">
        <is>
          <t>tiberiansun</t>
        </is>
      </c>
      <c r="B5" t="inlineStr">
        <is>
          <t>ts_nod_elitecadre</t>
        </is>
      </c>
      <c r="C5" t="inlineStr">
        <is>
          <t>Elite Cadre</t>
        </is>
      </c>
      <c r="D5" t="inlineStr"/>
      <c r="E5" s="5" t="n">
        <v>20000</v>
      </c>
      <c r="F5" s="5" t="n">
        <v>55</v>
      </c>
      <c r="G5" t="inlineStr">
        <is>
          <t>Flak</t>
        </is>
      </c>
      <c r="H5" s="5" t="n">
        <v>1</v>
      </c>
      <c r="I5" s="5" t="n">
        <v>1</v>
      </c>
      <c r="J5" s="5" t="n">
        <v>1</v>
      </c>
      <c r="O5">
        <f>MAX(O6,O7,O10)</f>
        <v/>
      </c>
      <c r="R5">
        <f>R6+R7+R10</f>
        <v/>
      </c>
      <c r="S5">
        <f>(E5/100000+F5/100+(O5/1000)*J5/5+R5/200)*200*I5*H5</f>
        <v/>
      </c>
      <c r="T5">
        <f>((E5*F5/25000)+((O5/1000)*J5*R5/2.5))*I5*H5</f>
        <v/>
      </c>
      <c r="U5">
        <f>(E5*F5*(O5/1000)*J5*R5*I5*H5)/12500000</f>
        <v/>
      </c>
      <c r="V5">
        <f>(S5+T5+U5)/3</f>
        <v/>
      </c>
      <c r="W5" s="5" t="n">
        <v>450</v>
      </c>
      <c r="X5">
        <f>IFERROR(V5-W5,"")</f>
        <v/>
      </c>
      <c r="Y5">
        <f>IFERROR(ABS(X5)/MAX(W5,1),"")</f>
        <v/>
      </c>
      <c r="Z5">
        <f>IFERROR((W5-(((E5/100000+F5/100+R5/200)*200*I5*H5)+((E5*F5/25000)*I5*H5))/3)/(((J5/5)*200*I5*H5)+((J5*R5/2.5)*I5*H5)+((E5*F5*J5*R5*I5*H5)/12500000))/3*1000,"")</f>
        <v/>
      </c>
    </row>
    <row r="6">
      <c r="B6" s="6" t="inlineStr">
        <is>
          <t xml:space="preserve">  ↳ elitecadregun</t>
        </is>
      </c>
      <c r="C6" s="6" t="inlineStr">
        <is>
          <t>Armament@PRIMARY</t>
        </is>
      </c>
      <c r="K6" s="5" t="n">
        <v>2000</v>
      </c>
      <c r="L6" s="5" t="n">
        <v>52</v>
      </c>
      <c r="M6" s="5" t="n">
        <v>5</v>
      </c>
      <c r="N6" s="5" t="n">
        <v>2</v>
      </c>
      <c r="O6" s="5" t="n">
        <v>6591</v>
      </c>
      <c r="P6" s="5" t="n">
        <v>1</v>
      </c>
      <c r="Q6">
        <f>L6+IF(M6&gt;1,N(N6)*(M6-1),0)</f>
        <v/>
      </c>
      <c r="R6">
        <f>IFERROR(K6*MAX(M6,1)/Q6*P6,0)</f>
        <v/>
      </c>
      <c r="AA6" s="6" t="inlineStr">
        <is>
          <t>^SmallArms, ^Chaingun</t>
        </is>
      </c>
    </row>
    <row r="7">
      <c r="B7" s="6" t="inlineStr">
        <is>
          <t xml:space="preserve">  ↳ laserelitecadregun</t>
        </is>
      </c>
      <c r="C7" s="6" t="inlineStr">
        <is>
          <t>Armament@UPGRADE</t>
        </is>
      </c>
      <c r="K7" s="5" t="n">
        <v>2000</v>
      </c>
      <c r="L7" s="5" t="n">
        <v>50</v>
      </c>
      <c r="M7" s="5" t="n">
        <v>5</v>
      </c>
      <c r="N7" s="5" t="n">
        <v>2</v>
      </c>
      <c r="O7" s="5" t="n">
        <v>6677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^SmallArms, ^Chaingun, ^LaserWeapon, ^TSLaserEffect</t>
        </is>
      </c>
    </row>
    <row r="8">
      <c r="B8" s="6" t="inlineStr">
        <is>
          <t xml:space="preserve">  ↳ elitecadregun</t>
        </is>
      </c>
      <c r="C8" s="6" t="inlineStr">
        <is>
          <t>Armament@GARRISONED</t>
        </is>
      </c>
      <c r="K8" s="5" t="n">
        <v>2000</v>
      </c>
      <c r="L8" s="5" t="n">
        <v>52</v>
      </c>
      <c r="M8" s="5" t="n">
        <v>5</v>
      </c>
      <c r="N8" s="5" t="n">
        <v>2</v>
      </c>
      <c r="O8" s="5" t="n">
        <v>6591</v>
      </c>
      <c r="P8" s="5" t="n">
        <v>1</v>
      </c>
      <c r="Q8">
        <f>L8+IF(M8&gt;1,N(N8)*(M8-1),0)</f>
        <v/>
      </c>
      <c r="R8">
        <f>IFERROR(K8*MAX(M8,1)/Q8*P8,0)</f>
        <v/>
      </c>
      <c r="AA8" s="6" t="inlineStr">
        <is>
          <t>^SmallArms, ^Chaingun</t>
        </is>
      </c>
    </row>
    <row r="9">
      <c r="B9" s="6" t="inlineStr">
        <is>
          <t xml:space="preserve">  ↳ laserelitecadregun</t>
        </is>
      </c>
      <c r="C9" s="6" t="inlineStr">
        <is>
          <t>Armament@GARRISONEDUPGRADE</t>
        </is>
      </c>
      <c r="K9" s="5" t="n">
        <v>2000</v>
      </c>
      <c r="L9" s="5" t="n">
        <v>50</v>
      </c>
      <c r="M9" s="5" t="n">
        <v>5</v>
      </c>
      <c r="N9" s="5" t="n">
        <v>2</v>
      </c>
      <c r="O9" s="5" t="n">
        <v>6677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>
        <is>
          <t>^SmallArms, ^Chaingun, ^LaserWeapon, ^TSLaserEffect</t>
        </is>
      </c>
    </row>
    <row r="10">
      <c r="B10" s="6" t="inlineStr">
        <is>
          <t xml:space="preserve">  ↳ TSCadreGrenade</t>
        </is>
      </c>
      <c r="C10" s="6" t="inlineStr">
        <is>
          <t>Armament@SECONDARY</t>
        </is>
      </c>
      <c r="K10" s="5" t="n">
        <v>36000</v>
      </c>
      <c r="L10" s="5" t="n">
        <v>124</v>
      </c>
      <c r="M10" s="5" t="n">
        <v>1</v>
      </c>
      <c r="N10" s="5" t="n"/>
      <c r="O10" s="5" t="n">
        <v>6623</v>
      </c>
      <c r="P10" s="5" t="n">
        <v>1</v>
      </c>
      <c r="Q10">
        <f>L10+IF(M10&gt;1,N(N10)*(M10-1),0)</f>
        <v/>
      </c>
      <c r="R10">
        <f>IFERROR(K10*MAX(M10,1)/Q10*P10,0)</f>
        <v/>
      </c>
      <c r="AA10" s="6" t="inlineStr">
        <is>
          <t>^Grenade</t>
        </is>
      </c>
    </row>
    <row r="11">
      <c r="B11" s="6" t="inlineStr">
        <is>
          <t xml:space="preserve">  ↳ TSCadreGrenade</t>
        </is>
      </c>
      <c r="C11" s="6" t="inlineStr">
        <is>
          <t>Armament@GARRISONEDSECONDARY</t>
        </is>
      </c>
      <c r="K11" s="5" t="n">
        <v>36000</v>
      </c>
      <c r="L11" s="5" t="n">
        <v>124</v>
      </c>
      <c r="M11" s="5" t="n">
        <v>1</v>
      </c>
      <c r="N11" s="5" t="n"/>
      <c r="O11" s="5" t="n">
        <v>6623</v>
      </c>
      <c r="P11" s="5" t="n">
        <v>1</v>
      </c>
      <c r="Q11">
        <f>L11+IF(M11&gt;1,N(N11)*(M11-1),0)</f>
        <v/>
      </c>
      <c r="R11">
        <f>IFERROR(K11*MAX(M11,1)/Q11*P11,0)</f>
        <v/>
      </c>
      <c r="AA11" s="6" t="inlineStr">
        <is>
          <t>^Grenade</t>
        </is>
      </c>
    </row>
    <row r="12">
      <c r="A12" t="inlineStr">
        <is>
          <t>tiberiansun</t>
        </is>
      </c>
      <c r="B12" t="inlineStr">
        <is>
          <t>ts_nod_engineer</t>
        </is>
      </c>
      <c r="C12" t="inlineStr">
        <is>
          <t>Engineer</t>
        </is>
      </c>
      <c r="D12" t="inlineStr"/>
      <c r="E12" s="5" t="n">
        <v>10000</v>
      </c>
      <c r="F12" s="5" t="n">
        <v>55</v>
      </c>
      <c r="G12" t="inlineStr">
        <is>
          <t>Flak</t>
        </is>
      </c>
      <c r="H12" s="5" t="n">
        <v>1</v>
      </c>
      <c r="I12" s="5" t="n">
        <v>1</v>
      </c>
      <c r="J12" s="5" t="n">
        <v>1</v>
      </c>
      <c r="O12">
        <f>MAX(O13,O14,O15)</f>
        <v/>
      </c>
      <c r="R12">
        <f>R13+R14+R15</f>
        <v/>
      </c>
      <c r="S12">
        <f>(E12/100000+F12/100+(O12/1000)*J12/5+R12/200)*200*I12*H12</f>
        <v/>
      </c>
      <c r="T12">
        <f>((E12*F12/25000)+((O12/1000)*J12*R12/2.5))*I12*H12</f>
        <v/>
      </c>
      <c r="U12">
        <f>(E12*F12*(O12/1000)*J12*R12*I12*H12)/12500000</f>
        <v/>
      </c>
      <c r="V12">
        <f>(S12+T12+U12)/3</f>
        <v/>
      </c>
      <c r="W12" s="5" t="n">
        <v>600</v>
      </c>
      <c r="X12">
        <f>IFERROR(V12-W12,"")</f>
        <v/>
      </c>
      <c r="Y12">
        <f>IFERROR(ABS(X12)/MAX(W12,1),"")</f>
        <v/>
      </c>
      <c r="Z12">
        <f>IFERROR((W12-(((E12/100000+F12/100+R12/200)*200*I12*H12)+((E12*F12/25000)*I12*H12))/3)/(((J12/5)*200*I12*H12)+((J12*R12/2.5)*I12*H12)+((E12*F12*J12*R12*I12*H12)/12500000))/3*1000,"")</f>
        <v/>
      </c>
    </row>
    <row r="13">
      <c r="B13" s="6" t="inlineStr">
        <is>
          <t xml:space="preserve">  ↳ DefuseKit</t>
        </is>
      </c>
      <c r="C13" s="6" t="inlineStr">
        <is>
          <t>Armament@defuse</t>
        </is>
      </c>
      <c r="K13" s="5" t="n"/>
      <c r="L13" s="5" t="n">
        <v>20</v>
      </c>
      <c r="M13" s="5" t="n">
        <v>1</v>
      </c>
      <c r="N13" s="5" t="n"/>
      <c r="O13" s="5" t="n">
        <v>1536</v>
      </c>
      <c r="P13" s="5" t="n">
        <v>1</v>
      </c>
      <c r="Q13">
        <f>L13+IF(M13&gt;1,N(N13)*(M13-1),0)</f>
        <v/>
      </c>
      <c r="R13">
        <f>IFERROR(K13*MAX(M13,1)/Q13*P13,0)</f>
        <v/>
      </c>
      <c r="AA13" s="6" t="inlineStr">
        <is>
          <t>^RemovesIvanBombs, ^RemovesTerrorDrone</t>
        </is>
      </c>
    </row>
    <row r="14">
      <c r="B14" s="6" t="inlineStr">
        <is>
          <t xml:space="preserve">  ↳ LeechDisinfect</t>
        </is>
      </c>
      <c r="C14" s="6" t="inlineStr">
        <is>
          <t>Armament@leechdisinfect</t>
        </is>
      </c>
      <c r="K14" s="5" t="n"/>
      <c r="L14" s="5" t="n">
        <v>100</v>
      </c>
      <c r="M14" s="5" t="n">
        <v>1</v>
      </c>
      <c r="N14" s="5" t="n"/>
      <c r="O14" s="5" t="n">
        <v>1536</v>
      </c>
      <c r="P14" s="5" t="n">
        <v>1</v>
      </c>
      <c r="Q14">
        <f>L14+IF(M14&gt;1,N(N14)*(M14-1),0)</f>
        <v/>
      </c>
      <c r="R14">
        <f>IFERROR(K14*MAX(M14,1)/Q14*P14,0)</f>
        <v/>
      </c>
      <c r="AA14" s="6" t="inlineStr"/>
    </row>
    <row r="15">
      <c r="B15" s="6" t="inlineStr">
        <is>
          <t xml:space="preserve">  ↳ TSEngineerPistol</t>
        </is>
      </c>
      <c r="C15" s="6" t="inlineStr">
        <is>
          <t>Armament@PRIMARY</t>
        </is>
      </c>
      <c r="K15" s="5" t="n">
        <v>20000</v>
      </c>
      <c r="L15" s="5" t="n">
        <v>25</v>
      </c>
      <c r="M15" s="5" t="n">
        <v>1</v>
      </c>
      <c r="N15" s="5" t="n"/>
      <c r="O15" s="5" t="n">
        <v>4303</v>
      </c>
      <c r="P15" s="5" t="n">
        <v>1</v>
      </c>
      <c r="Q15">
        <f>L15+IF(M15&gt;1,N(N15)*(M15-1),0)</f>
        <v/>
      </c>
      <c r="R15">
        <f>IFERROR(K15*MAX(M15,1)/Q15*P15,0)</f>
        <v/>
      </c>
      <c r="AA15" s="6" t="inlineStr">
        <is>
          <t>^SniperWeapon</t>
        </is>
      </c>
    </row>
    <row r="16">
      <c r="B16" s="6" t="inlineStr">
        <is>
          <t xml:space="preserve">  ↳ TSEngineerPistol</t>
        </is>
      </c>
      <c r="C16" s="6" t="inlineStr">
        <is>
          <t>Armament@GARRISONED</t>
        </is>
      </c>
      <c r="K16" s="5" t="n">
        <v>20000</v>
      </c>
      <c r="L16" s="5" t="n">
        <v>25</v>
      </c>
      <c r="M16" s="5" t="n">
        <v>1</v>
      </c>
      <c r="N16" s="5" t="n"/>
      <c r="O16" s="5" t="n">
        <v>4303</v>
      </c>
      <c r="P16" s="5" t="n">
        <v>1</v>
      </c>
      <c r="Q16">
        <f>L16+IF(M16&gt;1,N(N16)*(M16-1),0)</f>
        <v/>
      </c>
      <c r="R16">
        <f>IFERROR(K16*MAX(M16,1)/Q16*P16,0)</f>
        <v/>
      </c>
      <c r="AA16" s="6" t="inlineStr">
        <is>
          <t>^SniperWeapon</t>
        </is>
      </c>
    </row>
    <row r="17">
      <c r="A17" t="inlineStr">
        <is>
          <t>tiberiansun</t>
        </is>
      </c>
      <c r="B17" t="inlineStr">
        <is>
          <t>ts_nod_lightinfantry</t>
        </is>
      </c>
      <c r="C17" t="inlineStr">
        <is>
          <t>Light Infantry</t>
        </is>
      </c>
      <c r="D17" t="inlineStr"/>
      <c r="E17" s="5" t="n">
        <v>16000</v>
      </c>
      <c r="F17" s="5" t="n">
        <v>60</v>
      </c>
      <c r="G17" t="inlineStr">
        <is>
          <t>None</t>
        </is>
      </c>
      <c r="H17" s="5" t="n">
        <v>1</v>
      </c>
      <c r="I17" s="5" t="n">
        <v>1</v>
      </c>
      <c r="J17" s="5" t="n">
        <v>1</v>
      </c>
      <c r="O17">
        <f>MAX(O18,O20)</f>
        <v/>
      </c>
      <c r="R17">
        <f>R18+R20</f>
        <v/>
      </c>
      <c r="S17">
        <f>(E17/100000+F17/100+(O17/1000)*J17/5+R17/200)*200*I17*H17</f>
        <v/>
      </c>
      <c r="T17">
        <f>((E17*F17/25000)+((O17/1000)*J17*R17/2.5))*I17*H17</f>
        <v/>
      </c>
      <c r="U17">
        <f>(E17*F17*(O17/1000)*J17*R17*I17*H17)/12500000</f>
        <v/>
      </c>
      <c r="V17">
        <f>(S17+T17+U17)/3</f>
        <v/>
      </c>
      <c r="W17" s="5" t="n">
        <v>120</v>
      </c>
      <c r="X17">
        <f>IFERROR(V17-W17,"")</f>
        <v/>
      </c>
      <c r="Y17">
        <f>IFERROR(ABS(X17)/MAX(W17,1),"")</f>
        <v/>
      </c>
      <c r="Z17">
        <f>IFERROR((W17-(((E17/100000+F17/100+R17/200)*200*I17*H17)+((E17*F17/25000)*I17*H17))/3)/(((J17/5)*200*I17*H17)+((J17*R17/2.5)*I17*H17)+((E17*F17*J17*R17*I17*H17)/12500000))/3*1000,"")</f>
        <v/>
      </c>
    </row>
    <row r="18">
      <c r="B18" s="6" t="inlineStr">
        <is>
          <t xml:space="preserve">  ↳ TSMinigun</t>
        </is>
      </c>
      <c r="C18" s="6" t="inlineStr">
        <is>
          <t>Armament@PRIMARY</t>
        </is>
      </c>
      <c r="K18" s="5" t="n">
        <v>2000</v>
      </c>
      <c r="L18" s="5" t="n">
        <v>12</v>
      </c>
      <c r="M18" s="5" t="n">
        <v>1</v>
      </c>
      <c r="N18" s="5" t="n"/>
      <c r="O18" s="5" t="n">
        <v>4062</v>
      </c>
      <c r="P18" s="5" t="n">
        <v>1</v>
      </c>
      <c r="Q18">
        <f>L18+IF(M18&gt;1,N(N18)*(M18-1),0)</f>
        <v/>
      </c>
      <c r="R18">
        <f>IFERROR(K18*MAX(M18,1)/Q18*P18,0)</f>
        <v/>
      </c>
      <c r="AA18" s="6" t="inlineStr">
        <is>
          <t>^SmallArms</t>
        </is>
      </c>
    </row>
    <row r="19">
      <c r="B19" s="6" t="inlineStr">
        <is>
          <t xml:space="preserve">  ↳ TSMinigun</t>
        </is>
      </c>
      <c r="C19" s="6" t="inlineStr">
        <is>
          <t>Armament@GARRISONED</t>
        </is>
      </c>
      <c r="K19" s="5" t="n">
        <v>2000</v>
      </c>
      <c r="L19" s="5" t="n">
        <v>12</v>
      </c>
      <c r="M19" s="5" t="n">
        <v>1</v>
      </c>
      <c r="N19" s="5" t="n"/>
      <c r="O19" s="5" t="n">
        <v>4062</v>
      </c>
      <c r="P19" s="5" t="n">
        <v>1</v>
      </c>
      <c r="Q19">
        <f>L19+IF(M19&gt;1,N(N19)*(M19-1),0)</f>
        <v/>
      </c>
      <c r="R19">
        <f>IFERROR(K19*MAX(M19,1)/Q19*P19,0)</f>
        <v/>
      </c>
      <c r="AA19" s="6" t="inlineStr">
        <is>
          <t>^SmallArms</t>
        </is>
      </c>
    </row>
    <row r="20">
      <c r="B20" s="6" t="inlineStr">
        <is>
          <t xml:space="preserve">  ↳ TSLasergun</t>
        </is>
      </c>
      <c r="C20" s="6" t="inlineStr">
        <is>
          <t>Armament@UPGRADE</t>
        </is>
      </c>
      <c r="K20" s="5" t="n">
        <v>2000</v>
      </c>
      <c r="L20" s="5" t="n">
        <v>18</v>
      </c>
      <c r="M20" s="5" t="n">
        <v>1</v>
      </c>
      <c r="N20" s="5" t="n"/>
      <c r="O20" s="5" t="n">
        <v>4062</v>
      </c>
      <c r="P20" s="5" t="n">
        <v>1</v>
      </c>
      <c r="Q20">
        <f>L20+IF(M20&gt;1,N(N20)*(M20-1),0)</f>
        <v/>
      </c>
      <c r="R20">
        <f>IFERROR(K20*MAX(M20,1)/Q20*P20,0)</f>
        <v/>
      </c>
      <c r="AA20" s="6" t="inlineStr">
        <is>
          <t>^SmallArms, ^LaserWeapon, ^TSLaserEffect</t>
        </is>
      </c>
    </row>
    <row r="21">
      <c r="B21" s="6" t="inlineStr">
        <is>
          <t xml:space="preserve">  ↳ TSLasergun</t>
        </is>
      </c>
      <c r="C21" s="6" t="inlineStr">
        <is>
          <t>Armament@UPGRADEGARRISONED</t>
        </is>
      </c>
      <c r="K21" s="5" t="n">
        <v>2000</v>
      </c>
      <c r="L21" s="5" t="n">
        <v>18</v>
      </c>
      <c r="M21" s="5" t="n">
        <v>1</v>
      </c>
      <c r="N21" s="5" t="n"/>
      <c r="O21" s="5" t="n">
        <v>4062</v>
      </c>
      <c r="P21" s="5" t="n">
        <v>1</v>
      </c>
      <c r="Q21">
        <f>L21+IF(M21&gt;1,N(N21)*(M21-1),0)</f>
        <v/>
      </c>
      <c r="R21">
        <f>IFERROR(K21*MAX(M21,1)/Q21*P21,0)</f>
        <v/>
      </c>
      <c r="AA21" s="6" t="inlineStr">
        <is>
          <t>^SmallArms, ^LaserWeapon, ^TSLaserEffect</t>
        </is>
      </c>
    </row>
    <row r="22">
      <c r="A22" t="inlineStr">
        <is>
          <t>tiberiansun</t>
        </is>
      </c>
      <c r="B22" t="inlineStr">
        <is>
          <t>ts_nod_rocketinfantry</t>
        </is>
      </c>
      <c r="C22" t="inlineStr">
        <is>
          <t>Rocket Infantry</t>
        </is>
      </c>
      <c r="D22" t="inlineStr"/>
      <c r="E22" s="5" t="n">
        <v>12000</v>
      </c>
      <c r="F22" s="5" t="n">
        <v>50</v>
      </c>
      <c r="G22" t="inlineStr">
        <is>
          <t>Flak</t>
        </is>
      </c>
      <c r="H22" s="5" t="n">
        <v>1</v>
      </c>
      <c r="I22" s="5" t="n">
        <v>1</v>
      </c>
      <c r="J22" s="5" t="n">
        <v>1</v>
      </c>
      <c r="O22">
        <f>MAX(O23,O25)</f>
        <v/>
      </c>
      <c r="R22">
        <f>R23+R25</f>
        <v/>
      </c>
      <c r="S22">
        <f>(E22/100000+F22/100+(O22/1000)*J22/5+R22/200)*200*I22*H22</f>
        <v/>
      </c>
      <c r="T22">
        <f>((E22*F22/25000)+((O22/1000)*J22*R22/2.5))*I22*H22</f>
        <v/>
      </c>
      <c r="U22">
        <f>(E22*F22*(O22/1000)*J22*R22*I22*H22)/12500000</f>
        <v/>
      </c>
      <c r="V22">
        <f>(S22+T22+U22)/3</f>
        <v/>
      </c>
      <c r="W22" s="5" t="n">
        <v>300</v>
      </c>
      <c r="X22">
        <f>IFERROR(V22-W22,"")</f>
        <v/>
      </c>
      <c r="Y22">
        <f>IFERROR(ABS(X22)/MAX(W22,1),"")</f>
        <v/>
      </c>
      <c r="Z22">
        <f>IFERROR((W22-(((E22/100000+F22/100+R22/200)*200*I22*H22)+((E22*F22/25000)*I22*H22))/3)/(((J22/5)*200*I22*H22)+((J22*R22/2.5)*I22*H22)+((E22*F22*J22*R22*I22*H22)/12500000))/3*1000,"")</f>
        <v/>
      </c>
    </row>
    <row r="23">
      <c r="B23" s="6" t="inlineStr">
        <is>
          <t xml:space="preserve">  ↳ TSBazooka</t>
        </is>
      </c>
      <c r="C23" s="6" t="inlineStr">
        <is>
          <t>Armament@PRIMARY</t>
        </is>
      </c>
      <c r="K23" s="5" t="n">
        <v>24000</v>
      </c>
      <c r="L23" s="5" t="n">
        <v>52</v>
      </c>
      <c r="M23" s="5" t="n">
        <v>1</v>
      </c>
      <c r="N23" s="5" t="n"/>
      <c r="O23" s="5" t="n">
        <v>6694</v>
      </c>
      <c r="P23" s="5" t="n">
        <v>1</v>
      </c>
      <c r="Q23">
        <f>L23+IF(M23&gt;1,N(N23)*(M23-1),0)</f>
        <v/>
      </c>
      <c r="R23">
        <f>IFERROR(K23*MAX(M23,1)/Q23*P23,0)</f>
        <v/>
      </c>
      <c r="AA23" s="6" t="inlineStr">
        <is>
          <t>^LightMissile</t>
        </is>
      </c>
    </row>
    <row r="24">
      <c r="B24" s="6" t="inlineStr">
        <is>
          <t xml:space="preserve">  ↳ TSBazooka</t>
        </is>
      </c>
      <c r="C24" s="6" t="inlineStr">
        <is>
          <t>Armament@GARRISONED</t>
        </is>
      </c>
      <c r="K24" s="5" t="n">
        <v>24000</v>
      </c>
      <c r="L24" s="5" t="n">
        <v>52</v>
      </c>
      <c r="M24" s="5" t="n">
        <v>1</v>
      </c>
      <c r="N24" s="5" t="n"/>
      <c r="O24" s="5" t="n">
        <v>6694</v>
      </c>
      <c r="P24" s="5" t="n">
        <v>1</v>
      </c>
      <c r="Q24">
        <f>L24+IF(M24&gt;1,N(N24)*(M24-1),0)</f>
        <v/>
      </c>
      <c r="R24">
        <f>IFERROR(K24*MAX(M24,1)/Q24*P24,0)</f>
        <v/>
      </c>
      <c r="AA24" s="6" t="inlineStr">
        <is>
          <t>^LightMissile</t>
        </is>
      </c>
    </row>
    <row r="25">
      <c r="B25" s="6" t="inlineStr">
        <is>
          <t xml:space="preserve">  ↳ TSTibBazooka</t>
        </is>
      </c>
      <c r="C25" s="6" t="inlineStr">
        <is>
          <t>Armament@UPGRADE</t>
        </is>
      </c>
      <c r="K25" s="5" t="n">
        <v>24000</v>
      </c>
      <c r="L25" s="5" t="n">
        <v>52</v>
      </c>
      <c r="M25" s="5" t="n">
        <v>1</v>
      </c>
      <c r="N25" s="5" t="n"/>
      <c r="O25" s="5" t="n">
        <v>6694</v>
      </c>
      <c r="P25" s="5" t="n">
        <v>1</v>
      </c>
      <c r="Q25">
        <f>L25+IF(M25&gt;1,N(N25)*(M25-1),0)</f>
        <v/>
      </c>
      <c r="R25">
        <f>IFERROR(K25*MAX(M25,1)/Q25*P25,0)</f>
        <v/>
      </c>
      <c r="AA25" s="6" t="inlineStr">
        <is>
          <t>^LightChemicalWeapon, ^LightMissile</t>
        </is>
      </c>
    </row>
    <row r="26">
      <c r="B26" s="6" t="inlineStr">
        <is>
          <t xml:space="preserve">  ↳ TSTibBazooka</t>
        </is>
      </c>
      <c r="C26" s="6" t="inlineStr">
        <is>
          <t>Armament@GARRISONEDUPGRADE</t>
        </is>
      </c>
      <c r="K26" s="5" t="n">
        <v>24000</v>
      </c>
      <c r="L26" s="5" t="n">
        <v>52</v>
      </c>
      <c r="M26" s="5" t="n">
        <v>1</v>
      </c>
      <c r="N26" s="5" t="n"/>
      <c r="O26" s="5" t="n">
        <v>6694</v>
      </c>
      <c r="P26" s="5" t="n">
        <v>1</v>
      </c>
      <c r="Q26">
        <f>L26+IF(M26&gt;1,N(N26)*(M26-1),0)</f>
        <v/>
      </c>
      <c r="R26">
        <f>IFERROR(K26*MAX(M26,1)/Q26*P26,0)</f>
        <v/>
      </c>
      <c r="AA26" s="6" t="inlineStr">
        <is>
          <t>^LightChemicalWeapon, ^LightMissile</t>
        </is>
      </c>
    </row>
    <row r="27">
      <c r="A27" t="inlineStr">
        <is>
          <t>tiberiansun</t>
        </is>
      </c>
      <c r="B27" t="inlineStr">
        <is>
          <t>ts_nod_shadowteam</t>
        </is>
      </c>
      <c r="C27" t="inlineStr">
        <is>
          <t>actor_ts_nod_shadowteam.name</t>
        </is>
      </c>
      <c r="D27" t="inlineStr"/>
      <c r="E27" s="5" t="n">
        <v>30000</v>
      </c>
      <c r="F27" s="5" t="n">
        <v>60</v>
      </c>
      <c r="G27" t="inlineStr">
        <is>
          <t>Plate</t>
        </is>
      </c>
      <c r="H27" s="5" t="n">
        <v>1</v>
      </c>
      <c r="I27" s="5" t="n">
        <v>1</v>
      </c>
      <c r="J27" s="5" t="n">
        <v>1</v>
      </c>
      <c r="O27">
        <f>MAX(O28,O30)</f>
        <v/>
      </c>
      <c r="R27">
        <f>R28+R30</f>
        <v/>
      </c>
      <c r="S27">
        <f>(E27/100000+F27/100+(O27/1000)*J27/5+R27/200)*200*I27*H27</f>
        <v/>
      </c>
      <c r="T27">
        <f>((E27*F27/25000)+((O27/1000)*J27*R27/2.5))*I27*H27</f>
        <v/>
      </c>
      <c r="U27">
        <f>(E27*F27*(O27/1000)*J27*R27*I27*H27)/12500000</f>
        <v/>
      </c>
      <c r="V27">
        <f>(S27+T27+U27)/3</f>
        <v/>
      </c>
      <c r="W27" s="5" t="n">
        <v>900</v>
      </c>
      <c r="X27">
        <f>IFERROR(V27-W27,"")</f>
        <v/>
      </c>
      <c r="Y27">
        <f>IFERROR(ABS(X27)/MAX(W27,1),"")</f>
        <v/>
      </c>
      <c r="Z27">
        <f>IFERROR((W27-(((E27/100000+F27/100+R27/200)*200*I27*H27)+((E27*F27/25000)*I27*H27))/3)/(((J27/5)*200*I27*H27)+((J27*R27/2.5)*I27*H27)+((E27*F27*J27*R27*I27*H27)/12500000))/3*1000,"")</f>
        <v/>
      </c>
    </row>
    <row r="28">
      <c r="B28" s="6" t="inlineStr">
        <is>
          <t xml:space="preserve">  ↳ TSShadowTeamPistols</t>
        </is>
      </c>
      <c r="C28" s="6" t="inlineStr">
        <is>
          <t>Armament@PRIMARY</t>
        </is>
      </c>
      <c r="K28" s="5" t="n">
        <v>7000</v>
      </c>
      <c r="L28" s="5" t="n">
        <v>12</v>
      </c>
      <c r="M28" s="5" t="n">
        <v>2</v>
      </c>
      <c r="N28" s="5" t="n">
        <v>3</v>
      </c>
      <c r="O28" s="5" t="n">
        <v>8000</v>
      </c>
      <c r="P28" s="5" t="n">
        <v>1</v>
      </c>
      <c r="Q28">
        <f>L28+IF(M28&gt;1,N(N28)*(M28-1),0)</f>
        <v/>
      </c>
      <c r="R28">
        <f>IFERROR(K28*MAX(M28,1)/Q28*P28,0)</f>
        <v/>
      </c>
      <c r="AA28" s="6" t="inlineStr">
        <is>
          <t>^SniperWeapon</t>
        </is>
      </c>
    </row>
    <row r="29">
      <c r="B29" s="6" t="inlineStr">
        <is>
          <t xml:space="preserve">  ↳ TSShadowTeamPistols</t>
        </is>
      </c>
      <c r="C29" s="6" t="inlineStr">
        <is>
          <t>Armament@GARRISONED</t>
        </is>
      </c>
      <c r="K29" s="5" t="n">
        <v>7000</v>
      </c>
      <c r="L29" s="5" t="n">
        <v>12</v>
      </c>
      <c r="M29" s="5" t="n">
        <v>2</v>
      </c>
      <c r="N29" s="5" t="n">
        <v>3</v>
      </c>
      <c r="O29" s="5" t="n">
        <v>8000</v>
      </c>
      <c r="P29" s="5" t="n">
        <v>1</v>
      </c>
      <c r="Q29">
        <f>L29+IF(M29&gt;1,N(N29)*(M29-1),0)</f>
        <v/>
      </c>
      <c r="R29">
        <f>IFERROR(K29*MAX(M29,1)/Q29*P29,0)</f>
        <v/>
      </c>
      <c r="AA29" s="6" t="inlineStr">
        <is>
          <t>^SniperWeapon</t>
        </is>
      </c>
    </row>
    <row r="30">
      <c r="B30" s="6" t="inlineStr">
        <is>
          <t xml:space="preserve">  ↳ TSShadowTeamAttach</t>
        </is>
      </c>
      <c r="C30" s="6" t="inlineStr">
        <is>
          <t>Armament@C4</t>
        </is>
      </c>
      <c r="K30" s="5" t="n"/>
      <c r="L30" s="5" t="n">
        <v>20</v>
      </c>
      <c r="M30" s="5" t="n">
        <v>1</v>
      </c>
      <c r="N30" s="5" t="n"/>
      <c r="O30" s="5" t="n">
        <v>2000</v>
      </c>
      <c r="P30" s="5" t="n">
        <v>1</v>
      </c>
      <c r="Q30">
        <f>L30+IF(M30&gt;1,N(N30)*(M30-1),0)</f>
        <v/>
      </c>
      <c r="R30">
        <f>IFERROR(K30*MAX(M30,1)/Q30*P30,0)</f>
        <v/>
      </c>
      <c r="AA30" s="6" t="inlineStr"/>
    </row>
    <row r="31">
      <c r="A31" t="inlineStr">
        <is>
          <t>tiberiansun</t>
        </is>
      </c>
      <c r="B31" t="inlineStr">
        <is>
          <t>ts_nod_shadowteam_air</t>
        </is>
      </c>
      <c r="C31" t="inlineStr">
        <is>
          <t>actor_ts_nod_shadowteam.name</t>
        </is>
      </c>
      <c r="D31" t="inlineStr"/>
      <c r="E31" s="5" t="n">
        <v>30000</v>
      </c>
      <c r="F31" s="5" t="n">
        <v>150</v>
      </c>
      <c r="G31" t="inlineStr">
        <is>
          <t>Scout</t>
        </is>
      </c>
      <c r="H31" s="5" t="n">
        <v>1</v>
      </c>
      <c r="I31" s="5" t="n">
        <v>1</v>
      </c>
      <c r="J31" s="5" t="n">
        <v>1</v>
      </c>
      <c r="O31">
        <f>MAX(O32)</f>
        <v/>
      </c>
      <c r="R31">
        <f>R32</f>
        <v/>
      </c>
      <c r="S31">
        <f>(E31/100000+F31/100+(O31/1000)*J31/5+R31/200)*200*I31*H31</f>
        <v/>
      </c>
      <c r="T31">
        <f>((E31*F31/25000)+((O31/1000)*J31*R31/2.5))*I31*H31</f>
        <v/>
      </c>
      <c r="U31">
        <f>(E31*F31*(O31/1000)*J31*R31*I31*H31)/12500000</f>
        <v/>
      </c>
      <c r="V31">
        <f>(S31+T31+U31)/3</f>
        <v/>
      </c>
      <c r="W31" s="5" t="n">
        <v>900</v>
      </c>
      <c r="X31">
        <f>IFERROR(V31-W31,"")</f>
        <v/>
      </c>
      <c r="Y31">
        <f>IFERROR(ABS(X31)/MAX(W31,1),"")</f>
        <v/>
      </c>
      <c r="Z31">
        <f>IFERROR((W31-(((E31/100000+F31/100+R31/200)*200*I31*H31)+((E31*F31/25000)*I31*H31))/3)/(((J31/5)*200*I31*H31)+((J31*R31/2.5)*I31*H31)+((E31*F31*J31*R31*I31*H31)/12500000))/3*1000,"")</f>
        <v/>
      </c>
    </row>
    <row r="32">
      <c r="B32" s="6" t="inlineStr">
        <is>
          <t xml:space="preserve">  ↳ TSShadowTeamTargeting</t>
        </is>
      </c>
      <c r="C32" s="6" t="inlineStr">
        <is>
          <t>Armament@PRIMARY</t>
        </is>
      </c>
      <c r="K32" s="5" t="n"/>
      <c r="L32" s="5" t="n">
        <v>500</v>
      </c>
      <c r="M32" s="5" t="n">
        <v>1</v>
      </c>
      <c r="N32" s="5" t="n"/>
      <c r="O32" s="5" t="n">
        <v>12000</v>
      </c>
      <c r="P32" s="5" t="n">
        <v>1</v>
      </c>
      <c r="Q32">
        <f>L32+IF(M32&gt;1,N(N32)*(M32-1),0)</f>
        <v/>
      </c>
      <c r="R32">
        <f>IFERROR(K32*MAX(M32,1)/Q32*P32,0)</f>
        <v/>
      </c>
      <c r="AA32" s="6" t="inlineStr"/>
    </row>
    <row r="33">
      <c r="A33" t="inlineStr">
        <is>
          <t>tiberiansun</t>
        </is>
      </c>
      <c r="B33" t="inlineStr">
        <is>
          <t>ts_nod_shotguncommando</t>
        </is>
      </c>
      <c r="C33" t="inlineStr">
        <is>
          <t>Shotgun Commando</t>
        </is>
      </c>
      <c r="D33" t="inlineStr"/>
      <c r="E33" s="5" t="n">
        <v>100000</v>
      </c>
      <c r="F33" s="5" t="n">
        <v>80</v>
      </c>
      <c r="G33" t="inlineStr">
        <is>
          <t>Heroic</t>
        </is>
      </c>
      <c r="H33" s="5" t="n">
        <v>1</v>
      </c>
      <c r="I33" s="5" t="n">
        <v>1</v>
      </c>
      <c r="J33" s="5" t="n">
        <v>1</v>
      </c>
      <c r="O33">
        <f>MAX(O34)</f>
        <v/>
      </c>
      <c r="R33">
        <f>R34</f>
        <v/>
      </c>
      <c r="S33">
        <f>(E33/100000+F33/100+(O33/1000)*J33/5+R33/200)*200*I33*H33</f>
        <v/>
      </c>
      <c r="T33">
        <f>((E33*F33/25000)+((O33/1000)*J33*R33/2.5))*I33*H33</f>
        <v/>
      </c>
      <c r="U33">
        <f>(E33*F33*(O33/1000)*J33*R33*I33*H33)/12500000</f>
        <v/>
      </c>
      <c r="V33">
        <f>(S33+T33+U33)/3</f>
        <v/>
      </c>
      <c r="W33" s="5" t="n">
        <v>3000</v>
      </c>
      <c r="X33">
        <f>IFERROR(V33-W33,"")</f>
        <v/>
      </c>
      <c r="Y33">
        <f>IFERROR(ABS(X33)/MAX(W33,1),"")</f>
        <v/>
      </c>
      <c r="Z33">
        <f>IFERROR((W33-(((E33/100000+F33/100+R33/200)*200*I33*H33)+((E33*F33/25000)*I33*H33))/3)/(((J33/5)*200*I33*H33)+((J33*R33/2.5)*I33*H33)+((E33*F33*J33*R33*I33*H33)/12500000))/3*1000,"")</f>
        <v/>
      </c>
    </row>
    <row r="34">
      <c r="B34" s="6" t="inlineStr">
        <is>
          <t xml:space="preserve">  ↳ TSCommandoShotgun</t>
        </is>
      </c>
      <c r="C34" s="6" t="inlineStr">
        <is>
          <t>Armament@PRIMARY</t>
        </is>
      </c>
      <c r="K34" s="5" t="n">
        <v>8000</v>
      </c>
      <c r="L34" s="5" t="n">
        <v>20</v>
      </c>
      <c r="M34" s="5" t="n">
        <v>1</v>
      </c>
      <c r="N34" s="5" t="n"/>
      <c r="O34" s="5" t="n">
        <v>4146</v>
      </c>
      <c r="P34" s="5" t="n">
        <v>1</v>
      </c>
      <c r="Q34">
        <f>L34+IF(M34&gt;1,N(N34)*(M34-1),0)</f>
        <v/>
      </c>
      <c r="R34">
        <f>IFERROR(K34*MAX(M34,1)/Q34*P34,0)</f>
        <v/>
      </c>
      <c r="AA34" s="6" t="inlineStr">
        <is>
          <t>^Grenade, ^ShrapnelWeapon, ^TankDestroyerCannon, ^MediumCannon, ^SmallArms, ^Chaingun</t>
        </is>
      </c>
    </row>
    <row r="35">
      <c r="B35" s="6" t="inlineStr">
        <is>
          <t xml:space="preserve">  ↳ TSCommandoShotgun</t>
        </is>
      </c>
      <c r="C35" s="6" t="inlineStr">
        <is>
          <t>Armament@GARRISONED</t>
        </is>
      </c>
      <c r="K35" s="5" t="n">
        <v>8000</v>
      </c>
      <c r="L35" s="5" t="n">
        <v>20</v>
      </c>
      <c r="M35" s="5" t="n">
        <v>1</v>
      </c>
      <c r="N35" s="5" t="n"/>
      <c r="O35" s="5" t="n">
        <v>4146</v>
      </c>
      <c r="P35" s="5" t="n">
        <v>1</v>
      </c>
      <c r="Q35">
        <f>L35+IF(M35&gt;1,N(N35)*(M35-1),0)</f>
        <v/>
      </c>
      <c r="R35">
        <f>IFERROR(K35*MAX(M35,1)/Q35*P35,0)</f>
        <v/>
      </c>
      <c r="AA35" s="6" t="inlineStr">
        <is>
          <t>^Grenade, ^ShrapnelWeapon, ^TankDestroyerCannon, ^MediumCannon, ^SmallArms, ^Chaingun</t>
        </is>
      </c>
    </row>
    <row r="36">
      <c r="A36" t="inlineStr">
        <is>
          <t>tiberiansun</t>
        </is>
      </c>
      <c r="B36" t="inlineStr">
        <is>
          <t>ts_nod_toxintrooper</t>
        </is>
      </c>
      <c r="C36" t="inlineStr">
        <is>
          <t>Toxin Trooper</t>
        </is>
      </c>
      <c r="D36" t="inlineStr"/>
      <c r="E36" s="5" t="n">
        <v>30000</v>
      </c>
      <c r="F36" s="5" t="n">
        <v>55</v>
      </c>
      <c r="G36" t="inlineStr">
        <is>
          <t>Plate</t>
        </is>
      </c>
      <c r="H36" s="5" t="n">
        <v>1</v>
      </c>
      <c r="I36" s="5" t="n">
        <v>1</v>
      </c>
      <c r="J36" s="5" t="n">
        <v>1</v>
      </c>
      <c r="O36">
        <f>MAX(O37)</f>
        <v/>
      </c>
      <c r="R36">
        <f>R37</f>
        <v/>
      </c>
      <c r="S36">
        <f>(E36/100000+F36/100+(O36/1000)*J36/5+R36/200)*200*I36*H36</f>
        <v/>
      </c>
      <c r="T36">
        <f>((E36*F36/25000)+((O36/1000)*J36*R36/2.5))*I36*H36</f>
        <v/>
      </c>
      <c r="U36">
        <f>(E36*F36*(O36/1000)*J36*R36*I36*H36)/12500000</f>
        <v/>
      </c>
      <c r="V36">
        <f>(S36+T36+U36)/3</f>
        <v/>
      </c>
      <c r="W36" s="5" t="n">
        <v>850</v>
      </c>
      <c r="X36">
        <f>IFERROR(V36-W36,"")</f>
        <v/>
      </c>
      <c r="Y36">
        <f>IFERROR(ABS(X36)/MAX(W36,1),"")</f>
        <v/>
      </c>
      <c r="Z36">
        <f>IFERROR((W36-(((E36/100000+F36/100+R36/200)*200*I36*H36)+((E36*F36/25000)*I36*H36))/3)/(((J36/5)*200*I36*H36)+((J36*R36/2.5)*I36*H36)+((E36*F36*J36*R36*I36*H36)/12500000))/3*1000,"")</f>
        <v/>
      </c>
    </row>
    <row r="37">
      <c r="B37" s="6" t="inlineStr">
        <is>
          <t xml:space="preserve">  ↳ TSToxinRifle</t>
        </is>
      </c>
      <c r="C37" s="6" t="inlineStr">
        <is>
          <t>Armament@PRIMARY</t>
        </is>
      </c>
      <c r="K37" s="5" t="n">
        <v>16000</v>
      </c>
      <c r="L37" s="5" t="n">
        <v>54</v>
      </c>
      <c r="M37" s="5" t="n">
        <v>3</v>
      </c>
      <c r="N37" s="5" t="n">
        <v>3</v>
      </c>
      <c r="O37" s="5" t="n">
        <v>10293</v>
      </c>
      <c r="P37" s="5" t="n">
        <v>1</v>
      </c>
      <c r="Q37">
        <f>L37+IF(M37&gt;1,N(N37)*(M37-1),0)</f>
        <v/>
      </c>
      <c r="R37">
        <f>IFERROR(K37*MAX(M37,1)/Q37*P37,0)</f>
        <v/>
      </c>
      <c r="AA37" s="6" t="inlineStr">
        <is>
          <t>^LightChemicalWeapon</t>
        </is>
      </c>
    </row>
    <row r="38">
      <c r="B38" s="6" t="inlineStr">
        <is>
          <t xml:space="preserve">  ↳ TSToxinRifle</t>
        </is>
      </c>
      <c r="C38" s="6" t="inlineStr">
        <is>
          <t>Armament@GARRISONED</t>
        </is>
      </c>
      <c r="K38" s="5" t="n">
        <v>16000</v>
      </c>
      <c r="L38" s="5" t="n">
        <v>54</v>
      </c>
      <c r="M38" s="5" t="n">
        <v>3</v>
      </c>
      <c r="N38" s="5" t="n">
        <v>3</v>
      </c>
      <c r="O38" s="5" t="n">
        <v>10293</v>
      </c>
      <c r="P38" s="5" t="n">
        <v>1</v>
      </c>
      <c r="Q38">
        <f>L38+IF(M38&gt;1,N(N38)*(M38-1),0)</f>
        <v/>
      </c>
      <c r="R38">
        <f>IFERROR(K38*MAX(M38,1)/Q38*P38,0)</f>
        <v/>
      </c>
      <c r="AA38" s="6" t="inlineStr">
        <is>
          <t>^LightChemicalWeapon</t>
        </is>
      </c>
    </row>
    <row r="39">
      <c r="A39" s="3" t="inlineStr">
        <is>
          <t>VEHICLES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>
      <c r="A40" t="inlineStr">
        <is>
          <t>tiberiansun</t>
        </is>
      </c>
      <c r="B40" t="inlineStr">
        <is>
          <t>ts_nod_artillery</t>
        </is>
      </c>
      <c r="C40" t="inlineStr">
        <is>
          <t>Artillery</t>
        </is>
      </c>
      <c r="D40" t="inlineStr"/>
      <c r="E40" s="5" t="n">
        <v>30000</v>
      </c>
      <c r="F40" s="5" t="n">
        <v>60</v>
      </c>
      <c r="G40" t="inlineStr">
        <is>
          <t>Light</t>
        </is>
      </c>
      <c r="H40" s="5" t="n">
        <v>1</v>
      </c>
      <c r="I40" s="5" t="n">
        <v>1</v>
      </c>
      <c r="J40" s="5" t="n">
        <v>1</v>
      </c>
      <c r="O40">
        <f>MAX(O41,O42,O43)</f>
        <v/>
      </c>
      <c r="R40">
        <f>R41+R42+R43</f>
        <v/>
      </c>
      <c r="S40">
        <f>(E40/100000+F40/100+(O40/1000)*J40/5+R40/200)*200*I40*H40</f>
        <v/>
      </c>
      <c r="T40">
        <f>((E40*F40/25000)+((O40/1000)*J40*R40/2.5))*I40*H40</f>
        <v/>
      </c>
      <c r="U40">
        <f>(E40*F40*(O40/1000)*J40*R40*I40*H40)/12500000</f>
        <v/>
      </c>
      <c r="V40">
        <f>(S40+T40+U40)/3</f>
        <v/>
      </c>
      <c r="W40" s="5" t="n">
        <v>1300</v>
      </c>
      <c r="X40">
        <f>IFERROR(V40-W40,"")</f>
        <v/>
      </c>
      <c r="Y40">
        <f>IFERROR(ABS(X40)/MAX(W40,1),"")</f>
        <v/>
      </c>
      <c r="Z40">
        <f>IFERROR((W40-(((E40/100000+F40/100+R40/200)*200*I40*H40)+((E40*F40/25000)*I40*H40))/3)/(((J40/5)*200*I40*H40)+((J40*R40/2.5)*I40*H40)+((E40*F40*J40*R40*I40*H40)/12500000))/3*1000,"")</f>
        <v/>
      </c>
    </row>
    <row r="41">
      <c r="B41" s="6" t="inlineStr">
        <is>
          <t xml:space="preserve">  ↳ TSArtyTargeting</t>
        </is>
      </c>
      <c r="C41" s="6" t="inlineStr">
        <is>
          <t>Armament@Dummy</t>
        </is>
      </c>
      <c r="K41" s="5" t="n"/>
      <c r="L41" s="5" t="n">
        <v>33</v>
      </c>
      <c r="M41" s="5" t="n">
        <v>1</v>
      </c>
      <c r="N41" s="5" t="n"/>
      <c r="O41" s="5" t="n">
        <v>13083</v>
      </c>
      <c r="P41" s="5" t="n">
        <v>1</v>
      </c>
      <c r="Q41">
        <f>L41+IF(M41&gt;1,N(N41)*(M41-1),0)</f>
        <v/>
      </c>
      <c r="R41">
        <f>IFERROR(K41*MAX(M41,1)/Q41*P41,0)</f>
        <v/>
      </c>
      <c r="AA41" s="6" t="inlineStr"/>
    </row>
    <row r="42">
      <c r="B42" s="6" t="inlineStr">
        <is>
          <t xml:space="preserve">  ↳ TS155mm</t>
        </is>
      </c>
      <c r="C42" s="6" t="inlineStr">
        <is>
          <t>Armament@Deployed</t>
        </is>
      </c>
      <c r="K42" s="5" t="n">
        <v>30000</v>
      </c>
      <c r="L42" s="5" t="n">
        <v>135</v>
      </c>
      <c r="M42" s="5" t="n">
        <v>1</v>
      </c>
      <c r="N42" s="5" t="n"/>
      <c r="O42" s="5" t="n">
        <v>13083</v>
      </c>
      <c r="P42" s="5" t="n">
        <v>1</v>
      </c>
      <c r="Q42">
        <f>L42+IF(M42&gt;1,N(N42)*(M42-1),0)</f>
        <v/>
      </c>
      <c r="R42">
        <f>IFERROR(K42*MAX(M42,1)/Q42*P42,0)</f>
        <v/>
      </c>
      <c r="AA42" s="6" t="inlineStr">
        <is>
          <t>^ShrapnelWeapon, ^HeavyBomb</t>
        </is>
      </c>
    </row>
    <row r="43">
      <c r="B43" s="6" t="inlineStr">
        <is>
          <t xml:space="preserve">  ↳ TSAux155mm</t>
        </is>
      </c>
      <c r="C43" s="6" t="inlineStr">
        <is>
          <t>Armament@DeployedUpgrade</t>
        </is>
      </c>
      <c r="K43" s="5" t="n">
        <v>30000</v>
      </c>
      <c r="L43" s="5" t="n">
        <v>135</v>
      </c>
      <c r="M43" s="5" t="n">
        <v>1</v>
      </c>
      <c r="N43" s="5" t="n"/>
      <c r="O43" s="5" t="n">
        <v>13083</v>
      </c>
      <c r="P43" s="5" t="n">
        <v>1</v>
      </c>
      <c r="Q43">
        <f>L43+IF(M43&gt;1,N(N43)*(M43-1),0)</f>
        <v/>
      </c>
      <c r="R43">
        <f>IFERROR(K43*MAX(M43,1)/Q43*P43,0)</f>
        <v/>
      </c>
      <c r="AA43" s="6" t="inlineStr">
        <is>
          <t>^ShrapnelWeapon, ^HeavyBomb</t>
        </is>
      </c>
    </row>
    <row r="44">
      <c r="A44" t="inlineStr">
        <is>
          <t>tiberiansun</t>
        </is>
      </c>
      <c r="B44" t="inlineStr">
        <is>
          <t>ts_nod_attackbuggy</t>
        </is>
      </c>
      <c r="C44" t="inlineStr">
        <is>
          <t>Attack Buggy</t>
        </is>
      </c>
      <c r="D44" t="inlineStr"/>
      <c r="E44" s="5" t="n">
        <v>30000</v>
      </c>
      <c r="F44" s="5" t="n">
        <v>160</v>
      </c>
      <c r="G44" t="inlineStr">
        <is>
          <t>Scout</t>
        </is>
      </c>
      <c r="H44" s="5" t="n">
        <v>1</v>
      </c>
      <c r="I44" s="5" t="n">
        <v>0.333</v>
      </c>
      <c r="J44" s="5" t="n">
        <v>1</v>
      </c>
      <c r="O44">
        <f>MAX(O45,O46,O47)</f>
        <v/>
      </c>
      <c r="R44">
        <f>R45+R46+R47</f>
        <v/>
      </c>
      <c r="S44">
        <f>(E44/100000+F44/100+(O44/1000)*J44/5+R44/200)*200*I44*H44</f>
        <v/>
      </c>
      <c r="T44">
        <f>((E44*F44/25000)+((O44/1000)*J44*R44/2.5))*I44*H44</f>
        <v/>
      </c>
      <c r="U44">
        <f>(E44*F44*(O44/1000)*J44*R44*I44*H44)/12500000</f>
        <v/>
      </c>
      <c r="V44">
        <f>(S44+T44+U44)/3</f>
        <v/>
      </c>
      <c r="W44" s="5" t="n">
        <v>450</v>
      </c>
      <c r="X44">
        <f>IFERROR(V44-W44,"")</f>
        <v/>
      </c>
      <c r="Y44">
        <f>IFERROR(ABS(X44)/MAX(W44,1),"")</f>
        <v/>
      </c>
      <c r="Z44">
        <f>IFERROR((W44-(((E44/100000+F44/100+R44/200)*200*I44*H44)+((E44*F44/25000)*I44*H44))/3)/(((J44/5)*200*I44*H44)+((J44*R44/2.5)*I44*H44)+((E44*F44*J44*R44*I44*H44)/12500000))/3*1000,"")</f>
        <v/>
      </c>
    </row>
    <row r="45">
      <c r="B45" s="6" t="inlineStr">
        <is>
          <t xml:space="preserve">  ↳ TSRaiderCannon</t>
        </is>
      </c>
      <c r="C45" s="6" t="inlineStr">
        <is>
          <t>Armament@PRIMARY</t>
        </is>
      </c>
      <c r="K45" s="5" t="n">
        <v>6000</v>
      </c>
      <c r="L45" s="5" t="n">
        <v>20</v>
      </c>
      <c r="M45" s="5" t="n">
        <v>4</v>
      </c>
      <c r="N45" s="5" t="n">
        <v>2</v>
      </c>
      <c r="O45" s="5" t="n">
        <v>4787</v>
      </c>
      <c r="P45" s="5" t="n">
        <v>1</v>
      </c>
      <c r="Q45">
        <f>L45+IF(M45&gt;1,N(N45)*(M45-1),0)</f>
        <v/>
      </c>
      <c r="R45">
        <f>IFERROR(K45*MAX(M45,1)/Q45*P45,0)</f>
        <v/>
      </c>
      <c r="AA45" s="6" t="inlineStr">
        <is>
          <t>^SmallArms</t>
        </is>
      </c>
    </row>
    <row r="46">
      <c r="B46" s="6" t="inlineStr">
        <is>
          <t xml:space="preserve">  ↳ TSLaserRaiderCannon</t>
        </is>
      </c>
      <c r="C46" s="6" t="inlineStr">
        <is>
          <t>Armament@UPGRADE</t>
        </is>
      </c>
      <c r="K46" s="5" t="n">
        <v>6000</v>
      </c>
      <c r="L46" s="5" t="n">
        <v>20</v>
      </c>
      <c r="M46" s="5" t="n">
        <v>3</v>
      </c>
      <c r="N46" s="5" t="n">
        <v>2</v>
      </c>
      <c r="O46" s="5" t="n">
        <v>4964</v>
      </c>
      <c r="P46" s="5" t="n">
        <v>1</v>
      </c>
      <c r="Q46">
        <f>L46+IF(M46&gt;1,N(N46)*(M46-1),0)</f>
        <v/>
      </c>
      <c r="R46">
        <f>IFERROR(K46*MAX(M46,1)/Q46*P46,0)</f>
        <v/>
      </c>
      <c r="AA46" s="6" t="inlineStr">
        <is>
          <t>^SmallArms, ^LaserWeapon, ^TSLaserEffect</t>
        </is>
      </c>
    </row>
    <row r="47">
      <c r="B47" s="6" t="inlineStr">
        <is>
          <t xml:space="preserve">  ↳ TSRaiderGrenade</t>
        </is>
      </c>
      <c r="C47" s="6" t="inlineStr">
        <is>
          <t>Armament@SECONDARY</t>
        </is>
      </c>
      <c r="K47" s="5" t="n">
        <v>36000</v>
      </c>
      <c r="L47" s="5" t="n">
        <v>52</v>
      </c>
      <c r="M47" s="5" t="n">
        <v>1</v>
      </c>
      <c r="N47" s="5" t="n"/>
      <c r="O47" s="5" t="n">
        <v>4787</v>
      </c>
      <c r="P47" s="5" t="n">
        <v>1</v>
      </c>
      <c r="Q47">
        <f>L47+IF(M47&gt;1,N(N47)*(M47-1),0)</f>
        <v/>
      </c>
      <c r="R47">
        <f>IFERROR(K47*MAX(M47,1)/Q47*P47,0)</f>
        <v/>
      </c>
      <c r="AA47" s="6" t="inlineStr">
        <is>
          <t>^Grenade</t>
        </is>
      </c>
    </row>
    <row r="48">
      <c r="A48" t="inlineStr">
        <is>
          <t>tiberiansun</t>
        </is>
      </c>
      <c r="B48" t="inlineStr">
        <is>
          <t>ts_nod_attackcycle</t>
        </is>
      </c>
      <c r="C48" t="inlineStr">
        <is>
          <t>Attack Cycle</t>
        </is>
      </c>
      <c r="D48" t="inlineStr"/>
      <c r="E48" s="5" t="n">
        <v>20000</v>
      </c>
      <c r="F48" s="5" t="n">
        <v>170</v>
      </c>
      <c r="G48" t="inlineStr">
        <is>
          <t>Scout</t>
        </is>
      </c>
      <c r="H48" s="5" t="n">
        <v>1</v>
      </c>
      <c r="I48" s="5" t="n">
        <v>0.5</v>
      </c>
      <c r="J48" s="5" t="n">
        <v>1</v>
      </c>
      <c r="O48">
        <f>MAX(O49,O50)</f>
        <v/>
      </c>
      <c r="R48">
        <f>R49+R50</f>
        <v/>
      </c>
      <c r="S48">
        <f>(E48/100000+F48/100+(O48/1000)*J48/5+R48/200)*200*I48*H48</f>
        <v/>
      </c>
      <c r="T48">
        <f>((E48*F48/25000)+((O48/1000)*J48*R48/2.5))*I48*H48</f>
        <v/>
      </c>
      <c r="U48">
        <f>(E48*F48*(O48/1000)*J48*R48*I48*H48)/12500000</f>
        <v/>
      </c>
      <c r="V48">
        <f>(S48+T48+U48)/3</f>
        <v/>
      </c>
      <c r="W48" s="5" t="n">
        <v>550</v>
      </c>
      <c r="X48">
        <f>IFERROR(V48-W48,"")</f>
        <v/>
      </c>
      <c r="Y48">
        <f>IFERROR(ABS(X48)/MAX(W48,1),"")</f>
        <v/>
      </c>
      <c r="Z48">
        <f>IFERROR((W48-(((E48/100000+F48/100+R48/200)*200*I48*H48)+((E48*F48/25000)*I48*H48))/3)/(((J48/5)*200*I48*H48)+((J48*R48/2.5)*I48*H48)+((E48*F48*J48*R48*I48*H48)/12500000))/3*1000,"")</f>
        <v/>
      </c>
    </row>
    <row r="49">
      <c r="B49" s="6" t="inlineStr">
        <is>
          <t xml:space="preserve">  ↳ TSBikeMissile</t>
        </is>
      </c>
      <c r="C49" s="6" t="inlineStr">
        <is>
          <t>Armament@PRIMARY</t>
        </is>
      </c>
      <c r="K49" s="5" t="n">
        <v>6000</v>
      </c>
      <c r="L49" s="5" t="n">
        <v>40</v>
      </c>
      <c r="M49" s="5" t="n">
        <v>2</v>
      </c>
      <c r="N49" s="5" t="n">
        <v>5</v>
      </c>
      <c r="O49" s="5" t="n">
        <v>6554</v>
      </c>
      <c r="P49" s="5" t="n">
        <v>1</v>
      </c>
      <c r="Q49">
        <f>L49+IF(M49&gt;1,N(N49)*(M49-1),0)</f>
        <v/>
      </c>
      <c r="R49">
        <f>IFERROR(K49*MAX(M49,1)/Q49*P49,0)</f>
        <v/>
      </c>
      <c r="AA49" s="6" t="inlineStr">
        <is>
          <t>^LightMissile, ^MediumMissile</t>
        </is>
      </c>
    </row>
    <row r="50">
      <c r="B50" s="6" t="inlineStr">
        <is>
          <t xml:space="preserve">  ↳ TSBikeTibMissile</t>
        </is>
      </c>
      <c r="C50" s="6" t="inlineStr">
        <is>
          <t>Armament@UPGRADE</t>
        </is>
      </c>
      <c r="K50" s="5" t="n">
        <v>4000</v>
      </c>
      <c r="L50" s="5" t="n">
        <v>40</v>
      </c>
      <c r="M50" s="5" t="n">
        <v>2</v>
      </c>
      <c r="N50" s="5" t="n">
        <v>5</v>
      </c>
      <c r="O50" s="5" t="n">
        <v>6554</v>
      </c>
      <c r="P50" s="5" t="n">
        <v>1</v>
      </c>
      <c r="Q50">
        <f>L50+IF(M50&gt;1,N(N50)*(M50-1),0)</f>
        <v/>
      </c>
      <c r="R50">
        <f>IFERROR(K50*MAX(M50,1)/Q50*P50,0)</f>
        <v/>
      </c>
      <c r="AA50" s="6" t="inlineStr">
        <is>
          <t>^LightChemicalWeapon, ^MediumChemicalWeapon, ^LightMissile, ^MediumMissile</t>
        </is>
      </c>
    </row>
    <row r="51">
      <c r="A51" t="inlineStr">
        <is>
          <t>tiberiansun</t>
        </is>
      </c>
      <c r="B51" t="inlineStr">
        <is>
          <t>ts_nod_devilstongue</t>
        </is>
      </c>
      <c r="C51" t="inlineStr">
        <is>
          <t>Devil's Tongue</t>
        </is>
      </c>
      <c r="D51" t="inlineStr"/>
      <c r="E51" s="5" t="n">
        <v>100000</v>
      </c>
      <c r="F51" s="5" t="n">
        <v>70</v>
      </c>
      <c r="G51" t="inlineStr">
        <is>
          <t>Heavy</t>
        </is>
      </c>
      <c r="H51" s="5" t="n">
        <v>1</v>
      </c>
      <c r="I51" s="5" t="n">
        <v>1</v>
      </c>
      <c r="J51" s="5" t="n">
        <v>1</v>
      </c>
      <c r="O51">
        <f>MAX(O52)</f>
        <v/>
      </c>
      <c r="R51">
        <f>R52</f>
        <v/>
      </c>
      <c r="S51">
        <f>(E51/100000+F51/100+(O51/1000)*J51/5+R51/200)*200*I51*H51</f>
        <v/>
      </c>
      <c r="T51">
        <f>((E51*F51/25000)+((O51/1000)*J51*R51/2.5))*I51*H51</f>
        <v/>
      </c>
      <c r="U51">
        <f>(E51*F51*(O51/1000)*J51*R51*I51*H51)/12500000</f>
        <v/>
      </c>
      <c r="V51">
        <f>(S51+T51+U51)/3</f>
        <v/>
      </c>
      <c r="W51" s="5" t="n">
        <v>1150</v>
      </c>
      <c r="X51">
        <f>IFERROR(V51-W51,"")</f>
        <v/>
      </c>
      <c r="Y51">
        <f>IFERROR(ABS(X51)/MAX(W51,1),"")</f>
        <v/>
      </c>
      <c r="Z51">
        <f>IFERROR((W51-(((E51/100000+F51/100+R51/200)*200*I51*H51)+((E51*F51/25000)*I51*H51))/3)/(((J51/5)*200*I51*H51)+((J51*R51/2.5)*I51*H51)+((E51*F51*J51*R51*I51*H51)/12500000))/3*1000,"")</f>
        <v/>
      </c>
    </row>
    <row r="52">
      <c r="B52" s="6" t="inlineStr">
        <is>
          <t xml:space="preserve">  ↳ TSFireballLauncher</t>
        </is>
      </c>
      <c r="C52" s="6" t="inlineStr">
        <is>
          <t>Armament@PRIMARY</t>
        </is>
      </c>
      <c r="K52" s="5" t="n">
        <v>8000</v>
      </c>
      <c r="L52" s="5" t="n">
        <v>52</v>
      </c>
      <c r="M52" s="5" t="n">
        <v>5</v>
      </c>
      <c r="N52" s="5" t="n">
        <v>2</v>
      </c>
      <c r="O52" s="5" t="n">
        <v>4250</v>
      </c>
      <c r="P52" s="5" t="n">
        <v>1</v>
      </c>
      <c r="Q52">
        <f>L52+IF(M52&gt;1,N(N52)*(M52-1),0)</f>
        <v/>
      </c>
      <c r="R52">
        <f>IFERROR(K52*MAX(M52,1)/Q52*P52,0)</f>
        <v/>
      </c>
      <c r="AA52" s="6" t="inlineStr">
        <is>
          <t>^MediumFlameWeapon</t>
        </is>
      </c>
    </row>
    <row r="53">
      <c r="A53" t="inlineStr">
        <is>
          <t>tiberiansun</t>
        </is>
      </c>
      <c r="B53" t="inlineStr">
        <is>
          <t>ts_nod_mobileconstructionvehicle</t>
        </is>
      </c>
      <c r="C53" t="inlineStr">
        <is>
          <t>Nod Mobile Construction Vehicle</t>
        </is>
      </c>
      <c r="D53" t="inlineStr"/>
      <c r="E53" s="5" t="n">
        <v>300000</v>
      </c>
      <c r="F53" s="5" t="n">
        <v>75</v>
      </c>
      <c r="G53" t="inlineStr">
        <is>
          <t>Medium</t>
        </is>
      </c>
      <c r="H53" s="5" t="n">
        <v>1</v>
      </c>
      <c r="I53" s="5" t="n">
        <v>1</v>
      </c>
      <c r="J53" s="5" t="n">
        <v>1</v>
      </c>
      <c r="W53" s="5" t="n">
        <v>5000</v>
      </c>
    </row>
    <row r="54">
      <c r="A54" t="inlineStr">
        <is>
          <t>tiberiansun</t>
        </is>
      </c>
      <c r="B54" t="inlineStr">
        <is>
          <t>ts_nod_mobilerepairvehicle</t>
        </is>
      </c>
      <c r="C54" t="inlineStr">
        <is>
          <t>Mobile Repair Vehicle</t>
        </is>
      </c>
      <c r="D54" t="inlineStr"/>
      <c r="E54" s="5" t="n">
        <v>50000</v>
      </c>
      <c r="F54" s="5" t="n">
        <v>75</v>
      </c>
      <c r="G54" t="inlineStr">
        <is>
          <t>Heavy</t>
        </is>
      </c>
      <c r="H54" s="5" t="n">
        <v>1</v>
      </c>
      <c r="I54" s="5" t="n">
        <v>1</v>
      </c>
      <c r="J54" s="5" t="n">
        <v>1</v>
      </c>
      <c r="O54">
        <f>MAX(O55)</f>
        <v/>
      </c>
      <c r="R54">
        <f>R55</f>
        <v/>
      </c>
      <c r="S54">
        <f>(E54/100000+F54/100+(O54/1000)*J54/5+R54/200)*200*I54*H54</f>
        <v/>
      </c>
      <c r="T54">
        <f>((E54*F54/25000)+((O54/1000)*J54*R54/2.5))*I54*H54</f>
        <v/>
      </c>
      <c r="U54">
        <f>(E54*F54*(O54/1000)*J54*R54*I54*H54)/12500000</f>
        <v/>
      </c>
      <c r="V54">
        <f>(S54+T54+U54)/3</f>
        <v/>
      </c>
      <c r="W54" s="5" t="n">
        <v>1000</v>
      </c>
      <c r="X54">
        <f>IFERROR(V54-W54,"")</f>
        <v/>
      </c>
      <c r="Y54">
        <f>IFERROR(ABS(X54)/MAX(W54,1),"")</f>
        <v/>
      </c>
      <c r="Z54">
        <f>IFERROR((W54-(((E54/100000+F54/100+R54/200)*200*I54*H54)+((E54*F54/25000)*I54*H54))/3)/(((J54/5)*200*I54*H54)+((J54*R54/2.5)*I54*H54)+((E54*F54*J54*R54*I54*H54)/12500000))/3*1000,"")</f>
        <v/>
      </c>
    </row>
    <row r="55">
      <c r="B55" s="6" t="inlineStr">
        <is>
          <t xml:space="preserve">  ↳ ts_nod_mobilerepairvehicle</t>
        </is>
      </c>
      <c r="C55" s="6" t="inlineStr">
        <is>
          <t>Armament</t>
        </is>
      </c>
      <c r="K55" s="5" t="n">
        <v>-1</v>
      </c>
      <c r="L55" s="5" t="n">
        <v>50</v>
      </c>
      <c r="M55" s="5" t="n">
        <v>10</v>
      </c>
      <c r="N55" s="5" t="n">
        <v>1</v>
      </c>
      <c r="O55" s="5" t="n">
        <v>5000</v>
      </c>
      <c r="P55" s="5" t="n">
        <v>1</v>
      </c>
      <c r="Q55">
        <f>L55+IF(M55&gt;1,N(N55)*(M55-1),0)</f>
        <v/>
      </c>
      <c r="R55">
        <f>IFERROR(K55*MAX(M55,1)/Q55*P55,0)</f>
        <v/>
      </c>
      <c r="AA55" s="6" t="inlineStr">
        <is>
          <t>^RepairWeapon</t>
        </is>
      </c>
    </row>
    <row r="56">
      <c r="A56" t="inlineStr">
        <is>
          <t>tiberiansun</t>
        </is>
      </c>
      <c r="B56" t="inlineStr">
        <is>
          <t>ts_nod_mobilestealthgenerator</t>
        </is>
      </c>
      <c r="C56" t="inlineStr">
        <is>
          <t>Mobile Stealth Generator</t>
        </is>
      </c>
      <c r="D56" t="inlineStr"/>
      <c r="E56" s="5" t="n">
        <v>20000</v>
      </c>
      <c r="F56" s="5" t="n">
        <v>56</v>
      </c>
      <c r="G56" t="inlineStr">
        <is>
          <t>Wood</t>
        </is>
      </c>
      <c r="H56" s="5" t="n">
        <v>1</v>
      </c>
      <c r="I56" s="5" t="n">
        <v>1</v>
      </c>
      <c r="J56" s="5" t="n">
        <v>1</v>
      </c>
      <c r="W56" s="5" t="n">
        <v>1500</v>
      </c>
    </row>
    <row r="57">
      <c r="A57" t="inlineStr">
        <is>
          <t>tiberiansun</t>
        </is>
      </c>
      <c r="B57" t="inlineStr">
        <is>
          <t>ts_nod_stealthtank</t>
        </is>
      </c>
      <c r="C57" t="inlineStr">
        <is>
          <t>Stealth Tank</t>
        </is>
      </c>
      <c r="D57" t="inlineStr"/>
      <c r="E57" s="5" t="n">
        <v>80000</v>
      </c>
      <c r="F57" s="5" t="n">
        <v>100</v>
      </c>
      <c r="G57" t="inlineStr">
        <is>
          <t>Heavy</t>
        </is>
      </c>
      <c r="H57" s="5" t="n">
        <v>1</v>
      </c>
      <c r="I57" s="5" t="n">
        <v>1</v>
      </c>
      <c r="J57" s="5" t="n">
        <v>1</v>
      </c>
      <c r="O57">
        <f>MAX(O58,O59)</f>
        <v/>
      </c>
      <c r="R57">
        <f>R58+R59</f>
        <v/>
      </c>
      <c r="S57">
        <f>(E57/100000+F57/100+(O57/1000)*J57/5+R57/200)*200*I57*H57</f>
        <v/>
      </c>
      <c r="T57">
        <f>((E57*F57/25000)+((O57/1000)*J57*R57/2.5))*I57*H57</f>
        <v/>
      </c>
      <c r="U57">
        <f>(E57*F57*(O57/1000)*J57*R57*I57*H57)/12500000</f>
        <v/>
      </c>
      <c r="V57">
        <f>(S57+T57+U57)/3</f>
        <v/>
      </c>
      <c r="W57" s="5" t="n">
        <v>1750</v>
      </c>
      <c r="X57">
        <f>IFERROR(V57-W57,"")</f>
        <v/>
      </c>
      <c r="Y57">
        <f>IFERROR(ABS(X57)/MAX(W57,1),"")</f>
        <v/>
      </c>
      <c r="Z57">
        <f>IFERROR((W57-(((E57/100000+F57/100+R57/200)*200*I57*H57)+((E57*F57/25000)*I57*H57))/3)/(((J57/5)*200*I57*H57)+((J57*R57/2.5)*I57*H57)+((E57*F57*J57*R57*I57*H57)/12500000))/3*1000,"")</f>
        <v/>
      </c>
    </row>
    <row r="58">
      <c r="B58" s="6" t="inlineStr">
        <is>
          <t xml:space="preserve">  ↳ TSStankTusk</t>
        </is>
      </c>
      <c r="C58" s="6" t="inlineStr">
        <is>
          <t>Armament@PRIMARY</t>
        </is>
      </c>
      <c r="K58" s="5" t="n">
        <v>10000</v>
      </c>
      <c r="L58" s="5" t="n">
        <v>60</v>
      </c>
      <c r="M58" s="5" t="n">
        <v>2</v>
      </c>
      <c r="N58" s="5" t="n">
        <v>2</v>
      </c>
      <c r="O58" s="5" t="n">
        <v>6385</v>
      </c>
      <c r="P58" s="5" t="n">
        <v>1</v>
      </c>
      <c r="Q58">
        <f>L58+IF(M58&gt;1,N(N58)*(M58-1),0)</f>
        <v/>
      </c>
      <c r="R58">
        <f>IFERROR(K58*MAX(M58,1)/Q58*P58,0)</f>
        <v/>
      </c>
      <c r="AA58" s="6" t="inlineStr">
        <is>
          <t>^MediumCannon, ^MediumMissile</t>
        </is>
      </c>
    </row>
    <row r="59">
      <c r="B59" s="6" t="inlineStr">
        <is>
          <t xml:space="preserve">  ↳ TSStankTibTusk</t>
        </is>
      </c>
      <c r="C59" s="6" t="inlineStr">
        <is>
          <t>Armament@UPGRADE</t>
        </is>
      </c>
      <c r="K59" s="5" t="n">
        <v>10000</v>
      </c>
      <c r="L59" s="5" t="n">
        <v>60</v>
      </c>
      <c r="M59" s="5" t="n">
        <v>2</v>
      </c>
      <c r="N59" s="5" t="n">
        <v>2</v>
      </c>
      <c r="O59" s="5" t="n">
        <v>6385</v>
      </c>
      <c r="P59" s="5" t="n">
        <v>1</v>
      </c>
      <c r="Q59">
        <f>L59+IF(M59&gt;1,N(N59)*(M59-1),0)</f>
        <v/>
      </c>
      <c r="R59">
        <f>IFERROR(K59*MAX(M59,1)/Q59*P59,0)</f>
        <v/>
      </c>
      <c r="AA59" s="6" t="inlineStr">
        <is>
          <t>^MediumCannon, ^MediumChemicalWeapon, ^MediumMissile</t>
        </is>
      </c>
    </row>
    <row r="60">
      <c r="A60" t="inlineStr">
        <is>
          <t>tiberiansun</t>
        </is>
      </c>
      <c r="B60" t="inlineStr">
        <is>
          <t>ts_nod_subterraneanapc</t>
        </is>
      </c>
      <c r="C60" t="inlineStr">
        <is>
          <t>Subterranean APC</t>
        </is>
      </c>
      <c r="D60" t="inlineStr"/>
      <c r="E60" s="5" t="n">
        <v>17500</v>
      </c>
      <c r="F60" s="5" t="n">
        <v>60</v>
      </c>
      <c r="G60" t="inlineStr">
        <is>
          <t>Medium</t>
        </is>
      </c>
      <c r="H60" s="5" t="n">
        <v>1</v>
      </c>
      <c r="I60" s="5" t="n">
        <v>1</v>
      </c>
      <c r="J60" s="5" t="n">
        <v>1</v>
      </c>
      <c r="O60">
        <f>MAX(O61,O62)</f>
        <v/>
      </c>
      <c r="R60">
        <f>R61+R62</f>
        <v/>
      </c>
      <c r="S60">
        <f>(E60/100000+F60/100+(O60/1000)*J60/5+R60/200)*200*I60*H60</f>
        <v/>
      </c>
      <c r="T60">
        <f>((E60*F60/25000)+((O60/1000)*J60*R60/2.5))*I60*H60</f>
        <v/>
      </c>
      <c r="U60">
        <f>(E60*F60*(O60/1000)*J60*R60*I60*H60)/12500000</f>
        <v/>
      </c>
      <c r="V60">
        <f>(S60+T60+U60)/3</f>
        <v/>
      </c>
      <c r="W60" s="5" t="n">
        <v>1410</v>
      </c>
      <c r="X60">
        <f>IFERROR(V60-W60,"")</f>
        <v/>
      </c>
      <c r="Y60">
        <f>IFERROR(ABS(X60)/MAX(W60,1),"")</f>
        <v/>
      </c>
      <c r="Z60">
        <f>IFERROR((W60-(((E60/100000+F60/100+R60/200)*200*I60*H60)+((E60*F60/25000)*I60*H60))/3)/(((J60/5)*200*I60*H60)+((J60*R60/2.5)*I60*H60)+((E60*F60*J60*R60*I60*H60)/12500000))/3*1000,"")</f>
        <v/>
      </c>
    </row>
    <row r="61">
      <c r="B61" s="6" t="inlineStr">
        <is>
          <t xml:space="preserve">  ↳ TSSAPCMissiles</t>
        </is>
      </c>
      <c r="C61" s="6" t="inlineStr">
        <is>
          <t>Armament@PRIMARY</t>
        </is>
      </c>
      <c r="K61" s="5" t="n">
        <v>8000</v>
      </c>
      <c r="L61" s="5" t="n">
        <v>18</v>
      </c>
      <c r="M61" s="5" t="n">
        <v>2</v>
      </c>
      <c r="N61" s="5" t="n">
        <v>2</v>
      </c>
      <c r="O61" s="5" t="n">
        <v>5300</v>
      </c>
      <c r="P61" s="5" t="n">
        <v>1</v>
      </c>
      <c r="Q61">
        <f>L61+IF(M61&gt;1,N(N61)*(M61-1),0)</f>
        <v/>
      </c>
      <c r="R61">
        <f>IFERROR(K61*MAX(M61,1)/Q61*P61,0)</f>
        <v/>
      </c>
      <c r="AA61" s="6" t="inlineStr">
        <is>
          <t>^Grenade, ^LightMissile</t>
        </is>
      </c>
    </row>
    <row r="62">
      <c r="B62" s="6" t="inlineStr">
        <is>
          <t xml:space="preserve">  ↳ TSSAPCCoreMissiles</t>
        </is>
      </c>
      <c r="C62" s="6" t="inlineStr">
        <is>
          <t>Armament@UPGRADE</t>
        </is>
      </c>
      <c r="K62" s="5" t="n">
        <v>8000</v>
      </c>
      <c r="L62" s="5" t="n">
        <v>18</v>
      </c>
      <c r="M62" s="5" t="n">
        <v>2</v>
      </c>
      <c r="N62" s="5" t="n">
        <v>2</v>
      </c>
      <c r="O62" s="5" t="n">
        <v>5300</v>
      </c>
      <c r="P62" s="5" t="n">
        <v>1</v>
      </c>
      <c r="Q62">
        <f>L62+IF(M62&gt;1,N(N62)*(M62-1),0)</f>
        <v/>
      </c>
      <c r="R62">
        <f>IFERROR(K62*MAX(M62,1)/Q62*P62,0)</f>
        <v/>
      </c>
      <c r="AA62" s="6" t="inlineStr">
        <is>
          <t>^LightChemicalWeapon, ^Grenade, ^LightMissile</t>
        </is>
      </c>
    </row>
    <row r="63">
      <c r="A63" t="inlineStr">
        <is>
          <t>tiberiansun</t>
        </is>
      </c>
      <c r="B63" t="inlineStr">
        <is>
          <t>ts_nod_tiberiumharvester</t>
        </is>
      </c>
      <c r="C63" t="inlineStr">
        <is>
          <t>Tiberium Harvester</t>
        </is>
      </c>
      <c r="D63" t="inlineStr"/>
      <c r="E63" s="5" t="n">
        <v>150000</v>
      </c>
      <c r="F63" s="5" t="n">
        <v>60</v>
      </c>
      <c r="G63" t="inlineStr">
        <is>
          <t>Heavy</t>
        </is>
      </c>
      <c r="H63" s="5" t="n">
        <v>1</v>
      </c>
      <c r="I63" s="5" t="n">
        <v>1</v>
      </c>
      <c r="J63" s="5" t="n">
        <v>1</v>
      </c>
      <c r="W63" s="5" t="n">
        <v>1000</v>
      </c>
    </row>
    <row r="64">
      <c r="A64" t="inlineStr">
        <is>
          <t>tiberiansun</t>
        </is>
      </c>
      <c r="B64" t="inlineStr">
        <is>
          <t>ts_nod_ticktank</t>
        </is>
      </c>
      <c r="C64" t="inlineStr">
        <is>
          <t>Tick Tank</t>
        </is>
      </c>
      <c r="D64" t="inlineStr"/>
      <c r="E64" s="5" t="n">
        <v>100000</v>
      </c>
      <c r="F64" s="5" t="n">
        <v>90</v>
      </c>
      <c r="G64" t="inlineStr">
        <is>
          <t>Heavy</t>
        </is>
      </c>
      <c r="H64" s="5" t="n">
        <v>1</v>
      </c>
      <c r="I64" s="5" t="n">
        <v>1</v>
      </c>
      <c r="J64" s="5" t="n">
        <v>1</v>
      </c>
      <c r="O64">
        <f>MAX(O65,O66,O67,O68,O69,O70)</f>
        <v/>
      </c>
      <c r="R64">
        <f>R65+R66+R67+R68+R69+R70</f>
        <v/>
      </c>
      <c r="S64">
        <f>(E64/100000+F64/100+(O64/1000)*J64/5+R64/200)*200*I64*H64</f>
        <v/>
      </c>
      <c r="T64">
        <f>((E64*F64/25000)+((O64/1000)*J64*R64/2.5))*I64*H64</f>
        <v/>
      </c>
      <c r="U64">
        <f>(E64*F64*(O64/1000)*J64*R64*I64*H64)/12500000</f>
        <v/>
      </c>
      <c r="V64">
        <f>(S64+T64+U64)/3</f>
        <v/>
      </c>
      <c r="W64" s="5" t="n">
        <v>800</v>
      </c>
      <c r="X64">
        <f>IFERROR(V64-W64,"")</f>
        <v/>
      </c>
      <c r="Y64">
        <f>IFERROR(ABS(X64)/MAX(W64,1),"")</f>
        <v/>
      </c>
      <c r="Z64">
        <f>IFERROR((W64-(((E64/100000+F64/100+R64/200)*200*I64*H64)+((E64*F64/25000)*I64*H64))/3)/(((J64/5)*200*I64*H64)+((J64*R64/2.5)*I64*H64)+((E64*F64*J64*R64*I64*H64)/12500000))/3*1000,"")</f>
        <v/>
      </c>
    </row>
    <row r="65">
      <c r="B65" s="6" t="inlineStr">
        <is>
          <t xml:space="preserve">  ↳ TS90mm</t>
        </is>
      </c>
      <c r="C65" s="6" t="inlineStr">
        <is>
          <t>Armament@PRIMARY</t>
        </is>
      </c>
      <c r="K65" s="5" t="n">
        <v>6000</v>
      </c>
      <c r="L65" s="5" t="n">
        <v>26</v>
      </c>
      <c r="M65" s="5" t="n">
        <v>1</v>
      </c>
      <c r="N65" s="5" t="n"/>
      <c r="O65" s="5" t="n">
        <v>5319</v>
      </c>
      <c r="P65" s="5" t="n">
        <v>1</v>
      </c>
      <c r="Q65">
        <f>L65+IF(M65&gt;1,N(N65)*(M65-1),0)</f>
        <v/>
      </c>
      <c r="R65">
        <f>IFERROR(K65*MAX(M65,1)/Q65*P65,0)</f>
        <v/>
      </c>
      <c r="AA65" s="6" t="inlineStr">
        <is>
          <t>^TSCannonEffect, ^MediumCannon</t>
        </is>
      </c>
    </row>
    <row r="66">
      <c r="B66" s="6" t="inlineStr">
        <is>
          <t xml:space="preserve">  ↳ TSLaser90mm</t>
        </is>
      </c>
      <c r="C66" s="6" t="inlineStr">
        <is>
          <t>Armament@UPGRADE</t>
        </is>
      </c>
      <c r="K66" s="5" t="n">
        <v>6000</v>
      </c>
      <c r="L66" s="5" t="n">
        <v>32</v>
      </c>
      <c r="M66" s="5" t="n">
        <v>1</v>
      </c>
      <c r="N66" s="5" t="n"/>
      <c r="O66" s="5" t="n">
        <v>5423</v>
      </c>
      <c r="P66" s="5" t="n">
        <v>1</v>
      </c>
      <c r="Q66">
        <f>L66+IF(M66&gt;1,N(N66)*(M66-1),0)</f>
        <v/>
      </c>
      <c r="R66">
        <f>IFERROR(K66*MAX(M66,1)/Q66*P66,0)</f>
        <v/>
      </c>
      <c r="AA66" s="6" t="inlineStr">
        <is>
          <t>^MediumCannon, ^LaserWeapon, ^TSLaserEffect</t>
        </is>
      </c>
    </row>
    <row r="67">
      <c r="B67" s="6" t="inlineStr">
        <is>
          <t xml:space="preserve">  ↳ TS90mmDep</t>
        </is>
      </c>
      <c r="C67" s="6" t="inlineStr">
        <is>
          <t>Armament@deployed</t>
        </is>
      </c>
      <c r="K67" s="5" t="n">
        <v>6000</v>
      </c>
      <c r="L67" s="5" t="n">
        <v>22</v>
      </c>
      <c r="M67" s="5" t="n">
        <v>1</v>
      </c>
      <c r="N67" s="5" t="n"/>
      <c r="O67" s="5" t="n">
        <v>6679</v>
      </c>
      <c r="P67" s="5" t="n">
        <v>1</v>
      </c>
      <c r="Q67">
        <f>L67+IF(M67&gt;1,N(N67)*(M67-1),0)</f>
        <v/>
      </c>
      <c r="R67">
        <f>IFERROR(K67*MAX(M67,1)/Q67*P67,0)</f>
        <v/>
      </c>
      <c r="AA67" s="6" t="inlineStr">
        <is>
          <t>^TSCannonEffect, ^MediumCannon</t>
        </is>
      </c>
    </row>
    <row r="68">
      <c r="B68" s="6" t="inlineStr">
        <is>
          <t xml:space="preserve">  ↳ TSLaser90mmDep</t>
        </is>
      </c>
      <c r="C68" s="6" t="inlineStr">
        <is>
          <t>Armament@UPGRADEdeployed</t>
        </is>
      </c>
      <c r="K68" s="5" t="n">
        <v>6000</v>
      </c>
      <c r="L68" s="5" t="n">
        <v>26</v>
      </c>
      <c r="M68" s="5" t="n">
        <v>1</v>
      </c>
      <c r="N68" s="5" t="n"/>
      <c r="O68" s="5" t="n">
        <v>6754</v>
      </c>
      <c r="P68" s="5" t="n">
        <v>1</v>
      </c>
      <c r="Q68">
        <f>L68+IF(M68&gt;1,N(N68)*(M68-1),0)</f>
        <v/>
      </c>
      <c r="R68">
        <f>IFERROR(K68*MAX(M68,1)/Q68*P68,0)</f>
        <v/>
      </c>
      <c r="AA68" s="6" t="inlineStr">
        <is>
          <t>^MediumCannon, ^LaserWeapon, ^TSLaserEffect</t>
        </is>
      </c>
    </row>
    <row r="69">
      <c r="B69" s="6" t="inlineStr">
        <is>
          <t xml:space="preserve">  ↳ TS25mmDep</t>
        </is>
      </c>
      <c r="C69" s="6" t="inlineStr">
        <is>
          <t>Armament@SECONDARY</t>
        </is>
      </c>
      <c r="K69" s="5" t="n">
        <v>2000</v>
      </c>
      <c r="L69" s="5" t="n">
        <v>8</v>
      </c>
      <c r="M69" s="5" t="n">
        <v>1</v>
      </c>
      <c r="N69" s="5" t="n"/>
      <c r="O69" s="5" t="n">
        <v>6679</v>
      </c>
      <c r="P69" s="5" t="n">
        <v>1</v>
      </c>
      <c r="Q69">
        <f>L69+IF(M69&gt;1,N(N69)*(M69-1),0)</f>
        <v/>
      </c>
      <c r="R69">
        <f>IFERROR(K69*MAX(M69,1)/Q69*P69,0)</f>
        <v/>
      </c>
      <c r="AA69" s="6" t="inlineStr">
        <is>
          <t>^FlakWeapon</t>
        </is>
      </c>
    </row>
    <row r="70">
      <c r="B70" s="6" t="inlineStr">
        <is>
          <t xml:space="preserve">  ↳ TSLaser25mmDep</t>
        </is>
      </c>
      <c r="C70" s="6" t="inlineStr">
        <is>
          <t>Armament@UPGRADESECONDARY</t>
        </is>
      </c>
      <c r="K70" s="5" t="n">
        <v>2000</v>
      </c>
      <c r="L70" s="5" t="n">
        <v>8</v>
      </c>
      <c r="M70" s="5" t="n">
        <v>1</v>
      </c>
      <c r="N70" s="5" t="n"/>
      <c r="O70" s="5" t="n">
        <v>6679</v>
      </c>
      <c r="P70" s="5" t="n">
        <v>1</v>
      </c>
      <c r="Q70">
        <f>L70+IF(M70&gt;1,N(N70)*(M70-1),0)</f>
        <v/>
      </c>
      <c r="R70">
        <f>IFERROR(K70*MAX(M70,1)/Q70*P70,0)</f>
        <v/>
      </c>
      <c r="AA70" s="6" t="inlineStr">
        <is>
          <t>^FlakWeapon, ^LaserWeapon, ^TSLaserEffect</t>
        </is>
      </c>
    </row>
    <row r="71">
      <c r="A71" s="3" t="inlineStr">
        <is>
          <t>AIRCRAFT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</row>
    <row r="72">
      <c r="A72" t="inlineStr">
        <is>
          <t>tiberiansun</t>
        </is>
      </c>
      <c r="B72" t="inlineStr">
        <is>
          <t>ts_nod_bansheefighter</t>
        </is>
      </c>
      <c r="C72" t="inlineStr">
        <is>
          <t>Banshee Fighter</t>
        </is>
      </c>
      <c r="D72" t="inlineStr"/>
      <c r="E72" s="5" t="n">
        <v>60000</v>
      </c>
      <c r="F72" s="5" t="n">
        <v>180</v>
      </c>
      <c r="G72" t="inlineStr">
        <is>
          <t>Bomber</t>
        </is>
      </c>
      <c r="H72" s="5" t="n">
        <v>1</v>
      </c>
      <c r="I72" s="5" t="n">
        <v>1</v>
      </c>
      <c r="J72" s="5" t="n">
        <v>1</v>
      </c>
      <c r="O72">
        <f>MAX(O73)</f>
        <v/>
      </c>
      <c r="R72">
        <f>R73</f>
        <v/>
      </c>
      <c r="S72">
        <f>(E72/100000+F72/100+(O72/1000)*J72/5+R72/200)*200*I72*H72</f>
        <v/>
      </c>
      <c r="T72">
        <f>((E72*F72/25000)+((O72/1000)*J72*R72/2.5))*I72*H72</f>
        <v/>
      </c>
      <c r="U72">
        <f>(E72*F72*(O72/1000)*J72*R72*I72*H72)/12500000</f>
        <v/>
      </c>
      <c r="V72">
        <f>(S72+T72+U72)/3</f>
        <v/>
      </c>
      <c r="W72" s="5" t="n">
        <v>2400</v>
      </c>
      <c r="X72">
        <f>IFERROR(V72-W72,"")</f>
        <v/>
      </c>
      <c r="Y72">
        <f>IFERROR(ABS(X72)/MAX(W72,1),"")</f>
        <v/>
      </c>
      <c r="Z72">
        <f>IFERROR((W72-(((E72/100000+F72/100+R72/200)*200*I72*H72)+((E72*F72/25000)*I72*H72))/3)/(((J72/5)*200*I72*H72)+((J72*R72/2.5)*I72*H72)+((E72*F72*J72*R72*I72*H72)/12500000))/3*1000,"")</f>
        <v/>
      </c>
    </row>
    <row r="73">
      <c r="B73" s="6" t="inlineStr">
        <is>
          <t xml:space="preserve">  ↳ TSProton</t>
        </is>
      </c>
      <c r="C73" s="6" t="inlineStr">
        <is>
          <t>Armament@PRIMARY</t>
        </is>
      </c>
      <c r="K73" s="5" t="n">
        <v>30000</v>
      </c>
      <c r="L73" s="5" t="n">
        <v>50</v>
      </c>
      <c r="M73" s="5" t="n">
        <v>4</v>
      </c>
      <c r="N73" s="5" t="n">
        <v>3</v>
      </c>
      <c r="O73" s="5" t="n">
        <v>5414</v>
      </c>
      <c r="P73" s="5" t="n">
        <v>1</v>
      </c>
      <c r="Q73">
        <f>L73+IF(M73&gt;1,N(N73)*(M73-1),0)</f>
        <v/>
      </c>
      <c r="R73">
        <f>IFERROR(K73*MAX(M73,1)/Q73*P73,0)</f>
        <v/>
      </c>
      <c r="AA73" s="6" t="inlineStr">
        <is>
          <t>^TSEnergyBlast, ^MediumFlameWeapon, ^LaserWeapon</t>
        </is>
      </c>
    </row>
    <row r="74">
      <c r="A74" t="inlineStr">
        <is>
          <t>tiberiansun</t>
        </is>
      </c>
      <c r="B74" t="inlineStr">
        <is>
          <t>ts_nod_harpy</t>
        </is>
      </c>
      <c r="C74" t="inlineStr">
        <is>
          <t>Harpy</t>
        </is>
      </c>
      <c r="D74" t="inlineStr"/>
      <c r="E74" s="5" t="n">
        <v>50000</v>
      </c>
      <c r="F74" s="5" t="n">
        <v>140</v>
      </c>
      <c r="G74" t="inlineStr">
        <is>
          <t>Helicopter</t>
        </is>
      </c>
      <c r="H74" s="5" t="n">
        <v>1</v>
      </c>
      <c r="I74" s="5" t="n">
        <v>1</v>
      </c>
      <c r="J74" s="5" t="n">
        <v>1</v>
      </c>
      <c r="O74">
        <f>MAX(O75,O76,O77,O78,O79,O80)</f>
        <v/>
      </c>
      <c r="R74">
        <f>R75+R76+R77+R78+R79+R80</f>
        <v/>
      </c>
      <c r="S74">
        <f>(E74/100000+F74/100+(O74/1000)*J74/5+R74/200)*200*I74*H74</f>
        <v/>
      </c>
      <c r="T74">
        <f>((E74*F74/25000)+((O74/1000)*J74*R74/2.5))*I74*H74</f>
        <v/>
      </c>
      <c r="U74">
        <f>(E74*F74*(O74/1000)*J74*R74*I74*H74)/12500000</f>
        <v/>
      </c>
      <c r="V74">
        <f>(S74+T74+U74)/3</f>
        <v/>
      </c>
      <c r="W74" s="5" t="n">
        <v>1800</v>
      </c>
      <c r="X74">
        <f>IFERROR(V74-W74,"")</f>
        <v/>
      </c>
      <c r="Y74">
        <f>IFERROR(ABS(X74)/MAX(W74,1),"")</f>
        <v/>
      </c>
      <c r="Z74">
        <f>IFERROR((W74-(((E74/100000+F74/100+R74/200)*200*I74*H74)+((E74*F74/25000)*I74*H74))/3)/(((J74/5)*200*I74*H74)+((J74*R74/2.5)*I74*H74)+((E74*F74*J74*R74*I74*H74)/12500000))/3*1000,"")</f>
        <v/>
      </c>
    </row>
    <row r="75">
      <c r="B75" s="6" t="inlineStr">
        <is>
          <t xml:space="preserve">  ↳ TSHarpyClaw</t>
        </is>
      </c>
      <c r="C75" s="6" t="inlineStr">
        <is>
          <t>Armament@PRIMARY</t>
        </is>
      </c>
      <c r="K75" s="5" t="n">
        <v>4000</v>
      </c>
      <c r="L75" s="5" t="n">
        <v>24</v>
      </c>
      <c r="M75" s="5" t="n">
        <v>5</v>
      </c>
      <c r="N75" s="5" t="n">
        <v>0</v>
      </c>
      <c r="O75" s="5" t="n">
        <v>4882</v>
      </c>
      <c r="P75" s="5" t="n">
        <v>1</v>
      </c>
      <c r="Q75">
        <f>L75+IF(M75&gt;1,N(N75)*(M75-1),0)</f>
        <v/>
      </c>
      <c r="R75">
        <f>IFERROR(K75*MAX(M75,1)/Q75*P75,0)</f>
        <v/>
      </c>
      <c r="AA75" s="6" t="inlineStr">
        <is>
          <t>^Chaingun</t>
        </is>
      </c>
    </row>
    <row r="76">
      <c r="B76" s="6" t="inlineStr">
        <is>
          <t xml:space="preserve">  ↳ TSHarpyMultiClaw</t>
        </is>
      </c>
      <c r="C76" s="6" t="inlineStr">
        <is>
          <t>Armament@SECONDARY</t>
        </is>
      </c>
      <c r="K76" s="5" t="n">
        <v>0</v>
      </c>
      <c r="L76" s="5" t="n">
        <v>24</v>
      </c>
      <c r="M76" s="5" t="n">
        <v>4</v>
      </c>
      <c r="N76" s="5" t="n">
        <v>0</v>
      </c>
      <c r="O76" s="5" t="n">
        <v>4882</v>
      </c>
      <c r="P76" s="5" t="n">
        <v>1</v>
      </c>
      <c r="Q76">
        <f>L76+IF(M76&gt;1,N(N76)*(M76-1),0)</f>
        <v/>
      </c>
      <c r="R76">
        <f>IFERROR(K76*MAX(M76,1)/Q76*P76,0)</f>
        <v/>
      </c>
      <c r="AA76" s="6" t="inlineStr">
        <is>
          <t>^Chaingun</t>
        </is>
      </c>
    </row>
    <row r="77">
      <c r="B77" s="6" t="inlineStr">
        <is>
          <t xml:space="preserve">  ↳ TSHarpyAOEClaw</t>
        </is>
      </c>
      <c r="C77" s="6" t="inlineStr">
        <is>
          <t>Armament@PRIMARYAOE</t>
        </is>
      </c>
      <c r="K77" s="5" t="n">
        <v>4000</v>
      </c>
      <c r="L77" s="5" t="n">
        <v>24</v>
      </c>
      <c r="M77" s="5" t="n">
        <v>5</v>
      </c>
      <c r="N77" s="5" t="n">
        <v>0</v>
      </c>
      <c r="O77" s="5" t="n">
        <v>4882</v>
      </c>
      <c r="P77" s="5" t="n">
        <v>1</v>
      </c>
      <c r="Q77">
        <f>L77+IF(M77&gt;1,N(N77)*(M77-1),0)</f>
        <v/>
      </c>
      <c r="R77">
        <f>IFERROR(K77*MAX(M77,1)/Q77*P77,0)</f>
        <v/>
      </c>
      <c r="AA77" s="6" t="inlineStr">
        <is>
          <t>^Chaingun</t>
        </is>
      </c>
    </row>
    <row r="78">
      <c r="B78" s="6" t="inlineStr">
        <is>
          <t xml:space="preserve">  ↳ TSLaserHarpyClaw</t>
        </is>
      </c>
      <c r="C78" s="6" t="inlineStr">
        <is>
          <t>Armament@UPGRADE</t>
        </is>
      </c>
      <c r="K78" s="5" t="n">
        <v>4000</v>
      </c>
      <c r="L78" s="5" t="n">
        <v>25</v>
      </c>
      <c r="M78" s="5" t="n">
        <v>4</v>
      </c>
      <c r="N78" s="5" t="n">
        <v>0</v>
      </c>
      <c r="O78" s="5" t="n">
        <v>4969</v>
      </c>
      <c r="P78" s="5" t="n">
        <v>1</v>
      </c>
      <c r="Q78">
        <f>L78+IF(M78&gt;1,N(N78)*(M78-1),0)</f>
        <v/>
      </c>
      <c r="R78">
        <f>IFERROR(K78*MAX(M78,1)/Q78*P78,0)</f>
        <v/>
      </c>
      <c r="AA78" s="6" t="inlineStr">
        <is>
          <t>^Chaingun, ^LaserWeapon, ^TSLaserEffect</t>
        </is>
      </c>
    </row>
    <row r="79">
      <c r="B79" s="6" t="inlineStr">
        <is>
          <t xml:space="preserve">  ↳ TSLaserHarpyMultiClaw</t>
        </is>
      </c>
      <c r="C79" s="6" t="inlineStr">
        <is>
          <t>Armament@SECONDARYUPGRADE</t>
        </is>
      </c>
      <c r="K79" s="5" t="n">
        <v>600</v>
      </c>
      <c r="L79" s="5" t="n">
        <v>25</v>
      </c>
      <c r="M79" s="5" t="n">
        <v>4</v>
      </c>
      <c r="N79" s="5" t="n">
        <v>0</v>
      </c>
      <c r="O79" s="5" t="n">
        <v>4969</v>
      </c>
      <c r="P79" s="5" t="n">
        <v>1</v>
      </c>
      <c r="Q79">
        <f>L79+IF(M79&gt;1,N(N79)*(M79-1),0)</f>
        <v/>
      </c>
      <c r="R79">
        <f>IFERROR(K79*MAX(M79,1)/Q79*P79,0)</f>
        <v/>
      </c>
      <c r="AA79" s="6" t="inlineStr">
        <is>
          <t>^Chaingun, ^LaserWeapon, ^TSLaserEffect</t>
        </is>
      </c>
    </row>
    <row r="80">
      <c r="B80" s="6" t="inlineStr">
        <is>
          <t xml:space="preserve">  ↳ TSLaserHarpyAOEClaw</t>
        </is>
      </c>
      <c r="C80" s="6" t="inlineStr">
        <is>
          <t>Armament@UPGRADEAOE</t>
        </is>
      </c>
      <c r="K80" s="5" t="n">
        <v>4000</v>
      </c>
      <c r="L80" s="5" t="n">
        <v>25</v>
      </c>
      <c r="M80" s="5" t="n">
        <v>4</v>
      </c>
      <c r="N80" s="5" t="n">
        <v>0</v>
      </c>
      <c r="O80" s="5" t="n">
        <v>4969</v>
      </c>
      <c r="P80" s="5" t="n">
        <v>1</v>
      </c>
      <c r="Q80">
        <f>L80+IF(M80&gt;1,N(N80)*(M80-1),0)</f>
        <v/>
      </c>
      <c r="R80">
        <f>IFERROR(K80*MAX(M80,1)/Q80*P80,0)</f>
        <v/>
      </c>
      <c r="AA80" s="6" t="inlineStr">
        <is>
          <t>^Chaingun, ^LaserWeapon, ^TSLaserEffect</t>
        </is>
      </c>
    </row>
    <row r="81">
      <c r="A81" s="3" t="inlineStr">
        <is>
          <t>DEFENSES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>
      <c r="A82" t="inlineStr">
        <is>
          <t>tiberiansun</t>
        </is>
      </c>
      <c r="B82" t="inlineStr">
        <is>
          <t>ts_nod_laserfence</t>
        </is>
      </c>
      <c r="C82" t="inlineStr">
        <is>
          <t>Laser Fence</t>
        </is>
      </c>
      <c r="D82" t="inlineStr"/>
      <c r="E82" s="5" t="n">
        <v>30000</v>
      </c>
      <c r="F82" s="5" t="n">
        <v>100</v>
      </c>
      <c r="G82" t="inlineStr">
        <is>
          <t>Concrete</t>
        </is>
      </c>
      <c r="H82" s="5" t="n">
        <v>1</v>
      </c>
      <c r="I82" s="5" t="n">
        <v>1</v>
      </c>
      <c r="J82" s="5" t="n">
        <v>1</v>
      </c>
      <c r="W82" s="5" t="n">
        <v>200</v>
      </c>
    </row>
    <row r="83">
      <c r="A83" t="inlineStr">
        <is>
          <t>tiberiansun</t>
        </is>
      </c>
      <c r="B83" t="inlineStr">
        <is>
          <t>ts_nod_laserturret</t>
        </is>
      </c>
      <c r="C83" t="inlineStr">
        <is>
          <t>Laser Turret</t>
        </is>
      </c>
      <c r="D83" t="inlineStr"/>
      <c r="E83" s="5" t="n">
        <v>60000</v>
      </c>
      <c r="F83" s="5" t="n">
        <v>100</v>
      </c>
      <c r="G83" t="inlineStr">
        <is>
          <t>Concrete</t>
        </is>
      </c>
      <c r="H83" s="5" t="n">
        <v>1</v>
      </c>
      <c r="I83" s="5" t="n">
        <v>1</v>
      </c>
      <c r="J83" s="5" t="n">
        <v>1</v>
      </c>
      <c r="O83">
        <f>MAX(O84,O85)</f>
        <v/>
      </c>
      <c r="R83">
        <f>R84+R85</f>
        <v/>
      </c>
      <c r="S83">
        <f>(E83/100000+F83/100+(O83/1000)*J83/5+R83/200)*200*I83*H83</f>
        <v/>
      </c>
      <c r="T83">
        <f>((E83*F83/25000)+((O83/1000)*J83*R83/2.5))*I83*H83</f>
        <v/>
      </c>
      <c r="U83">
        <f>(E83*F83*(O83/1000)*J83*R83*I83*H83)/12500000</f>
        <v/>
      </c>
      <c r="V83">
        <f>(S83+T83+U83)/3</f>
        <v/>
      </c>
      <c r="W83" s="5" t="n">
        <v>800</v>
      </c>
      <c r="X83">
        <f>IFERROR(V83-W83,"")</f>
        <v/>
      </c>
      <c r="Y83">
        <f>IFERROR(ABS(X83)/MAX(W83,1),"")</f>
        <v/>
      </c>
      <c r="Z83">
        <f>IFERROR((W83-(((E83/100000+F83/100+R83/200)*200*I83*H83)+((E83*F83/25000)*I83*H83))/3)/(((J83/5)*200*I83*H83)+((J83*R83/2.5)*I83*H83)+((E83*F83*J83*R83*I83*H83)/12500000))/3*1000,"")</f>
        <v/>
      </c>
    </row>
    <row r="84">
      <c r="B84" s="6" t="inlineStr">
        <is>
          <t xml:space="preserve">  ↳ TSTurretLaser</t>
        </is>
      </c>
      <c r="C84" s="6" t="inlineStr">
        <is>
          <t>Armament@PRIMARY</t>
        </is>
      </c>
      <c r="K84" s="5" t="n">
        <v>10000</v>
      </c>
      <c r="L84" s="5" t="n">
        <v>25</v>
      </c>
      <c r="M84" s="5" t="n">
        <v>1</v>
      </c>
      <c r="N84" s="5" t="n"/>
      <c r="O84" s="5" t="n">
        <v>6487</v>
      </c>
      <c r="P84" s="5" t="n">
        <v>1</v>
      </c>
      <c r="Q84">
        <f>L84+IF(M84&gt;1,N(N84)*(M84-1),0)</f>
        <v/>
      </c>
      <c r="R84">
        <f>IFERROR(K84*MAX(M84,1)/Q84*P84,0)</f>
        <v/>
      </c>
      <c r="AA84" s="6" t="inlineStr">
        <is>
          <t>^Chaingun, ^LaserWeapon, ^TSLaserEffect</t>
        </is>
      </c>
    </row>
    <row r="85">
      <c r="B85" s="6" t="inlineStr">
        <is>
          <t xml:space="preserve">  ↳ TSLaserTurretLaser</t>
        </is>
      </c>
      <c r="C85" s="6" t="inlineStr">
        <is>
          <t>Armament@UPGRADE</t>
        </is>
      </c>
      <c r="K85" s="5" t="n">
        <v>16000</v>
      </c>
      <c r="L85" s="5" t="n">
        <v>20</v>
      </c>
      <c r="M85" s="5" t="n">
        <v>1</v>
      </c>
      <c r="N85" s="5" t="n"/>
      <c r="O85" s="5" t="n">
        <v>6992</v>
      </c>
      <c r="P85" s="5" t="n">
        <v>1</v>
      </c>
      <c r="Q85">
        <f>L85+IF(M85&gt;1,N(N85)*(M85-1),0)</f>
        <v/>
      </c>
      <c r="R85">
        <f>IFERROR(K85*MAX(M85,1)/Q85*P85,0)</f>
        <v/>
      </c>
      <c r="AA85" s="6" t="inlineStr">
        <is>
          <t>^Chaingun, ^LaserWeapon, ^TSLaserEffect</t>
        </is>
      </c>
    </row>
    <row r="86">
      <c r="A86" t="inlineStr">
        <is>
          <t>tiberiansun</t>
        </is>
      </c>
      <c r="B86" t="inlineStr">
        <is>
          <t>ts_nod_missilesilo</t>
        </is>
      </c>
      <c r="C86" t="inlineStr">
        <is>
          <t>Missile Silo</t>
        </is>
      </c>
      <c r="D86" t="inlineStr"/>
      <c r="E86" s="5" t="n">
        <v>1000000</v>
      </c>
      <c r="F86" s="5" t="n">
        <v>100</v>
      </c>
      <c r="G86" t="inlineStr">
        <is>
          <t>Wood</t>
        </is>
      </c>
      <c r="H86" s="5" t="n">
        <v>1</v>
      </c>
      <c r="I86" s="5" t="n">
        <v>1</v>
      </c>
      <c r="J86" s="5" t="n">
        <v>1</v>
      </c>
      <c r="O86">
        <f>MAX(O87,O88)</f>
        <v/>
      </c>
      <c r="R86">
        <f>R87+R88</f>
        <v/>
      </c>
      <c r="S86">
        <f>(E86/100000+F86/100+(O86/1000)*J86/5+R86/200)*200*I86*H86</f>
        <v/>
      </c>
      <c r="T86">
        <f>((E86*F86/25000)+((O86/1000)*J86*R86/2.5))*I86*H86</f>
        <v/>
      </c>
      <c r="U86">
        <f>(E86*F86*(O86/1000)*J86*R86*I86*H86)/12500000</f>
        <v/>
      </c>
      <c r="V86">
        <f>(S86+T86+U86)/3</f>
        <v/>
      </c>
      <c r="W86" s="5" t="n">
        <v>10000</v>
      </c>
      <c r="X86">
        <f>IFERROR(V86-W86,"")</f>
        <v/>
      </c>
      <c r="Y86">
        <f>IFERROR(ABS(X86)/MAX(W86,1),"")</f>
        <v/>
      </c>
      <c r="Z86">
        <f>IFERROR((W86-(((E86/100000+F86/100+R86/200)*200*I86*H86)+((E86*F86/25000)*I86*H86))/3)/(((J86/5)*200*I86*H86)+((J86*R86/2.5)*I86*H86)+((E86*F86*J86*R86*I86*H86)/12500000))/3*1000,"")</f>
        <v/>
      </c>
    </row>
    <row r="87">
      <c r="B87" s="6" t="inlineStr">
        <is>
          <t xml:space="preserve">  ↳ TSTacticalMissile</t>
        </is>
      </c>
      <c r="C87" s="6" t="inlineStr">
        <is>
          <t>Armament@superweapon1</t>
        </is>
      </c>
      <c r="K87" s="5" t="n"/>
      <c r="L87" s="5" t="n">
        <v>50</v>
      </c>
      <c r="M87" s="5" t="n">
        <v>1</v>
      </c>
      <c r="N87" s="5" t="n"/>
      <c r="O87" s="5" t="n">
        <v>10238976</v>
      </c>
      <c r="P87" s="5" t="n">
        <v>1</v>
      </c>
      <c r="Q87">
        <f>L87+IF(M87&gt;1,N(N87)*(M87-1),0)</f>
        <v/>
      </c>
      <c r="R87">
        <f>IFERROR(K87*MAX(M87,1)/Q87*P87,0)</f>
        <v/>
      </c>
      <c r="AA87" s="6" t="inlineStr">
        <is>
          <t>^TSDefaultMissile</t>
        </is>
      </c>
    </row>
    <row r="88">
      <c r="B88" s="6" t="inlineStr">
        <is>
          <t xml:space="preserve">  ↳ TSTacticalChemMissile</t>
        </is>
      </c>
      <c r="C88" s="6" t="inlineStr">
        <is>
          <t>Armament@superweapon2</t>
        </is>
      </c>
      <c r="K88" s="5" t="n"/>
      <c r="L88" s="5" t="n">
        <v>50</v>
      </c>
      <c r="M88" s="5" t="n">
        <v>1</v>
      </c>
      <c r="N88" s="5" t="n"/>
      <c r="O88" s="5" t="n">
        <v>10238976</v>
      </c>
      <c r="P88" s="5" t="n">
        <v>1</v>
      </c>
      <c r="Q88">
        <f>L88+IF(M88&gt;1,N(N88)*(M88-1),0)</f>
        <v/>
      </c>
      <c r="R88">
        <f>IFERROR(K88*MAX(M88,1)/Q88*P88,0)</f>
        <v/>
      </c>
      <c r="AA88" s="6" t="inlineStr">
        <is>
          <t>^TSDefaultMissile</t>
        </is>
      </c>
    </row>
    <row r="89">
      <c r="A89" t="inlineStr">
        <is>
          <t>tiberiansun</t>
        </is>
      </c>
      <c r="B89" t="inlineStr">
        <is>
          <t>ts_nod_obeliskoflight</t>
        </is>
      </c>
      <c r="C89" t="inlineStr">
        <is>
          <t>Obelisk of Light</t>
        </is>
      </c>
      <c r="D89" t="inlineStr"/>
      <c r="E89" s="5" t="n">
        <v>250000</v>
      </c>
      <c r="F89" s="5" t="n">
        <v>100</v>
      </c>
      <c r="G89" t="inlineStr">
        <is>
          <t>Steel</t>
        </is>
      </c>
      <c r="H89" s="5" t="n">
        <v>1</v>
      </c>
      <c r="I89" s="5" t="n">
        <v>1</v>
      </c>
      <c r="J89" s="5" t="n">
        <v>1</v>
      </c>
      <c r="O89">
        <f>MAX(O90,O91)</f>
        <v/>
      </c>
      <c r="R89">
        <f>R90+R91</f>
        <v/>
      </c>
      <c r="S89">
        <f>(E89/100000+F89/100+(O89/1000)*J89/5+R89/200)*200*I89*H89</f>
        <v/>
      </c>
      <c r="T89">
        <f>((E89*F89/25000)+((O89/1000)*J89*R89/2.5))*I89*H89</f>
        <v/>
      </c>
      <c r="U89">
        <f>(E89*F89*(O89/1000)*J89*R89*I89*H89)/12500000</f>
        <v/>
      </c>
      <c r="V89">
        <f>(S89+T89+U89)/3</f>
        <v/>
      </c>
      <c r="W89" s="5" t="n">
        <v>2200</v>
      </c>
      <c r="X89">
        <f>IFERROR(V89-W89,"")</f>
        <v/>
      </c>
      <c r="Y89">
        <f>IFERROR(ABS(X89)/MAX(W89,1),"")</f>
        <v/>
      </c>
      <c r="Z89">
        <f>IFERROR((W89-(((E89/100000+F89/100+R89/200)*200*I89*H89)+((E89*F89/25000)*I89*H89))/3)/(((J89/5)*200*I89*H89)+((J89*R89/2.5)*I89*H89)+((E89*F89*J89*R89*I89*H89)/12500000))/3*1000,"")</f>
        <v/>
      </c>
    </row>
    <row r="90">
      <c r="B90" s="6" t="inlineStr">
        <is>
          <t xml:space="preserve">  ↳ TSObeliskLaserFire</t>
        </is>
      </c>
      <c r="C90" s="6" t="inlineStr">
        <is>
          <t>Armament@PRIMARY</t>
        </is>
      </c>
      <c r="K90" s="5" t="n">
        <v>52000</v>
      </c>
      <c r="L90" s="5" t="n">
        <v>60</v>
      </c>
      <c r="M90" s="5" t="n">
        <v>1</v>
      </c>
      <c r="N90" s="5" t="n"/>
      <c r="O90" s="5" t="n">
        <v>10199</v>
      </c>
      <c r="P90" s="5" t="n">
        <v>1</v>
      </c>
      <c r="Q90">
        <f>L90+IF(M90&gt;1,N(N90)*(M90-1),0)</f>
        <v/>
      </c>
      <c r="R90">
        <f>IFERROR(K90*MAX(M90,1)/Q90*P90,0)</f>
        <v/>
      </c>
      <c r="AA90" s="6" t="inlineStr">
        <is>
          <t>^TankDestroyerCannon, ^LaserWeapon, ^TSLaserEffect</t>
        </is>
      </c>
    </row>
    <row r="91">
      <c r="B91" s="6" t="inlineStr">
        <is>
          <t xml:space="preserve">  ↳ TSLaserObeliskLaserFire</t>
        </is>
      </c>
      <c r="C91" s="6" t="inlineStr">
        <is>
          <t>Armament@UPGRADE</t>
        </is>
      </c>
      <c r="K91" s="5" t="n">
        <v>80000</v>
      </c>
      <c r="L91" s="5" t="n">
        <v>32</v>
      </c>
      <c r="M91" s="5" t="n">
        <v>1</v>
      </c>
      <c r="N91" s="5" t="n"/>
      <c r="O91" s="5" t="n">
        <v>10435</v>
      </c>
      <c r="P91" s="5" t="n">
        <v>1</v>
      </c>
      <c r="Q91">
        <f>L91+IF(M91&gt;1,N(N91)*(M91-1),0)</f>
        <v/>
      </c>
      <c r="R91">
        <f>IFERROR(K91*MAX(M91,1)/Q91*P91,0)</f>
        <v/>
      </c>
      <c r="AA91" s="6" t="inlineStr">
        <is>
          <t>^TankDestroyerCannon, ^LaserWeapon, ^TSLaserEffect</t>
        </is>
      </c>
    </row>
    <row r="92">
      <c r="A92" t="inlineStr">
        <is>
          <t>tiberiansun</t>
        </is>
      </c>
      <c r="B92" t="inlineStr">
        <is>
          <t>ts_nod_samsite</t>
        </is>
      </c>
      <c r="C92" t="inlineStr">
        <is>
          <t>SAM Site</t>
        </is>
      </c>
      <c r="D92" t="inlineStr"/>
      <c r="E92" s="5" t="n">
        <v>100000</v>
      </c>
      <c r="F92" s="5" t="n">
        <v>100</v>
      </c>
      <c r="G92" t="inlineStr">
        <is>
          <t>Concrete</t>
        </is>
      </c>
      <c r="H92" s="5" t="n">
        <v>1</v>
      </c>
      <c r="I92" s="5" t="n">
        <v>1</v>
      </c>
      <c r="J92" s="5" t="n">
        <v>1</v>
      </c>
      <c r="O92">
        <f>MAX(O93,O94)</f>
        <v/>
      </c>
      <c r="R92">
        <f>R93+R94</f>
        <v/>
      </c>
      <c r="S92">
        <f>(E92/100000+F92/100+(O92/1000)*J92/5+R92/200)*200*I92*H92</f>
        <v/>
      </c>
      <c r="T92">
        <f>((E92*F92/25000)+((O92/1000)*J92*R92/2.5))*I92*H92</f>
        <v/>
      </c>
      <c r="U92">
        <f>(E92*F92*(O92/1000)*J92*R92*I92*H92)/12500000</f>
        <v/>
      </c>
      <c r="V92">
        <f>(S92+T92+U92)/3</f>
        <v/>
      </c>
      <c r="W92" s="5" t="n">
        <v>800</v>
      </c>
      <c r="X92">
        <f>IFERROR(V92-W92,"")</f>
        <v/>
      </c>
      <c r="Y92">
        <f>IFERROR(ABS(X92)/MAX(W92,1),"")</f>
        <v/>
      </c>
      <c r="Z92">
        <f>IFERROR((W92-(((E92/100000+F92/100+R92/200)*200*I92*H92)+((E92*F92/25000)*I92*H92))/3)/(((J92/5)*200*I92*H92)+((J92*R92/2.5)*I92*H92)+((E92*F92*J92*R92*I92*H92)/12500000))/3*1000,"")</f>
        <v/>
      </c>
    </row>
    <row r="93">
      <c r="B93" s="6" t="inlineStr">
        <is>
          <t xml:space="preserve">  ↳ TSNODRedEye</t>
        </is>
      </c>
      <c r="C93" s="6" t="inlineStr">
        <is>
          <t>Armament@PRIMARY</t>
        </is>
      </c>
      <c r="K93" s="5" t="n">
        <v>12000</v>
      </c>
      <c r="L93" s="5" t="n">
        <v>50</v>
      </c>
      <c r="M93" s="5" t="n">
        <v>3</v>
      </c>
      <c r="N93" s="5" t="n">
        <v>2</v>
      </c>
      <c r="O93" s="5" t="n">
        <v>13176</v>
      </c>
      <c r="P93" s="5" t="n">
        <v>1</v>
      </c>
      <c r="Q93">
        <f>L93+IF(M93&gt;1,N(N93)*(M93-1),0)</f>
        <v/>
      </c>
      <c r="R93">
        <f>IFERROR(K93*MAX(M93,1)/Q93*P93,0)</f>
        <v/>
      </c>
      <c r="AA93" s="6" t="inlineStr">
        <is>
          <t>^HeavyMissile</t>
        </is>
      </c>
    </row>
    <row r="94">
      <c r="B94" s="6" t="inlineStr">
        <is>
          <t xml:space="preserve">  ↳ TSNODTibRedEye</t>
        </is>
      </c>
      <c r="C94" s="6" t="inlineStr">
        <is>
          <t>Armament@UPGRADE</t>
        </is>
      </c>
      <c r="K94" s="5" t="n">
        <v>18000</v>
      </c>
      <c r="L94" s="5" t="n">
        <v>50</v>
      </c>
      <c r="M94" s="5" t="n">
        <v>3</v>
      </c>
      <c r="N94" s="5" t="n">
        <v>2</v>
      </c>
      <c r="O94" s="5" t="n">
        <v>13176</v>
      </c>
      <c r="P94" s="5" t="n">
        <v>1</v>
      </c>
      <c r="Q94">
        <f>L94+IF(M94&gt;1,N(N94)*(M94-1),0)</f>
        <v/>
      </c>
      <c r="R94">
        <f>IFERROR(K94*MAX(M94,1)/Q94*P94,0)</f>
        <v/>
      </c>
      <c r="AA94" s="6" t="inlineStr">
        <is>
          <t>^HeavyMissile</t>
        </is>
      </c>
    </row>
    <row r="95">
      <c r="A95" t="inlineStr">
        <is>
          <t>tiberiansun</t>
        </is>
      </c>
      <c r="B95" t="inlineStr">
        <is>
          <t>ts_nod_silo</t>
        </is>
      </c>
      <c r="C95" t="inlineStr">
        <is>
          <t>Silo</t>
        </is>
      </c>
      <c r="D95" t="inlineStr"/>
      <c r="E95" s="5" t="n">
        <v>100000</v>
      </c>
      <c r="F95" s="5" t="n">
        <v>100</v>
      </c>
      <c r="G95" t="inlineStr">
        <is>
          <t>Wood</t>
        </is>
      </c>
      <c r="H95" s="5" t="n">
        <v>1</v>
      </c>
      <c r="I95" s="5" t="n">
        <v>1</v>
      </c>
      <c r="J95" s="5" t="n">
        <v>1</v>
      </c>
      <c r="W95" s="5" t="n">
        <v>150</v>
      </c>
    </row>
    <row r="96">
      <c r="A96" t="inlineStr">
        <is>
          <t>tiberiansun</t>
        </is>
      </c>
      <c r="B96" t="inlineStr">
        <is>
          <t>ts_nod_stealthgenerator</t>
        </is>
      </c>
      <c r="C96" t="inlineStr">
        <is>
          <t>Stealth Generator</t>
        </is>
      </c>
      <c r="D96" t="inlineStr"/>
      <c r="E96" s="5" t="n">
        <v>100000</v>
      </c>
      <c r="F96" s="5" t="n">
        <v>100</v>
      </c>
      <c r="G96" t="inlineStr">
        <is>
          <t>Concrete</t>
        </is>
      </c>
      <c r="H96" s="5" t="n">
        <v>1</v>
      </c>
      <c r="I96" s="5" t="n">
        <v>1</v>
      </c>
      <c r="J96" s="5" t="n">
        <v>1</v>
      </c>
      <c r="W96" s="5" t="n">
        <v>2500</v>
      </c>
    </row>
    <row r="97">
      <c r="A97" s="3" t="inlineStr">
        <is>
          <t>BUILDINGS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>
      <c r="A98" t="inlineStr">
        <is>
          <t>tiberiansun</t>
        </is>
      </c>
      <c r="B98" t="inlineStr">
        <is>
          <t>ts_nod_advancedpowerplant</t>
        </is>
      </c>
      <c r="C98" t="inlineStr">
        <is>
          <t>Nod Advanced Power Plant</t>
        </is>
      </c>
      <c r="D98" t="inlineStr"/>
      <c r="E98" s="5" t="n">
        <v>240000</v>
      </c>
      <c r="F98" s="5" t="n"/>
      <c r="G98" t="inlineStr">
        <is>
          <t>Wood</t>
        </is>
      </c>
      <c r="H98" s="5" t="n">
        <v>1</v>
      </c>
      <c r="I98" s="5" t="n">
        <v>1</v>
      </c>
      <c r="J98" s="5" t="n">
        <v>1</v>
      </c>
      <c r="W98" s="5" t="n">
        <v>1200</v>
      </c>
    </row>
    <row r="99">
      <c r="A99" t="inlineStr">
        <is>
          <t>tiberiansun</t>
        </is>
      </c>
      <c r="B99" t="inlineStr">
        <is>
          <t>ts_nod_constructionyard</t>
        </is>
      </c>
      <c r="C99" t="inlineStr">
        <is>
          <t>Construction Yard (Nod)</t>
        </is>
      </c>
      <c r="D99" t="inlineStr"/>
      <c r="E99" s="5" t="n">
        <v>1000000</v>
      </c>
      <c r="F99" s="5" t="n"/>
      <c r="G99" t="inlineStr">
        <is>
          <t>Concrete</t>
        </is>
      </c>
      <c r="H99" s="5" t="n">
        <v>1</v>
      </c>
      <c r="I99" s="5" t="n">
        <v>1</v>
      </c>
      <c r="J99" s="5" t="n">
        <v>1</v>
      </c>
      <c r="W99" s="5" t="n">
        <v>2500</v>
      </c>
    </row>
    <row r="100">
      <c r="A100" t="inlineStr">
        <is>
          <t>tiberiansun</t>
        </is>
      </c>
      <c r="B100" t="inlineStr">
        <is>
          <t>ts_nod_handof</t>
        </is>
      </c>
      <c r="C100" t="inlineStr">
        <is>
          <t>Hand of Nod</t>
        </is>
      </c>
      <c r="D100" t="inlineStr"/>
      <c r="E100" s="5" t="n">
        <v>200000</v>
      </c>
      <c r="F100" s="5" t="n"/>
      <c r="G100" t="inlineStr">
        <is>
          <t>Wood</t>
        </is>
      </c>
      <c r="H100" s="5" t="n">
        <v>1</v>
      </c>
      <c r="I100" s="5" t="n">
        <v>1</v>
      </c>
      <c r="J100" s="5" t="n">
        <v>1</v>
      </c>
      <c r="W100" s="5" t="n">
        <v>500</v>
      </c>
    </row>
    <row r="101">
      <c r="A101" t="inlineStr">
        <is>
          <t>tiberiansun</t>
        </is>
      </c>
      <c r="B101" t="inlineStr">
        <is>
          <t>ts_nod_helipad</t>
        </is>
      </c>
      <c r="C101" t="inlineStr">
        <is>
          <t>Nod Helipad</t>
        </is>
      </c>
      <c r="D101" t="inlineStr"/>
      <c r="E101" s="5" t="n">
        <v>300000</v>
      </c>
      <c r="F101" s="5" t="n"/>
      <c r="G101" t="inlineStr">
        <is>
          <t>Wood</t>
        </is>
      </c>
      <c r="H101" s="5" t="n">
        <v>1</v>
      </c>
      <c r="I101" s="5" t="n">
        <v>1</v>
      </c>
      <c r="J101" s="5" t="n">
        <v>1</v>
      </c>
      <c r="W101" s="5" t="n">
        <v>1000</v>
      </c>
    </row>
    <row r="102">
      <c r="A102" t="inlineStr">
        <is>
          <t>tiberiansun</t>
        </is>
      </c>
      <c r="B102" t="inlineStr">
        <is>
          <t>ts_nod_powerplant</t>
        </is>
      </c>
      <c r="C102" t="inlineStr">
        <is>
          <t>Nod Power Plant</t>
        </is>
      </c>
      <c r="D102" t="inlineStr"/>
      <c r="E102" s="5" t="n">
        <v>120000</v>
      </c>
      <c r="F102" s="5" t="n"/>
      <c r="G102" t="inlineStr">
        <is>
          <t>Wood</t>
        </is>
      </c>
      <c r="H102" s="5" t="n">
        <v>1</v>
      </c>
      <c r="I102" s="5" t="n">
        <v>1</v>
      </c>
      <c r="J102" s="5" t="n">
        <v>1</v>
      </c>
      <c r="W102" s="5" t="n">
        <v>600</v>
      </c>
    </row>
    <row r="103">
      <c r="A103" t="inlineStr">
        <is>
          <t>tiberiansun</t>
        </is>
      </c>
      <c r="B103" t="inlineStr">
        <is>
          <t>ts_nod_radar</t>
        </is>
      </c>
      <c r="C103" t="inlineStr">
        <is>
          <t>Radar</t>
        </is>
      </c>
      <c r="D103" t="inlineStr"/>
      <c r="E103" s="5" t="n">
        <v>250000</v>
      </c>
      <c r="F103" s="5" t="n"/>
      <c r="G103" t="inlineStr">
        <is>
          <t>Wood</t>
        </is>
      </c>
      <c r="H103" s="5" t="n">
        <v>1</v>
      </c>
      <c r="I103" s="5" t="n">
        <v>1</v>
      </c>
      <c r="J103" s="5" t="n">
        <v>1</v>
      </c>
      <c r="W103" s="5" t="n">
        <v>1000</v>
      </c>
    </row>
    <row r="104">
      <c r="A104" t="inlineStr">
        <is>
          <t>tiberiansun</t>
        </is>
      </c>
      <c r="B104" t="inlineStr">
        <is>
          <t>ts_nod_servicedepot</t>
        </is>
      </c>
      <c r="C104" t="inlineStr">
        <is>
          <t>Service Depot</t>
        </is>
      </c>
      <c r="D104" t="inlineStr"/>
      <c r="E104" s="5" t="n">
        <v>250000</v>
      </c>
      <c r="F104" s="5" t="n"/>
      <c r="G104" t="inlineStr">
        <is>
          <t>Concrete</t>
        </is>
      </c>
      <c r="H104" s="5" t="n">
        <v>1</v>
      </c>
      <c r="I104" s="5" t="n">
        <v>1</v>
      </c>
      <c r="J104" s="5" t="n">
        <v>1</v>
      </c>
      <c r="W104" s="5" t="n">
        <v>800</v>
      </c>
    </row>
    <row r="105">
      <c r="A105" t="inlineStr">
        <is>
          <t>tiberiansun</t>
        </is>
      </c>
      <c r="B105" t="inlineStr">
        <is>
          <t>ts_nod_techcenter</t>
        </is>
      </c>
      <c r="C105" t="inlineStr">
        <is>
          <t>Nod Tech Center</t>
        </is>
      </c>
      <c r="D105" t="inlineStr"/>
      <c r="E105" s="5" t="n">
        <v>500000</v>
      </c>
      <c r="F105" s="5" t="n"/>
      <c r="G105" t="inlineStr">
        <is>
          <t>Wood</t>
        </is>
      </c>
      <c r="H105" s="5" t="n">
        <v>1</v>
      </c>
      <c r="I105" s="5" t="n">
        <v>1</v>
      </c>
      <c r="J105" s="5" t="n">
        <v>1</v>
      </c>
      <c r="W105" s="5" t="n">
        <v>5000</v>
      </c>
    </row>
    <row r="106">
      <c r="A106" t="inlineStr">
        <is>
          <t>tiberiansun</t>
        </is>
      </c>
      <c r="B106" t="inlineStr">
        <is>
          <t>ts_nod_tiberiumrefinery</t>
        </is>
      </c>
      <c r="C106" t="inlineStr">
        <is>
          <t>Tiberium Refinery</t>
        </is>
      </c>
      <c r="D106" t="inlineStr"/>
      <c r="E106" s="5" t="n">
        <v>300000</v>
      </c>
      <c r="F106" s="5" t="n"/>
      <c r="G106" t="inlineStr">
        <is>
          <t>Concrete</t>
        </is>
      </c>
      <c r="H106" s="5" t="n">
        <v>1</v>
      </c>
      <c r="I106" s="5" t="n">
        <v>1</v>
      </c>
      <c r="J106" s="5" t="n">
        <v>1</v>
      </c>
      <c r="W106" s="5" t="n">
        <v>3000</v>
      </c>
    </row>
    <row r="107">
      <c r="A107" t="inlineStr">
        <is>
          <t>tiberiansun</t>
        </is>
      </c>
      <c r="B107" t="inlineStr">
        <is>
          <t>ts_nod_tiberiumwastefacility</t>
        </is>
      </c>
      <c r="C107" t="inlineStr">
        <is>
          <t>Tiberium Waste Facility</t>
        </is>
      </c>
      <c r="D107" t="inlineStr"/>
      <c r="E107" s="5" t="n">
        <v>100000</v>
      </c>
      <c r="F107" s="5" t="n"/>
      <c r="G107" t="inlineStr">
        <is>
          <t>Wood</t>
        </is>
      </c>
      <c r="H107" s="5" t="n">
        <v>1</v>
      </c>
      <c r="I107" s="5" t="n">
        <v>1</v>
      </c>
      <c r="J107" s="5" t="n">
        <v>1</v>
      </c>
      <c r="W107" s="5" t="n">
        <v>1600</v>
      </c>
    </row>
    <row r="108">
      <c r="A108" t="inlineStr">
        <is>
          <t>tiberiansun</t>
        </is>
      </c>
      <c r="B108" t="inlineStr">
        <is>
          <t>ts_nod_warfactory</t>
        </is>
      </c>
      <c r="C108" t="inlineStr">
        <is>
          <t>Nod War Factory</t>
        </is>
      </c>
      <c r="D108" t="inlineStr"/>
      <c r="E108" s="5" t="n">
        <v>400000</v>
      </c>
      <c r="F108" s="5" t="n"/>
      <c r="G108" t="inlineStr">
        <is>
          <t>Concrete</t>
        </is>
      </c>
      <c r="H108" s="5" t="n">
        <v>1</v>
      </c>
      <c r="I108" s="5" t="n">
        <v>1</v>
      </c>
      <c r="J108" s="5" t="n">
        <v>1</v>
      </c>
      <c r="W108" s="5" t="n">
        <v>2000</v>
      </c>
    </row>
    <row r="109">
      <c r="A109" s="3" t="inlineStr">
        <is>
          <t>UPGRADES</t>
        </is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</row>
    <row r="110">
      <c r="A110" t="inlineStr">
        <is>
          <t>tiberiansun</t>
        </is>
      </c>
      <c r="B110" t="inlineStr">
        <is>
          <t>ts_nod_upgrade_advancedtiberiumrefinement</t>
        </is>
      </c>
      <c r="C110" t="inlineStr">
        <is>
          <t>Advanced Tiberium Refinement</t>
        </is>
      </c>
      <c r="D110" t="inlineStr"/>
      <c r="E110" s="5" t="n"/>
      <c r="F110" s="5" t="n"/>
      <c r="H110" s="5" t="n">
        <v>1</v>
      </c>
      <c r="I110" s="5" t="n">
        <v>1</v>
      </c>
      <c r="J110" s="5" t="n">
        <v>1</v>
      </c>
      <c r="W110" s="5" t="n">
        <v>7500</v>
      </c>
    </row>
    <row r="111">
      <c r="A111" t="inlineStr">
        <is>
          <t>tiberiansun</t>
        </is>
      </c>
      <c r="B111" t="inlineStr">
        <is>
          <t>ts_nod_upgrade_auxiliaryweapon</t>
        </is>
      </c>
      <c r="C111" t="inlineStr">
        <is>
          <t>Auxiliary Weapon</t>
        </is>
      </c>
      <c r="D111" t="inlineStr"/>
      <c r="E111" s="5" t="n"/>
      <c r="F111" s="5" t="n"/>
      <c r="H111" s="5" t="n">
        <v>1</v>
      </c>
      <c r="I111" s="5" t="n">
        <v>1</v>
      </c>
      <c r="J111" s="5" t="n">
        <v>1</v>
      </c>
      <c r="W111" s="5" t="n">
        <v>4000</v>
      </c>
    </row>
    <row r="112">
      <c r="A112" t="inlineStr">
        <is>
          <t>tiberiansun</t>
        </is>
      </c>
      <c r="B112" t="inlineStr">
        <is>
          <t>ts_nod_upgrade_infiltrationkit</t>
        </is>
      </c>
      <c r="C112" t="inlineStr">
        <is>
          <t>Infiltration Kit</t>
        </is>
      </c>
      <c r="D112" t="inlineStr"/>
      <c r="E112" s="5" t="n"/>
      <c r="F112" s="5" t="n"/>
      <c r="H112" s="5" t="n">
        <v>1</v>
      </c>
      <c r="I112" s="5" t="n">
        <v>1</v>
      </c>
      <c r="J112" s="5" t="n">
        <v>1</v>
      </c>
      <c r="W112" s="5" t="n">
        <v>2500</v>
      </c>
    </row>
    <row r="113">
      <c r="A113" t="inlineStr">
        <is>
          <t>tiberiansun</t>
        </is>
      </c>
      <c r="B113" t="inlineStr">
        <is>
          <t>ts_nod_upgrade_mobilityspecialization</t>
        </is>
      </c>
      <c r="C113" t="inlineStr">
        <is>
          <t>Mobility Specialization</t>
        </is>
      </c>
      <c r="D113" t="inlineStr"/>
      <c r="E113" s="5" t="n"/>
      <c r="F113" s="5" t="n"/>
      <c r="H113" s="5" t="n">
        <v>1</v>
      </c>
      <c r="I113" s="5" t="n">
        <v>1</v>
      </c>
      <c r="J113" s="5" t="n">
        <v>1</v>
      </c>
      <c r="W113" s="5" t="n">
        <v>3500</v>
      </c>
    </row>
    <row r="114">
      <c r="A114" t="inlineStr">
        <is>
          <t>tiberiansun</t>
        </is>
      </c>
      <c r="B114" t="inlineStr">
        <is>
          <t>ts_nod_upgrade_stealthfieldsimprovements</t>
        </is>
      </c>
      <c r="C114" t="inlineStr">
        <is>
          <t>Stealth Fields Improvements</t>
        </is>
      </c>
      <c r="D114" t="inlineStr"/>
      <c r="E114" s="5" t="n"/>
      <c r="F114" s="5" t="n"/>
      <c r="H114" s="5" t="n">
        <v>1</v>
      </c>
      <c r="I114" s="5" t="n">
        <v>1</v>
      </c>
      <c r="J114" s="5" t="n">
        <v>1</v>
      </c>
      <c r="W114" s="5" t="n">
        <v>5000</v>
      </c>
    </row>
    <row r="115">
      <c r="A115" t="inlineStr">
        <is>
          <t>tiberiansun</t>
        </is>
      </c>
      <c r="B115" t="inlineStr">
        <is>
          <t>ts_nod_upgrade_tiberiumcoremissiles</t>
        </is>
      </c>
      <c r="C115" t="inlineStr">
        <is>
          <t>Tiberium Core Missiles</t>
        </is>
      </c>
      <c r="D115" t="inlineStr"/>
      <c r="E115" s="5" t="n"/>
      <c r="F115" s="5" t="n"/>
      <c r="H115" s="5" t="n">
        <v>1</v>
      </c>
      <c r="I115" s="5" t="n">
        <v>1</v>
      </c>
      <c r="J115" s="5" t="n">
        <v>1</v>
      </c>
      <c r="W115" s="5" t="n">
        <v>5000</v>
      </c>
    </row>
    <row r="116">
      <c r="A116" t="inlineStr">
        <is>
          <t>tiberiansun</t>
        </is>
      </c>
      <c r="B116" t="inlineStr">
        <is>
          <t>ts_nod_upgrade_tiberiumlenses</t>
        </is>
      </c>
      <c r="C116" t="inlineStr">
        <is>
          <t>Tiberium Lenses</t>
        </is>
      </c>
      <c r="D116" t="inlineStr"/>
      <c r="E116" s="5" t="n"/>
      <c r="F116" s="5" t="n"/>
      <c r="H116" s="5" t="n">
        <v>1</v>
      </c>
      <c r="I116" s="5" t="n">
        <v>1</v>
      </c>
      <c r="J116" s="5" t="n">
        <v>1</v>
      </c>
      <c r="W116" s="5" t="n">
        <v>10000</v>
      </c>
    </row>
    <row r="117">
      <c r="A117" t="inlineStr">
        <is>
          <t>tiberiansun</t>
        </is>
      </c>
      <c r="B117" t="inlineStr">
        <is>
          <t>ts_nod_upgrade_willofkane</t>
        </is>
      </c>
      <c r="C117" t="inlineStr">
        <is>
          <t>Will of Kane</t>
        </is>
      </c>
      <c r="D117" t="inlineStr"/>
      <c r="E117" s="5" t="n"/>
      <c r="F117" s="5" t="n"/>
      <c r="H117" s="5" t="n">
        <v>1</v>
      </c>
      <c r="I117" s="5" t="n">
        <v>1</v>
      </c>
      <c r="J117" s="5" t="n">
        <v>1</v>
      </c>
      <c r="W117" s="5" t="n">
        <v>8000</v>
      </c>
    </row>
    <row r="118">
      <c r="A118" t="inlineStr">
        <is>
          <t>tiberiansun</t>
        </is>
      </c>
      <c r="B118" t="inlineStr">
        <is>
          <t>ts_nod_upgrade_willofkane_proxy_actor</t>
        </is>
      </c>
      <c r="C118" t="inlineStr">
        <is>
          <t>Will of Kane (Team Upgrade)</t>
        </is>
      </c>
      <c r="D118" t="inlineStr"/>
      <c r="E118" s="5" t="n"/>
      <c r="F118" s="5" t="n"/>
      <c r="H118" s="5" t="n">
        <v>1</v>
      </c>
      <c r="I118" s="5" t="n">
        <v>1</v>
      </c>
      <c r="J118" s="5" t="n">
        <v>1</v>
      </c>
      <c r="W118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119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13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warcraft2</t>
        </is>
      </c>
      <c r="B3" t="inlineStr">
        <is>
          <t>wc2_humans_archmage</t>
        </is>
      </c>
      <c r="C3" t="inlineStr">
        <is>
          <t>Archmage</t>
        </is>
      </c>
      <c r="D3" t="inlineStr"/>
      <c r="E3" s="5" t="n">
        <v>50000</v>
      </c>
      <c r="F3" s="5" t="n">
        <v>65</v>
      </c>
      <c r="G3" t="inlineStr">
        <is>
          <t>Flak</t>
        </is>
      </c>
      <c r="H3" s="5" t="n">
        <v>1</v>
      </c>
      <c r="I3" s="5" t="n">
        <v>1</v>
      </c>
      <c r="J3" s="5" t="n">
        <v>1</v>
      </c>
      <c r="O3">
        <f>MAX(O4,O6,O7,O8,O9,O10)</f>
        <v/>
      </c>
      <c r="R3">
        <f>R4+R6+R7+R8+R9+R10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1000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wc2mageFire</t>
        </is>
      </c>
      <c r="C4" s="6" t="inlineStr">
        <is>
          <t>Armament</t>
        </is>
      </c>
      <c r="K4" s="5" t="n">
        <v>8000</v>
      </c>
      <c r="L4" s="5" t="n">
        <v>40</v>
      </c>
      <c r="M4" s="5" t="n">
        <v>1</v>
      </c>
      <c r="N4" s="5" t="n"/>
      <c r="O4" s="5" t="n">
        <v>8000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^TeslaChargedWeapon</t>
        </is>
      </c>
    </row>
    <row r="5">
      <c r="B5" s="6" t="inlineStr">
        <is>
          <t xml:space="preserve">  ↳ wc2mageFire</t>
        </is>
      </c>
      <c r="C5" s="6" t="inlineStr">
        <is>
          <t>Armament@GARRISONED</t>
        </is>
      </c>
      <c r="K5" s="5" t="n">
        <v>8000</v>
      </c>
      <c r="L5" s="5" t="n">
        <v>40</v>
      </c>
      <c r="M5" s="5" t="n">
        <v>1</v>
      </c>
      <c r="N5" s="5" t="n"/>
      <c r="O5" s="5" t="n">
        <v>8000</v>
      </c>
      <c r="P5" s="5" t="n">
        <v>1</v>
      </c>
      <c r="Q5">
        <f>L5+IF(M5&gt;1,N(N5)*(M5-1),0)</f>
        <v/>
      </c>
      <c r="R5">
        <f>IFERROR(K5*MAX(M5,1)/Q5*P5,0)</f>
        <v/>
      </c>
      <c r="AA5" s="6" t="inlineStr">
        <is>
          <t>^TeslaChargedWeapon</t>
        </is>
      </c>
    </row>
    <row r="6">
      <c r="B6" s="6" t="inlineStr">
        <is>
          <t xml:space="preserve">  ↳ wc2mageFireballVisible</t>
        </is>
      </c>
      <c r="C6" s="6" t="inlineStr">
        <is>
          <t>Armament@FIREBALL_VISIBLE</t>
        </is>
      </c>
      <c r="K6" s="5" t="n">
        <v>2000</v>
      </c>
      <c r="L6" s="5" t="n">
        <v>80</v>
      </c>
      <c r="M6" s="5" t="n">
        <v>1</v>
      </c>
      <c r="N6" s="5" t="n"/>
      <c r="O6" s="5" t="n">
        <v>8000</v>
      </c>
      <c r="P6" s="5" t="n">
        <v>1</v>
      </c>
      <c r="Q6">
        <f>L6+IF(M6&gt;1,N(N6)*(M6-1),0)</f>
        <v/>
      </c>
      <c r="R6">
        <f>IFERROR(K6*MAX(M6,1)/Q6*P6,0)</f>
        <v/>
      </c>
      <c r="AA6" s="6" t="inlineStr">
        <is>
          <t>^TankDestroyerCannon, ^MediumCannon, ^HeavyCannon, ^Grenade, ^ShrapnelWeapon, ^HeavyBomb, ^MediumMissile, ^Chaingun, ^FlakWeapon</t>
        </is>
      </c>
    </row>
    <row r="7">
      <c r="B7" s="6" t="inlineStr">
        <is>
          <t xml:space="preserve">  ↳ wc2mageFireballExplosion</t>
        </is>
      </c>
      <c r="C7" s="6" t="inlineStr">
        <is>
          <t>Armament@FIREBALL_EXPLOSIONS</t>
        </is>
      </c>
      <c r="K7" s="5" t="n">
        <v>2000</v>
      </c>
      <c r="L7" s="5" t="n">
        <v>80</v>
      </c>
      <c r="M7" s="5" t="n">
        <v>5</v>
      </c>
      <c r="N7" s="5" t="n">
        <v>0</v>
      </c>
      <c r="O7" s="5" t="n">
        <v>8000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^TankDestroyerCannon, ^MediumCannon, ^HeavyCannon, ^Grenade, ^ShrapnelWeapon, ^HeavyBomb, ^MediumMissile, ^Chaingun, ^FlakWeapon</t>
        </is>
      </c>
    </row>
    <row r="8">
      <c r="B8" s="6" t="inlineStr">
        <is>
          <t xml:space="preserve">  ↳ wc2mageSlow</t>
        </is>
      </c>
      <c r="C8" s="6" t="inlineStr">
        <is>
          <t>Armament@SLOW</t>
        </is>
      </c>
      <c r="K8" s="5" t="n">
        <v>1</v>
      </c>
      <c r="L8" s="5" t="n">
        <v>60</v>
      </c>
      <c r="M8" s="5" t="n">
        <v>1</v>
      </c>
      <c r="N8" s="5" t="n"/>
      <c r="O8" s="5" t="n">
        <v>8000</v>
      </c>
      <c r="P8" s="5" t="n">
        <v>1</v>
      </c>
      <c r="Q8">
        <f>L8+IF(M8&gt;1,N(N8)*(M8-1),0)</f>
        <v/>
      </c>
      <c r="R8">
        <f>IFERROR(K8*MAX(M8,1)/Q8*P8,0)</f>
        <v/>
      </c>
      <c r="AA8" s="6" t="inlineStr"/>
    </row>
    <row r="9">
      <c r="B9" s="6" t="inlineStr">
        <is>
          <t xml:space="preserve">  ↳ wc2magePolymorph</t>
        </is>
      </c>
      <c r="C9" s="6" t="inlineStr">
        <is>
          <t>Armament@POLYMORPH</t>
        </is>
      </c>
      <c r="K9" s="5" t="n"/>
      <c r="L9" s="5" t="n">
        <v>60</v>
      </c>
      <c r="M9" s="5" t="n">
        <v>1</v>
      </c>
      <c r="N9" s="5" t="n"/>
      <c r="O9" s="5" t="n">
        <v>8000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/>
    </row>
    <row r="10">
      <c r="B10" s="6" t="inlineStr">
        <is>
          <t xml:space="preserve">  ↳ wc2mageBlizzard</t>
        </is>
      </c>
      <c r="C10" s="6" t="inlineStr">
        <is>
          <t>Armament@BLIZZARD</t>
        </is>
      </c>
      <c r="K10" s="5" t="n">
        <v>1</v>
      </c>
      <c r="L10" s="5" t="n">
        <v>50</v>
      </c>
      <c r="M10" s="5" t="n">
        <v>1</v>
      </c>
      <c r="N10" s="5" t="n"/>
      <c r="O10" s="5" t="n">
        <v>8000</v>
      </c>
      <c r="P10" s="5" t="n">
        <v>1</v>
      </c>
      <c r="Q10">
        <f>L10+IF(M10&gt;1,N(N10)*(M10-1),0)</f>
        <v/>
      </c>
      <c r="R10">
        <f>IFERROR(K10*MAX(M10,1)/Q10*P10,0)</f>
        <v/>
      </c>
      <c r="AA10" s="6" t="inlineStr"/>
    </row>
    <row r="11">
      <c r="A11" t="inlineStr">
        <is>
          <t>warcraft2</t>
        </is>
      </c>
      <c r="B11" t="inlineStr">
        <is>
          <t>wc2_humans_dwarvenrifleman</t>
        </is>
      </c>
      <c r="C11" t="inlineStr">
        <is>
          <t>Dwarven Rifleman</t>
        </is>
      </c>
      <c r="D11" t="inlineStr"/>
      <c r="E11" s="5" t="n">
        <v>24000</v>
      </c>
      <c r="F11" s="5" t="n">
        <v>64</v>
      </c>
      <c r="G11" t="inlineStr">
        <is>
          <t>Plate</t>
        </is>
      </c>
      <c r="H11" s="5" t="n">
        <v>1</v>
      </c>
      <c r="I11" s="5" t="n">
        <v>0.8</v>
      </c>
      <c r="J11" s="5" t="n">
        <v>1</v>
      </c>
      <c r="O11">
        <f>MAX(O12)</f>
        <v/>
      </c>
      <c r="R11">
        <f>R12</f>
        <v/>
      </c>
      <c r="S11">
        <f>(E11/100000+F11/100+(O11/1000)*J11/5+R11/200)*200*I11*H11</f>
        <v/>
      </c>
      <c r="T11">
        <f>((E11*F11/25000)+((O11/1000)*J11*R11/2.5))*I11*H11</f>
        <v/>
      </c>
      <c r="U11">
        <f>(E11*F11*(O11/1000)*J11*R11*I11*H11)/12500000</f>
        <v/>
      </c>
      <c r="V11">
        <f>(S11+T11+U11)/3</f>
        <v/>
      </c>
      <c r="W11" s="5" t="n">
        <v>600</v>
      </c>
      <c r="X11">
        <f>IFERROR(V11-W11,"")</f>
        <v/>
      </c>
      <c r="Y11">
        <f>IFERROR(ABS(X11)/MAX(W11,1),"")</f>
        <v/>
      </c>
      <c r="Z11">
        <f>IFERROR((W11-(((E11/100000+F11/100+R11/200)*200*I11*H11)+((E11*F11/25000)*I11*H11))/3)/(((J11/5)*200*I11*H11)+((J11*R11/2.5)*I11*H11)+((E11*F11*J11*R11*I11*H11)/12500000))/3*1000,"")</f>
        <v/>
      </c>
    </row>
    <row r="12">
      <c r="B12" s="6" t="inlineStr">
        <is>
          <t xml:space="preserve">  ↳ wc2_dwarf_Rifle</t>
        </is>
      </c>
      <c r="C12" s="6" t="inlineStr">
        <is>
          <t>Armament</t>
        </is>
      </c>
      <c r="K12" s="5" t="n">
        <v>8000</v>
      </c>
      <c r="L12" s="5" t="n">
        <v>60</v>
      </c>
      <c r="M12" s="5" t="n">
        <v>1</v>
      </c>
      <c r="N12" s="5" t="n"/>
      <c r="O12" s="5" t="n">
        <v>6936</v>
      </c>
      <c r="P12" s="5" t="n">
        <v>1</v>
      </c>
      <c r="Q12">
        <f>L12+IF(M12&gt;1,N(N12)*(M12-1),0)</f>
        <v/>
      </c>
      <c r="R12">
        <f>IFERROR(K12*MAX(M12,1)/Q12*P12,0)</f>
        <v/>
      </c>
      <c r="AA12" s="6" t="inlineStr">
        <is>
          <t>^RailgunWeapon, ^MediumMissile, ^TankDestroyerCannon</t>
        </is>
      </c>
    </row>
    <row r="13">
      <c r="B13" s="6" t="inlineStr">
        <is>
          <t xml:space="preserve">  ↳ wc2_dwarf_Rifle</t>
        </is>
      </c>
      <c r="C13" s="6" t="inlineStr">
        <is>
          <t>Armament@GARRISONED</t>
        </is>
      </c>
      <c r="K13" s="5" t="n">
        <v>8000</v>
      </c>
      <c r="L13" s="5" t="n">
        <v>60</v>
      </c>
      <c r="M13" s="5" t="n">
        <v>1</v>
      </c>
      <c r="N13" s="5" t="n"/>
      <c r="O13" s="5" t="n">
        <v>6936</v>
      </c>
      <c r="P13" s="5" t="n">
        <v>1</v>
      </c>
      <c r="Q13">
        <f>L13+IF(M13&gt;1,N(N13)*(M13-1),0)</f>
        <v/>
      </c>
      <c r="R13">
        <f>IFERROR(K13*MAX(M13,1)/Q13*P13,0)</f>
        <v/>
      </c>
      <c r="AA13" s="6" t="inlineStr">
        <is>
          <t>^RailgunWeapon, ^MediumMissile, ^TankDestroyerCannon</t>
        </is>
      </c>
    </row>
    <row r="14">
      <c r="A14" t="inlineStr">
        <is>
          <t>warcraft2</t>
        </is>
      </c>
      <c r="B14" t="inlineStr">
        <is>
          <t>wc2_humans_elvenarcher</t>
        </is>
      </c>
      <c r="C14" t="inlineStr">
        <is>
          <t>Elven Archer</t>
        </is>
      </c>
      <c r="D14" t="inlineStr"/>
      <c r="E14" s="5" t="n">
        <v>25000</v>
      </c>
      <c r="F14" s="5" t="n">
        <v>75</v>
      </c>
      <c r="G14" t="inlineStr">
        <is>
          <t>Flak</t>
        </is>
      </c>
      <c r="H14" s="5" t="n">
        <v>1</v>
      </c>
      <c r="I14" s="5" t="n">
        <v>0.5</v>
      </c>
      <c r="J14" s="5" t="n">
        <v>1</v>
      </c>
      <c r="O14">
        <f>MAX(O15)</f>
        <v/>
      </c>
      <c r="R14">
        <f>R15</f>
        <v/>
      </c>
      <c r="S14">
        <f>(E14/100000+F14/100+(O14/1000)*J14/5+R14/200)*200*I14*H14</f>
        <v/>
      </c>
      <c r="T14">
        <f>((E14*F14/25000)+((O14/1000)*J14*R14/2.5))*I14*H14</f>
        <v/>
      </c>
      <c r="U14">
        <f>(E14*F14*(O14/1000)*J14*R14*I14*H14)/12500000</f>
        <v/>
      </c>
      <c r="V14">
        <f>(S14+T14+U14)/3</f>
        <v/>
      </c>
      <c r="W14" s="5" t="n">
        <v>600</v>
      </c>
      <c r="X14">
        <f>IFERROR(V14-W14,"")</f>
        <v/>
      </c>
      <c r="Y14">
        <f>IFERROR(ABS(X14)/MAX(W14,1),"")</f>
        <v/>
      </c>
      <c r="Z14">
        <f>IFERROR((W14-(((E14/100000+F14/100+R14/200)*200*I14*H14)+((E14*F14/25000)*I14*H14))/3)/(((J14/5)*200*I14*H14)+((J14*R14/2.5)*I14*H14)+((E14*F14*J14*R14*I14*H14)/12500000))/3*1000,"")</f>
        <v/>
      </c>
    </row>
    <row r="15">
      <c r="B15" s="6" t="inlineStr">
        <is>
          <t xml:space="preserve">  ↳ wc2arrowFire</t>
        </is>
      </c>
      <c r="C15" s="6" t="inlineStr">
        <is>
          <t>Armament</t>
        </is>
      </c>
      <c r="K15" s="5" t="n">
        <v>4000</v>
      </c>
      <c r="L15" s="5" t="n">
        <v>25</v>
      </c>
      <c r="M15" s="5" t="n">
        <v>1</v>
      </c>
      <c r="N15" s="5" t="n"/>
      <c r="O15" s="5" t="n">
        <v>6973</v>
      </c>
      <c r="P15" s="5" t="n">
        <v>1</v>
      </c>
      <c r="Q15">
        <f>L15+IF(M15&gt;1,N(N15)*(M15-1),0)</f>
        <v/>
      </c>
      <c r="R15">
        <f>IFERROR(K15*MAX(M15,1)/Q15*P15,0)</f>
        <v/>
      </c>
      <c r="AA15" s="6" t="inlineStr">
        <is>
          <t>^FlakWeapon, ^Chaingun, ^MediumCannon, ^Grenade, ^TankDestroyerCannon, ^ArrowWeapon</t>
        </is>
      </c>
    </row>
    <row r="16">
      <c r="B16" s="6" t="inlineStr">
        <is>
          <t xml:space="preserve">  ↳ wc2arrowFire</t>
        </is>
      </c>
      <c r="C16" s="6" t="inlineStr">
        <is>
          <t>Armament@GARRISONED</t>
        </is>
      </c>
      <c r="K16" s="5" t="n">
        <v>4000</v>
      </c>
      <c r="L16" s="5" t="n">
        <v>25</v>
      </c>
      <c r="M16" s="5" t="n">
        <v>1</v>
      </c>
      <c r="N16" s="5" t="n"/>
      <c r="O16" s="5" t="n">
        <v>6973</v>
      </c>
      <c r="P16" s="5" t="n">
        <v>1</v>
      </c>
      <c r="Q16">
        <f>L16+IF(M16&gt;1,N(N16)*(M16-1),0)</f>
        <v/>
      </c>
      <c r="R16">
        <f>IFERROR(K16*MAX(M16,1)/Q16*P16,0)</f>
        <v/>
      </c>
      <c r="AA16" s="6" t="inlineStr">
        <is>
          <t>^FlakWeapon, ^Chaingun, ^MediumCannon, ^Grenade, ^TankDestroyerCannon, ^ArrowWeapon</t>
        </is>
      </c>
    </row>
    <row r="17">
      <c r="A17" t="inlineStr">
        <is>
          <t>warcraft2</t>
        </is>
      </c>
      <c r="B17" t="inlineStr">
        <is>
          <t>wc2_humans_elvenranger</t>
        </is>
      </c>
      <c r="C17" t="inlineStr">
        <is>
          <t>Elven Ranger</t>
        </is>
      </c>
      <c r="D17" t="inlineStr"/>
      <c r="E17" s="5" t="n">
        <v>25000</v>
      </c>
      <c r="F17" s="5" t="n">
        <v>75</v>
      </c>
      <c r="G17" t="inlineStr">
        <is>
          <t>Flak</t>
        </is>
      </c>
      <c r="H17" s="5" t="n">
        <v>1</v>
      </c>
      <c r="I17" s="5" t="n">
        <v>1</v>
      </c>
      <c r="J17" s="5" t="n">
        <v>1</v>
      </c>
      <c r="O17">
        <f>MAX(O18)</f>
        <v/>
      </c>
      <c r="R17">
        <f>R18</f>
        <v/>
      </c>
      <c r="S17">
        <f>(E17/100000+F17/100+(O17/1000)*J17/5+R17/200)*200*I17*H17</f>
        <v/>
      </c>
      <c r="T17">
        <f>((E17*F17/25000)+((O17/1000)*J17*R17/2.5))*I17*H17</f>
        <v/>
      </c>
      <c r="U17">
        <f>(E17*F17*(O17/1000)*J17*R17*I17*H17)/12500000</f>
        <v/>
      </c>
      <c r="V17">
        <f>(S17+T17+U17)/3</f>
        <v/>
      </c>
      <c r="W17" s="5" t="n">
        <v>600</v>
      </c>
      <c r="X17">
        <f>IFERROR(V17-W17,"")</f>
        <v/>
      </c>
      <c r="Y17">
        <f>IFERROR(ABS(X17)/MAX(W17,1),"")</f>
        <v/>
      </c>
      <c r="Z17">
        <f>IFERROR((W17-(((E17/100000+F17/100+R17/200)*200*I17*H17)+((E17*F17/25000)*I17*H17))/3)/(((J17/5)*200*I17*H17)+((J17*R17/2.5)*I17*H17)+((E17*F17*J17*R17*I17*H17)/12500000))/3*1000,"")</f>
        <v/>
      </c>
    </row>
    <row r="18">
      <c r="B18" s="6" t="inlineStr">
        <is>
          <t xml:space="preserve">  ↳ wc2arrowFire</t>
        </is>
      </c>
      <c r="C18" s="6" t="inlineStr">
        <is>
          <t>Armament</t>
        </is>
      </c>
      <c r="K18" s="5" t="n">
        <v>4000</v>
      </c>
      <c r="L18" s="5" t="n">
        <v>25</v>
      </c>
      <c r="M18" s="5" t="n">
        <v>1</v>
      </c>
      <c r="N18" s="5" t="n"/>
      <c r="O18" s="5" t="n">
        <v>6973</v>
      </c>
      <c r="P18" s="5" t="n">
        <v>1</v>
      </c>
      <c r="Q18">
        <f>L18+IF(M18&gt;1,N(N18)*(M18-1),0)</f>
        <v/>
      </c>
      <c r="R18">
        <f>IFERROR(K18*MAX(M18,1)/Q18*P18,0)</f>
        <v/>
      </c>
      <c r="AA18" s="6" t="inlineStr">
        <is>
          <t>^FlakWeapon, ^Chaingun, ^MediumCannon, ^Grenade, ^TankDestroyerCannon, ^ArrowWeapon</t>
        </is>
      </c>
    </row>
    <row r="19">
      <c r="B19" s="6" t="inlineStr">
        <is>
          <t xml:space="preserve">  ↳ wc2arrowFire</t>
        </is>
      </c>
      <c r="C19" s="6" t="inlineStr">
        <is>
          <t>Armament@GARRISONED</t>
        </is>
      </c>
      <c r="K19" s="5" t="n">
        <v>4000</v>
      </c>
      <c r="L19" s="5" t="n">
        <v>25</v>
      </c>
      <c r="M19" s="5" t="n">
        <v>1</v>
      </c>
      <c r="N19" s="5" t="n"/>
      <c r="O19" s="5" t="n">
        <v>6973</v>
      </c>
      <c r="P19" s="5" t="n">
        <v>1</v>
      </c>
      <c r="Q19">
        <f>L19+IF(M19&gt;1,N(N19)*(M19-1),0)</f>
        <v/>
      </c>
      <c r="R19">
        <f>IFERROR(K19*MAX(M19,1)/Q19*P19,0)</f>
        <v/>
      </c>
      <c r="AA19" s="6" t="inlineStr">
        <is>
          <t>^FlakWeapon, ^Chaingun, ^MediumCannon, ^Grenade, ^TankDestroyerCannon, ^ArrowWeapon</t>
        </is>
      </c>
    </row>
    <row r="20">
      <c r="A20" t="inlineStr">
        <is>
          <t>warcraft2</t>
        </is>
      </c>
      <c r="B20" t="inlineStr">
        <is>
          <t>wc2_humans_footman</t>
        </is>
      </c>
      <c r="C20" t="inlineStr">
        <is>
          <t>Footman</t>
        </is>
      </c>
      <c r="D20" t="inlineStr"/>
      <c r="E20" s="5" t="n">
        <v>50000</v>
      </c>
      <c r="F20" s="5" t="n">
        <v>75</v>
      </c>
      <c r="G20" t="inlineStr">
        <is>
          <t>Plate</t>
        </is>
      </c>
      <c r="H20" s="5" t="n">
        <v>1</v>
      </c>
      <c r="I20" s="5" t="n">
        <v>0.75</v>
      </c>
      <c r="J20" s="5" t="n">
        <v>1</v>
      </c>
      <c r="O20">
        <f>MAX(O21)</f>
        <v/>
      </c>
      <c r="R20">
        <f>R21</f>
        <v/>
      </c>
      <c r="S20">
        <f>(E20/100000+F20/100+(O20/1000)*J20/5+R20/200)*200*I20*H20</f>
        <v/>
      </c>
      <c r="T20">
        <f>((E20*F20/25000)+((O20/1000)*J20*R20/2.5))*I20*H20</f>
        <v/>
      </c>
      <c r="U20">
        <f>(E20*F20*(O20/1000)*J20*R20*I20*H20)/12500000</f>
        <v/>
      </c>
      <c r="V20">
        <f>(S20+T20+U20)/3</f>
        <v/>
      </c>
      <c r="W20" s="5" t="n">
        <v>500</v>
      </c>
      <c r="X20">
        <f>IFERROR(V20-W20,"")</f>
        <v/>
      </c>
      <c r="Y20">
        <f>IFERROR(ABS(X20)/MAX(W20,1),"")</f>
        <v/>
      </c>
      <c r="Z20">
        <f>IFERROR((W20-(((E20/100000+F20/100+R20/200)*200*I20*H20)+((E20*F20/25000)*I20*H20))/3)/(((J20/5)*200*I20*H20)+((J20*R20/2.5)*I20*H20)+((E20*F20*J20*R20*I20*H20)/12500000))/3*1000,"")</f>
        <v/>
      </c>
    </row>
    <row r="21">
      <c r="B21" s="6" t="inlineStr">
        <is>
          <t xml:space="preserve">  ↳ wc2footmanslice</t>
        </is>
      </c>
      <c r="C21" s="6" t="inlineStr">
        <is>
          <t>Armament</t>
        </is>
      </c>
      <c r="K21" s="5" t="n">
        <v>12000</v>
      </c>
      <c r="L21" s="5" t="n">
        <v>15</v>
      </c>
      <c r="M21" s="5" t="n">
        <v>1</v>
      </c>
      <c r="N21" s="5" t="n"/>
      <c r="O21" s="5" t="n">
        <v>1333</v>
      </c>
      <c r="P21" s="5" t="n">
        <v>1</v>
      </c>
      <c r="Q21">
        <f>L21+IF(M21&gt;1,N(N21)*(M21-1),0)</f>
        <v/>
      </c>
      <c r="R21">
        <f>IFERROR(K21*MAX(M21,1)/Q21*P21,0)</f>
        <v/>
      </c>
      <c r="AA21" s="6" t="inlineStr">
        <is>
          <t>^SwordWeapon</t>
        </is>
      </c>
    </row>
    <row r="22">
      <c r="A22" t="inlineStr">
        <is>
          <t>warcraft2</t>
        </is>
      </c>
      <c r="B22" t="inlineStr">
        <is>
          <t>wc2_humans_highelfpriest</t>
        </is>
      </c>
      <c r="C22" t="inlineStr">
        <is>
          <t>High Elf priest</t>
        </is>
      </c>
      <c r="D22" t="inlineStr"/>
      <c r="E22" s="5" t="n">
        <v>50000</v>
      </c>
      <c r="F22" s="5" t="n">
        <v>65</v>
      </c>
      <c r="G22" t="inlineStr">
        <is>
          <t>Flak</t>
        </is>
      </c>
      <c r="H22" s="5" t="n">
        <v>1</v>
      </c>
      <c r="I22" s="5" t="n">
        <v>1</v>
      </c>
      <c r="J22" s="5" t="n">
        <v>1</v>
      </c>
      <c r="O22">
        <f>MAX(O23,O24,O25)</f>
        <v/>
      </c>
      <c r="R22">
        <f>R23+R24+R25</f>
        <v/>
      </c>
      <c r="S22">
        <f>(E22/100000+F22/100+(O22/1000)*J22/5+R22/200)*200*I22*H22</f>
        <v/>
      </c>
      <c r="T22">
        <f>((E22*F22/25000)+((O22/1000)*J22*R22/2.5))*I22*H22</f>
        <v/>
      </c>
      <c r="U22">
        <f>(E22*F22*(O22/1000)*J22*R22*I22*H22)/12500000</f>
        <v/>
      </c>
      <c r="V22">
        <f>(S22+T22+U22)/3</f>
        <v/>
      </c>
      <c r="W22" s="5" t="n">
        <v>1000</v>
      </c>
      <c r="X22">
        <f>IFERROR(V22-W22,"")</f>
        <v/>
      </c>
      <c r="Y22">
        <f>IFERROR(ABS(X22)/MAX(W22,1),"")</f>
        <v/>
      </c>
      <c r="Z22">
        <f>IFERROR((W22-(((E22/100000+F22/100+R22/200)*200*I22*H22)+((E22*F22/25000)*I22*H22))/3)/(((J22/5)*200*I22*H22)+((J22*R22/2.5)*I22*H22)+((E22*F22*J22*R22*I22*H22)/12500000))/3*1000,"")</f>
        <v/>
      </c>
    </row>
    <row r="23">
      <c r="B23" s="6" t="inlineStr">
        <is>
          <t xml:space="preserve">  ↳ wc2mageFire</t>
        </is>
      </c>
      <c r="C23" s="6" t="inlineStr">
        <is>
          <t>Armament</t>
        </is>
      </c>
      <c r="K23" s="5" t="n">
        <v>8000</v>
      </c>
      <c r="L23" s="5" t="n">
        <v>40</v>
      </c>
      <c r="M23" s="5" t="n">
        <v>1</v>
      </c>
      <c r="N23" s="5" t="n"/>
      <c r="O23" s="5" t="n">
        <v>8000</v>
      </c>
      <c r="P23" s="5" t="n">
        <v>1</v>
      </c>
      <c r="Q23">
        <f>L23+IF(M23&gt;1,N(N23)*(M23-1),0)</f>
        <v/>
      </c>
      <c r="R23">
        <f>IFERROR(K23*MAX(M23,1)/Q23*P23,0)</f>
        <v/>
      </c>
      <c r="AA23" s="6" t="inlineStr">
        <is>
          <t>^TeslaChargedWeapon</t>
        </is>
      </c>
    </row>
    <row r="24">
      <c r="B24" s="6" t="inlineStr">
        <is>
          <t xml:space="preserve">  ↳ wc2priesthealing</t>
        </is>
      </c>
      <c r="C24" s="6" t="inlineStr">
        <is>
          <t>Armament@HEAL</t>
        </is>
      </c>
      <c r="K24" s="5" t="n">
        <v>-5000</v>
      </c>
      <c r="L24" s="5" t="n">
        <v>40</v>
      </c>
      <c r="M24" s="5" t="n">
        <v>1</v>
      </c>
      <c r="N24" s="5" t="n"/>
      <c r="O24" s="5" t="n">
        <v>5120</v>
      </c>
      <c r="P24" s="5" t="n">
        <v>1</v>
      </c>
      <c r="Q24">
        <f>L24+IF(M24&gt;1,N(N24)*(M24-1),0)</f>
        <v/>
      </c>
      <c r="R24">
        <f>IFERROR(K24*MAX(M24,1)/Q24*P24,0)</f>
        <v/>
      </c>
      <c r="AA24" s="6" t="inlineStr"/>
    </row>
    <row r="25">
      <c r="B25" s="6" t="inlineStr">
        <is>
          <t xml:space="preserve">  ↳ wc2paladinexorcism</t>
        </is>
      </c>
      <c r="C25" s="6" t="inlineStr">
        <is>
          <t>Armament@EXORCISM</t>
        </is>
      </c>
      <c r="K25" s="5" t="n">
        <v>4025</v>
      </c>
      <c r="L25" s="5" t="n">
        <v>60</v>
      </c>
      <c r="M25" s="5" t="n">
        <v>1</v>
      </c>
      <c r="N25" s="5" t="n"/>
      <c r="O25" s="5" t="n">
        <v>5120</v>
      </c>
      <c r="P25" s="5" t="n">
        <v>1</v>
      </c>
      <c r="Q25">
        <f>L25+IF(M25&gt;1,N(N25)*(M25-1),0)</f>
        <v/>
      </c>
      <c r="R25">
        <f>IFERROR(K25*MAX(M25,1)/Q25*P25,0)</f>
        <v/>
      </c>
      <c r="AA25" s="6" t="inlineStr"/>
    </row>
    <row r="26">
      <c r="A26" t="inlineStr">
        <is>
          <t>warcraft2</t>
        </is>
      </c>
      <c r="B26" t="inlineStr">
        <is>
          <t>wc2_humans_highelfsorceress</t>
        </is>
      </c>
      <c r="C26" t="inlineStr">
        <is>
          <t>High Elf Sorceress</t>
        </is>
      </c>
      <c r="D26" t="inlineStr"/>
      <c r="E26" s="5" t="n">
        <v>50000</v>
      </c>
      <c r="F26" s="5" t="n">
        <v>65</v>
      </c>
      <c r="G26" t="inlineStr">
        <is>
          <t>Flak</t>
        </is>
      </c>
      <c r="H26" s="5" t="n">
        <v>1</v>
      </c>
      <c r="I26" s="5" t="n">
        <v>1</v>
      </c>
      <c r="J26" s="5" t="n">
        <v>1</v>
      </c>
      <c r="O26">
        <f>MAX(O27,O28,O29)</f>
        <v/>
      </c>
      <c r="R26">
        <f>R27+R28+R29</f>
        <v/>
      </c>
      <c r="S26">
        <f>(E26/100000+F26/100+(O26/1000)*J26/5+R26/200)*200*I26*H26</f>
        <v/>
      </c>
      <c r="T26">
        <f>((E26*F26/25000)+((O26/1000)*J26*R26/2.5))*I26*H26</f>
        <v/>
      </c>
      <c r="U26">
        <f>(E26*F26*(O26/1000)*J26*R26*I26*H26)/12500000</f>
        <v/>
      </c>
      <c r="V26">
        <f>(S26+T26+U26)/3</f>
        <v/>
      </c>
      <c r="W26" s="5" t="n">
        <v>1000</v>
      </c>
      <c r="X26">
        <f>IFERROR(V26-W26,"")</f>
        <v/>
      </c>
      <c r="Y26">
        <f>IFERROR(ABS(X26)/MAX(W26,1),"")</f>
        <v/>
      </c>
      <c r="Z26">
        <f>IFERROR((W26-(((E26/100000+F26/100+R26/200)*200*I26*H26)+((E26*F26/25000)*I26*H26))/3)/(((J26/5)*200*I26*H26)+((J26*R26/2.5)*I26*H26)+((E26*F26*J26*R26*I26*H26)/12500000))/3*1000,"")</f>
        <v/>
      </c>
    </row>
    <row r="27">
      <c r="B27" s="6" t="inlineStr">
        <is>
          <t xml:space="preserve">  ↳ wc2mageFire</t>
        </is>
      </c>
      <c r="C27" s="6" t="inlineStr">
        <is>
          <t>Armament</t>
        </is>
      </c>
      <c r="K27" s="5" t="n">
        <v>8000</v>
      </c>
      <c r="L27" s="5" t="n">
        <v>40</v>
      </c>
      <c r="M27" s="5" t="n">
        <v>1</v>
      </c>
      <c r="N27" s="5" t="n"/>
      <c r="O27" s="5" t="n">
        <v>8000</v>
      </c>
      <c r="P27" s="5" t="n">
        <v>1</v>
      </c>
      <c r="Q27">
        <f>L27+IF(M27&gt;1,N(N27)*(M27-1),0)</f>
        <v/>
      </c>
      <c r="R27">
        <f>IFERROR(K27*MAX(M27,1)/Q27*P27,0)</f>
        <v/>
      </c>
      <c r="AA27" s="6" t="inlineStr">
        <is>
          <t>^TeslaChargedWeapon</t>
        </is>
      </c>
    </row>
    <row r="28">
      <c r="B28" s="6" t="inlineStr">
        <is>
          <t xml:space="preserve">  ↳ wc2paladinhealing</t>
        </is>
      </c>
      <c r="C28" s="6" t="inlineStr">
        <is>
          <t>Armament@HEAL</t>
        </is>
      </c>
      <c r="K28" s="5" t="n">
        <v>-4025</v>
      </c>
      <c r="L28" s="5" t="n">
        <v>60</v>
      </c>
      <c r="M28" s="5" t="n">
        <v>1</v>
      </c>
      <c r="N28" s="5" t="n"/>
      <c r="O28" s="5" t="n">
        <v>5120</v>
      </c>
      <c r="P28" s="5" t="n">
        <v>1</v>
      </c>
      <c r="Q28">
        <f>L28+IF(M28&gt;1,N(N28)*(M28-1),0)</f>
        <v/>
      </c>
      <c r="R28">
        <f>IFERROR(K28*MAX(M28,1)/Q28*P28,0)</f>
        <v/>
      </c>
      <c r="AA28" s="6" t="inlineStr"/>
    </row>
    <row r="29">
      <c r="B29" s="6" t="inlineStr">
        <is>
          <t xml:space="preserve">  ↳ wc2paladinexorcism</t>
        </is>
      </c>
      <c r="C29" s="6" t="inlineStr">
        <is>
          <t>Armament@EXORCISM</t>
        </is>
      </c>
      <c r="K29" s="5" t="n">
        <v>4025</v>
      </c>
      <c r="L29" s="5" t="n">
        <v>60</v>
      </c>
      <c r="M29" s="5" t="n">
        <v>1</v>
      </c>
      <c r="N29" s="5" t="n"/>
      <c r="O29" s="5" t="n">
        <v>5120</v>
      </c>
      <c r="P29" s="5" t="n">
        <v>1</v>
      </c>
      <c r="Q29">
        <f>L29+IF(M29&gt;1,N(N29)*(M29-1),0)</f>
        <v/>
      </c>
      <c r="R29">
        <f>IFERROR(K29*MAX(M29,1)/Q29*P29,0)</f>
        <v/>
      </c>
      <c r="AA29" s="6" t="inlineStr"/>
    </row>
    <row r="30">
      <c r="A30" t="inlineStr">
        <is>
          <t>warcraft2</t>
        </is>
      </c>
      <c r="B30" t="inlineStr">
        <is>
          <t>wc2_humans_highelvenarcher</t>
        </is>
      </c>
      <c r="C30" t="inlineStr">
        <is>
          <t>High Elven Archer</t>
        </is>
      </c>
      <c r="D30" t="inlineStr"/>
      <c r="E30" s="5" t="n">
        <v>35000</v>
      </c>
      <c r="F30" s="5" t="n">
        <v>85</v>
      </c>
      <c r="G30" t="inlineStr">
        <is>
          <t>Flak</t>
        </is>
      </c>
      <c r="H30" s="5" t="n">
        <v>1</v>
      </c>
      <c r="I30" s="5" t="n">
        <v>1</v>
      </c>
      <c r="J30" s="5" t="n">
        <v>1</v>
      </c>
      <c r="O30">
        <f>MAX(O31)</f>
        <v/>
      </c>
      <c r="R30">
        <f>R31</f>
        <v/>
      </c>
      <c r="S30">
        <f>(E30/100000+F30/100+(O30/1000)*J30/5+R30/200)*200*I30*H30</f>
        <v/>
      </c>
      <c r="T30">
        <f>((E30*F30/25000)+((O30/1000)*J30*R30/2.5))*I30*H30</f>
        <v/>
      </c>
      <c r="U30">
        <f>(E30*F30*(O30/1000)*J30*R30*I30*H30)/12500000</f>
        <v/>
      </c>
      <c r="V30">
        <f>(S30+T30+U30)/3</f>
        <v/>
      </c>
      <c r="W30" s="5" t="n">
        <v>1100</v>
      </c>
      <c r="X30">
        <f>IFERROR(V30-W30,"")</f>
        <v/>
      </c>
      <c r="Y30">
        <f>IFERROR(ABS(X30)/MAX(W30,1),"")</f>
        <v/>
      </c>
      <c r="Z30">
        <f>IFERROR((W30-(((E30/100000+F30/100+R30/200)*200*I30*H30)+((E30*F30/25000)*I30*H30))/3)/(((J30/5)*200*I30*H30)+((J30*R30/2.5)*I30*H30)+((E30*F30*J30*R30*I30*H30)/12500000))/3*1000,"")</f>
        <v/>
      </c>
    </row>
    <row r="31">
      <c r="B31" s="6" t="inlineStr">
        <is>
          <t xml:space="preserve">  ↳ wc2highArrowFire</t>
        </is>
      </c>
      <c r="C31" s="6" t="inlineStr">
        <is>
          <t>Armament</t>
        </is>
      </c>
      <c r="K31" s="5" t="n">
        <v>4000</v>
      </c>
      <c r="L31" s="5" t="n">
        <v>35</v>
      </c>
      <c r="M31" s="5" t="n">
        <v>1</v>
      </c>
      <c r="N31" s="5" t="n"/>
      <c r="O31" s="5" t="n">
        <v>7487</v>
      </c>
      <c r="P31" s="5" t="n">
        <v>1</v>
      </c>
      <c r="Q31">
        <f>L31+IF(M31&gt;1,N(N31)*(M31-1),0)</f>
        <v/>
      </c>
      <c r="R31">
        <f>IFERROR(K31*MAX(M31,1)/Q31*P31,0)</f>
        <v/>
      </c>
      <c r="AA31" s="6" t="inlineStr">
        <is>
          <t>^LaserWeapon, ^HeavyMissile, ^HeavyAAWeapon, ^FlakWeapon, ^Chaingun, ^MediumCannon, ^Grenade, ^TankDestroyerCannon, ^ArrowWeapon</t>
        </is>
      </c>
    </row>
    <row r="32">
      <c r="B32" s="6" t="inlineStr">
        <is>
          <t xml:space="preserve">  ↳ wc2highArrowFire</t>
        </is>
      </c>
      <c r="C32" s="6" t="inlineStr">
        <is>
          <t>Armament@GARRISONED</t>
        </is>
      </c>
      <c r="K32" s="5" t="n">
        <v>4000</v>
      </c>
      <c r="L32" s="5" t="n">
        <v>35</v>
      </c>
      <c r="M32" s="5" t="n">
        <v>1</v>
      </c>
      <c r="N32" s="5" t="n"/>
      <c r="O32" s="5" t="n">
        <v>7487</v>
      </c>
      <c r="P32" s="5" t="n">
        <v>1</v>
      </c>
      <c r="Q32">
        <f>L32+IF(M32&gt;1,N(N32)*(M32-1),0)</f>
        <v/>
      </c>
      <c r="R32">
        <f>IFERROR(K32*MAX(M32,1)/Q32*P32,0)</f>
        <v/>
      </c>
      <c r="AA32" s="6" t="inlineStr">
        <is>
          <t>^LaserWeapon, ^HeavyMissile, ^HeavyAAWeapon, ^FlakWeapon, ^Chaingun, ^MediumCannon, ^Grenade, ^TankDestroyerCannon, ^ArrowWeapon</t>
        </is>
      </c>
    </row>
    <row r="33">
      <c r="A33" t="inlineStr">
        <is>
          <t>warcraft2</t>
        </is>
      </c>
      <c r="B33" t="inlineStr">
        <is>
          <t>wc2_humans_knight</t>
        </is>
      </c>
      <c r="C33" t="inlineStr">
        <is>
          <t>Knight</t>
        </is>
      </c>
      <c r="D33" t="inlineStr"/>
      <c r="E33" s="5" t="n">
        <v>167500</v>
      </c>
      <c r="F33" s="5" t="n">
        <v>115</v>
      </c>
      <c r="G33" t="inlineStr">
        <is>
          <t>Medium</t>
        </is>
      </c>
      <c r="H33" s="5" t="n">
        <v>0.75</v>
      </c>
      <c r="I33" s="5" t="n">
        <v>1</v>
      </c>
      <c r="J33" s="5" t="n">
        <v>1</v>
      </c>
      <c r="O33">
        <f>MAX(O34,O35,O36,O37)</f>
        <v/>
      </c>
      <c r="R33">
        <f>R34+R35+R36+R37</f>
        <v/>
      </c>
      <c r="S33">
        <f>(E33/100000+F33/100+(O33/1000)*J33/5+R33/200)*200*I33*H33</f>
        <v/>
      </c>
      <c r="T33">
        <f>((E33*F33/25000)+((O33/1000)*J33*R33/2.5))*I33*H33</f>
        <v/>
      </c>
      <c r="U33">
        <f>(E33*F33*(O33/1000)*J33*R33*I33*H33)/12500000</f>
        <v/>
      </c>
      <c r="V33">
        <f>(S33+T33+U33)/3</f>
        <v/>
      </c>
      <c r="W33" s="5" t="n">
        <v>1600</v>
      </c>
      <c r="X33">
        <f>IFERROR(V33-W33,"")</f>
        <v/>
      </c>
      <c r="Y33">
        <f>IFERROR(ABS(X33)/MAX(W33,1),"")</f>
        <v/>
      </c>
      <c r="Z33">
        <f>IFERROR((W33-(((E33/100000+F33/100+R33/200)*200*I33*H33)+((E33*F33/25000)*I33*H33))/3)/(((J33/5)*200*I33*H33)+((J33*R33/2.5)*I33*H33)+((E33*F33*J33*R33*I33*H33)/12500000))/3*1000,"")</f>
        <v/>
      </c>
    </row>
    <row r="34">
      <c r="B34" s="6" t="inlineStr">
        <is>
          <t xml:space="preserve">  ↳ wc2knightslice</t>
        </is>
      </c>
      <c r="C34" s="6" t="inlineStr">
        <is>
          <t>Armament</t>
        </is>
      </c>
      <c r="K34" s="5" t="n">
        <v>16000</v>
      </c>
      <c r="L34" s="5" t="n">
        <v>12</v>
      </c>
      <c r="M34" s="5" t="n">
        <v>1</v>
      </c>
      <c r="N34" s="5" t="n"/>
      <c r="O34" s="5" t="n">
        <v>1420</v>
      </c>
      <c r="P34" s="5" t="n">
        <v>1</v>
      </c>
      <c r="Q34">
        <f>L34+IF(M34&gt;1,N(N34)*(M34-1),0)</f>
        <v/>
      </c>
      <c r="R34">
        <f>IFERROR(K34*MAX(M34,1)/Q34*P34,0)</f>
        <v/>
      </c>
      <c r="AA34" s="6" t="inlineStr">
        <is>
          <t>^SwordWeapon</t>
        </is>
      </c>
    </row>
    <row r="35">
      <c r="B35" s="6" t="inlineStr">
        <is>
          <t xml:space="preserve">  ↳ wc2paladinholyvision</t>
        </is>
      </c>
      <c r="C35" s="6" t="inlineStr">
        <is>
          <t>Armament@HOLYVISION</t>
        </is>
      </c>
      <c r="K35" s="5" t="n">
        <v>0</v>
      </c>
      <c r="L35" s="5" t="n">
        <v>60</v>
      </c>
      <c r="M35" s="5" t="n">
        <v>1</v>
      </c>
      <c r="N35" s="5" t="n"/>
      <c r="O35" s="5" t="n">
        <v>512000</v>
      </c>
      <c r="P35" s="5" t="n">
        <v>1</v>
      </c>
      <c r="Q35">
        <f>L35+IF(M35&gt;1,N(N35)*(M35-1),0)</f>
        <v/>
      </c>
      <c r="R35">
        <f>IFERROR(K35*MAX(M35,1)/Q35*P35,0)</f>
        <v/>
      </c>
      <c r="AA35" s="6" t="inlineStr"/>
    </row>
    <row r="36">
      <c r="B36" s="6" t="inlineStr">
        <is>
          <t xml:space="preserve">  ↳ wc2paladinhealing</t>
        </is>
      </c>
      <c r="C36" s="6" t="inlineStr">
        <is>
          <t>Armament@HEAL</t>
        </is>
      </c>
      <c r="K36" s="5" t="n">
        <v>-4025</v>
      </c>
      <c r="L36" s="5" t="n">
        <v>60</v>
      </c>
      <c r="M36" s="5" t="n">
        <v>1</v>
      </c>
      <c r="N36" s="5" t="n"/>
      <c r="O36" s="5" t="n">
        <v>5120</v>
      </c>
      <c r="P36" s="5" t="n">
        <v>1</v>
      </c>
      <c r="Q36">
        <f>L36+IF(M36&gt;1,N(N36)*(M36-1),0)</f>
        <v/>
      </c>
      <c r="R36">
        <f>IFERROR(K36*MAX(M36,1)/Q36*P36,0)</f>
        <v/>
      </c>
      <c r="AA36" s="6" t="inlineStr"/>
    </row>
    <row r="37">
      <c r="B37" s="6" t="inlineStr">
        <is>
          <t xml:space="preserve">  ↳ wc2paladinexorcism</t>
        </is>
      </c>
      <c r="C37" s="6" t="inlineStr">
        <is>
          <t>Armament@EXORCISM</t>
        </is>
      </c>
      <c r="K37" s="5" t="n">
        <v>4025</v>
      </c>
      <c r="L37" s="5" t="n">
        <v>60</v>
      </c>
      <c r="M37" s="5" t="n">
        <v>1</v>
      </c>
      <c r="N37" s="5" t="n"/>
      <c r="O37" s="5" t="n">
        <v>5120</v>
      </c>
      <c r="P37" s="5" t="n">
        <v>1</v>
      </c>
      <c r="Q37">
        <f>L37+IF(M37&gt;1,N(N37)*(M37-1),0)</f>
        <v/>
      </c>
      <c r="R37">
        <f>IFERROR(K37*MAX(M37,1)/Q37*P37,0)</f>
        <v/>
      </c>
      <c r="AA37" s="6" t="inlineStr"/>
    </row>
    <row r="38">
      <c r="A38" t="inlineStr">
        <is>
          <t>warcraft2</t>
        </is>
      </c>
      <c r="B38" t="inlineStr">
        <is>
          <t>wc2_humans_mage</t>
        </is>
      </c>
      <c r="C38" t="inlineStr">
        <is>
          <t>Mage</t>
        </is>
      </c>
      <c r="D38" t="inlineStr"/>
      <c r="E38" s="5" t="n">
        <v>50000</v>
      </c>
      <c r="F38" s="5" t="n">
        <v>65</v>
      </c>
      <c r="G38" t="inlineStr">
        <is>
          <t>Flak</t>
        </is>
      </c>
      <c r="H38" s="5" t="n">
        <v>1</v>
      </c>
      <c r="I38" s="5" t="n">
        <v>1</v>
      </c>
      <c r="J38" s="5" t="n">
        <v>1</v>
      </c>
      <c r="O38">
        <f>MAX(O39,O41,O42,O43,O44,O45)</f>
        <v/>
      </c>
      <c r="R38">
        <f>R39+R41+R42+R43+R44+R45</f>
        <v/>
      </c>
      <c r="S38">
        <f>(E38/100000+F38/100+(O38/1000)*J38/5+R38/200)*200*I38*H38</f>
        <v/>
      </c>
      <c r="T38">
        <f>((E38*F38/25000)+((O38/1000)*J38*R38/2.5))*I38*H38</f>
        <v/>
      </c>
      <c r="U38">
        <f>(E38*F38*(O38/1000)*J38*R38*I38*H38)/12500000</f>
        <v/>
      </c>
      <c r="V38">
        <f>(S38+T38+U38)/3</f>
        <v/>
      </c>
      <c r="W38" s="5" t="n">
        <v>1000</v>
      </c>
      <c r="X38">
        <f>IFERROR(V38-W38,"")</f>
        <v/>
      </c>
      <c r="Y38">
        <f>IFERROR(ABS(X38)/MAX(W38,1),"")</f>
        <v/>
      </c>
      <c r="Z38">
        <f>IFERROR((W38-(((E38/100000+F38/100+R38/200)*200*I38*H38)+((E38*F38/25000)*I38*H38))/3)/(((J38/5)*200*I38*H38)+((J38*R38/2.5)*I38*H38)+((E38*F38*J38*R38*I38*H38)/12500000))/3*1000,"")</f>
        <v/>
      </c>
    </row>
    <row r="39">
      <c r="B39" s="6" t="inlineStr">
        <is>
          <t xml:space="preserve">  ↳ wc2mageFire</t>
        </is>
      </c>
      <c r="C39" s="6" t="inlineStr">
        <is>
          <t>Armament</t>
        </is>
      </c>
      <c r="K39" s="5" t="n">
        <v>8000</v>
      </c>
      <c r="L39" s="5" t="n">
        <v>40</v>
      </c>
      <c r="M39" s="5" t="n">
        <v>1</v>
      </c>
      <c r="N39" s="5" t="n"/>
      <c r="O39" s="5" t="n">
        <v>8000</v>
      </c>
      <c r="P39" s="5" t="n">
        <v>1</v>
      </c>
      <c r="Q39">
        <f>L39+IF(M39&gt;1,N(N39)*(M39-1),0)</f>
        <v/>
      </c>
      <c r="R39">
        <f>IFERROR(K39*MAX(M39,1)/Q39*P39,0)</f>
        <v/>
      </c>
      <c r="AA39" s="6" t="inlineStr">
        <is>
          <t>^TeslaChargedWeapon</t>
        </is>
      </c>
    </row>
    <row r="40">
      <c r="B40" s="6" t="inlineStr">
        <is>
          <t xml:space="preserve">  ↳ wc2mageFire</t>
        </is>
      </c>
      <c r="C40" s="6" t="inlineStr">
        <is>
          <t>Armament@GARRISONED</t>
        </is>
      </c>
      <c r="K40" s="5" t="n">
        <v>8000</v>
      </c>
      <c r="L40" s="5" t="n">
        <v>40</v>
      </c>
      <c r="M40" s="5" t="n">
        <v>1</v>
      </c>
      <c r="N40" s="5" t="n"/>
      <c r="O40" s="5" t="n">
        <v>8000</v>
      </c>
      <c r="P40" s="5" t="n">
        <v>1</v>
      </c>
      <c r="Q40">
        <f>L40+IF(M40&gt;1,N(N40)*(M40-1),0)</f>
        <v/>
      </c>
      <c r="R40">
        <f>IFERROR(K40*MAX(M40,1)/Q40*P40,0)</f>
        <v/>
      </c>
      <c r="AA40" s="6" t="inlineStr">
        <is>
          <t>^TeslaChargedWeapon</t>
        </is>
      </c>
    </row>
    <row r="41">
      <c r="B41" s="6" t="inlineStr">
        <is>
          <t xml:space="preserve">  ↳ wc2mageFireballVisible</t>
        </is>
      </c>
      <c r="C41" s="6" t="inlineStr">
        <is>
          <t>Armament@FIREBALL_VISIBLE</t>
        </is>
      </c>
      <c r="K41" s="5" t="n">
        <v>2000</v>
      </c>
      <c r="L41" s="5" t="n">
        <v>80</v>
      </c>
      <c r="M41" s="5" t="n">
        <v>1</v>
      </c>
      <c r="N41" s="5" t="n"/>
      <c r="O41" s="5" t="n">
        <v>8000</v>
      </c>
      <c r="P41" s="5" t="n">
        <v>1</v>
      </c>
      <c r="Q41">
        <f>L41+IF(M41&gt;1,N(N41)*(M41-1),0)</f>
        <v/>
      </c>
      <c r="R41">
        <f>IFERROR(K41*MAX(M41,1)/Q41*P41,0)</f>
        <v/>
      </c>
      <c r="AA41" s="6" t="inlineStr">
        <is>
          <t>^TankDestroyerCannon, ^MediumCannon, ^HeavyCannon, ^Grenade, ^ShrapnelWeapon, ^HeavyBomb, ^MediumMissile, ^Chaingun, ^FlakWeapon</t>
        </is>
      </c>
    </row>
    <row r="42">
      <c r="B42" s="6" t="inlineStr">
        <is>
          <t xml:space="preserve">  ↳ wc2mageFireballExplosion</t>
        </is>
      </c>
      <c r="C42" s="6" t="inlineStr">
        <is>
          <t>Armament@FIREBALL_EXPLOSIONS</t>
        </is>
      </c>
      <c r="K42" s="5" t="n">
        <v>2000</v>
      </c>
      <c r="L42" s="5" t="n">
        <v>80</v>
      </c>
      <c r="M42" s="5" t="n">
        <v>5</v>
      </c>
      <c r="N42" s="5" t="n">
        <v>0</v>
      </c>
      <c r="O42" s="5" t="n">
        <v>8000</v>
      </c>
      <c r="P42" s="5" t="n">
        <v>1</v>
      </c>
      <c r="Q42">
        <f>L42+IF(M42&gt;1,N(N42)*(M42-1),0)</f>
        <v/>
      </c>
      <c r="R42">
        <f>IFERROR(K42*MAX(M42,1)/Q42*P42,0)</f>
        <v/>
      </c>
      <c r="AA42" s="6" t="inlineStr">
        <is>
          <t>^TankDestroyerCannon, ^MediumCannon, ^HeavyCannon, ^Grenade, ^ShrapnelWeapon, ^HeavyBomb, ^MediumMissile, ^Chaingun, ^FlakWeapon</t>
        </is>
      </c>
    </row>
    <row r="43">
      <c r="B43" s="6" t="inlineStr">
        <is>
          <t xml:space="preserve">  ↳ wc2mageSlow</t>
        </is>
      </c>
      <c r="C43" s="6" t="inlineStr">
        <is>
          <t>Armament@SLOW</t>
        </is>
      </c>
      <c r="K43" s="5" t="n">
        <v>1</v>
      </c>
      <c r="L43" s="5" t="n">
        <v>60</v>
      </c>
      <c r="M43" s="5" t="n">
        <v>1</v>
      </c>
      <c r="N43" s="5" t="n"/>
      <c r="O43" s="5" t="n">
        <v>8000</v>
      </c>
      <c r="P43" s="5" t="n">
        <v>1</v>
      </c>
      <c r="Q43">
        <f>L43+IF(M43&gt;1,N(N43)*(M43-1),0)</f>
        <v/>
      </c>
      <c r="R43">
        <f>IFERROR(K43*MAX(M43,1)/Q43*P43,0)</f>
        <v/>
      </c>
      <c r="AA43" s="6" t="inlineStr"/>
    </row>
    <row r="44">
      <c r="B44" s="6" t="inlineStr">
        <is>
          <t xml:space="preserve">  ↳ wc2magePolymorph</t>
        </is>
      </c>
      <c r="C44" s="6" t="inlineStr">
        <is>
          <t>Armament@POLYMORPH</t>
        </is>
      </c>
      <c r="K44" s="5" t="n"/>
      <c r="L44" s="5" t="n">
        <v>60</v>
      </c>
      <c r="M44" s="5" t="n">
        <v>1</v>
      </c>
      <c r="N44" s="5" t="n"/>
      <c r="O44" s="5" t="n">
        <v>8000</v>
      </c>
      <c r="P44" s="5" t="n">
        <v>1</v>
      </c>
      <c r="Q44">
        <f>L44+IF(M44&gt;1,N(N44)*(M44-1),0)</f>
        <v/>
      </c>
      <c r="R44">
        <f>IFERROR(K44*MAX(M44,1)/Q44*P44,0)</f>
        <v/>
      </c>
      <c r="AA44" s="6" t="inlineStr"/>
    </row>
    <row r="45">
      <c r="B45" s="6" t="inlineStr">
        <is>
          <t xml:space="preserve">  ↳ wc2mageBlizzard</t>
        </is>
      </c>
      <c r="C45" s="6" t="inlineStr">
        <is>
          <t>Armament@BLIZZARD</t>
        </is>
      </c>
      <c r="K45" s="5" t="n">
        <v>1</v>
      </c>
      <c r="L45" s="5" t="n">
        <v>50</v>
      </c>
      <c r="M45" s="5" t="n">
        <v>1</v>
      </c>
      <c r="N45" s="5" t="n"/>
      <c r="O45" s="5" t="n">
        <v>8000</v>
      </c>
      <c r="P45" s="5" t="n">
        <v>1</v>
      </c>
      <c r="Q45">
        <f>L45+IF(M45&gt;1,N(N45)*(M45-1),0)</f>
        <v/>
      </c>
      <c r="R45">
        <f>IFERROR(K45*MAX(M45,1)/Q45*P45,0)</f>
        <v/>
      </c>
      <c r="AA45" s="6" t="inlineStr"/>
    </row>
    <row r="46">
      <c r="A46" t="inlineStr">
        <is>
          <t>warcraft2</t>
        </is>
      </c>
      <c r="B46" t="inlineStr">
        <is>
          <t>wc2_humans_militiapeasant</t>
        </is>
      </c>
      <c r="C46" t="inlineStr">
        <is>
          <t>Militia Peasant</t>
        </is>
      </c>
      <c r="D46" t="inlineStr"/>
      <c r="E46" s="5" t="n">
        <v>20000</v>
      </c>
      <c r="F46" s="5" t="n">
        <v>90</v>
      </c>
      <c r="G46" t="inlineStr">
        <is>
          <t>Light</t>
        </is>
      </c>
      <c r="H46" s="5" t="n">
        <v>1</v>
      </c>
      <c r="I46" s="5" t="n">
        <v>1</v>
      </c>
      <c r="J46" s="5" t="n">
        <v>1</v>
      </c>
      <c r="O46">
        <f>MAX(O47)</f>
        <v/>
      </c>
      <c r="R46">
        <f>R47</f>
        <v/>
      </c>
      <c r="S46">
        <f>(E46/100000+F46/100+(O46/1000)*J46/5+R46/200)*200*I46*H46</f>
        <v/>
      </c>
      <c r="T46">
        <f>((E46*F46/25000)+((O46/1000)*J46*R46/2.5))*I46*H46</f>
        <v/>
      </c>
      <c r="U46">
        <f>(E46*F46*(O46/1000)*J46*R46*I46*H46)/12500000</f>
        <v/>
      </c>
      <c r="V46">
        <f>(S46+T46+U46)/3</f>
        <v/>
      </c>
      <c r="W46" s="5" t="n">
        <v>300</v>
      </c>
      <c r="X46">
        <f>IFERROR(V46-W46,"")</f>
        <v/>
      </c>
      <c r="Y46">
        <f>IFERROR(ABS(X46)/MAX(W46,1),"")</f>
        <v/>
      </c>
      <c r="Z46">
        <f>IFERROR((W46-(((E46/100000+F46/100+R46/200)*200*I46*H46)+((E46*F46/25000)*I46*H46))/3)/(((J46/5)*200*I46*H46)+((J46*R46/2.5)*I46*H46)+((E46*F46*J46*R46*I46*H46)/12500000))/3*1000,"")</f>
        <v/>
      </c>
    </row>
    <row r="47">
      <c r="B47" s="6" t="inlineStr">
        <is>
          <t xml:space="preserve">  ↳ wc2footmanslice</t>
        </is>
      </c>
      <c r="C47" s="6" t="inlineStr">
        <is>
          <t>Armament</t>
        </is>
      </c>
      <c r="K47" s="5" t="n">
        <v>12000</v>
      </c>
      <c r="L47" s="5" t="n">
        <v>15</v>
      </c>
      <c r="M47" s="5" t="n">
        <v>1</v>
      </c>
      <c r="N47" s="5" t="n"/>
      <c r="O47" s="5" t="n">
        <v>1333</v>
      </c>
      <c r="P47" s="5" t="n">
        <v>1</v>
      </c>
      <c r="Q47">
        <f>L47+IF(M47&gt;1,N(N47)*(M47-1),0)</f>
        <v/>
      </c>
      <c r="R47">
        <f>IFERROR(K47*MAX(M47,1)/Q47*P47,0)</f>
        <v/>
      </c>
      <c r="AA47" s="6" t="inlineStr">
        <is>
          <t>^SwordWeapon</t>
        </is>
      </c>
    </row>
    <row r="48">
      <c r="A48" t="inlineStr">
        <is>
          <t>warcraft2</t>
        </is>
      </c>
      <c r="B48" t="inlineStr">
        <is>
          <t>wc2_humans_mortarteam</t>
        </is>
      </c>
      <c r="C48" t="inlineStr">
        <is>
          <t>Mortar Team</t>
        </is>
      </c>
      <c r="D48" t="inlineStr"/>
      <c r="E48" s="5" t="n">
        <v>40000</v>
      </c>
      <c r="F48" s="5" t="n">
        <v>80</v>
      </c>
      <c r="G48" t="inlineStr">
        <is>
          <t>None</t>
        </is>
      </c>
      <c r="H48" s="5" t="n">
        <v>1</v>
      </c>
      <c r="I48" s="5" t="n">
        <v>0.6</v>
      </c>
      <c r="J48" s="5" t="n">
        <v>1</v>
      </c>
      <c r="O48">
        <f>MAX(O49)</f>
        <v/>
      </c>
      <c r="R48">
        <f>R49</f>
        <v/>
      </c>
      <c r="S48">
        <f>(E48/100000+F48/100+(O48/1000)*J48/5+R48/200)*200*I48*H48</f>
        <v/>
      </c>
      <c r="T48">
        <f>((E48*F48/25000)+((O48/1000)*J48*R48/2.5))*I48*H48</f>
        <v/>
      </c>
      <c r="U48">
        <f>(E48*F48*(O48/1000)*J48*R48*I48*H48)/12500000</f>
        <v/>
      </c>
      <c r="V48">
        <f>(S48+T48+U48)/3</f>
        <v/>
      </c>
      <c r="W48" s="5" t="n">
        <v>800</v>
      </c>
      <c r="X48">
        <f>IFERROR(V48-W48,"")</f>
        <v/>
      </c>
      <c r="Y48">
        <f>IFERROR(ABS(X48)/MAX(W48,1),"")</f>
        <v/>
      </c>
      <c r="Z48">
        <f>IFERROR((W48-(((E48/100000+F48/100+R48/200)*200*I48*H48)+((E48*F48/25000)*I48*H48))/3)/(((J48/5)*200*I48*H48)+((J48*R48/2.5)*I48*H48)+((E48*F48*J48*R48*I48*H48)/12500000))/3*1000,"")</f>
        <v/>
      </c>
    </row>
    <row r="49">
      <c r="B49" s="6" t="inlineStr">
        <is>
          <t xml:space="preserve">  ↳ MortarTeamArtilleryShell</t>
        </is>
      </c>
      <c r="C49" s="6" t="inlineStr">
        <is>
          <t>Armament</t>
        </is>
      </c>
      <c r="K49" s="5" t="n">
        <v>20000</v>
      </c>
      <c r="L49" s="5" t="n">
        <v>200</v>
      </c>
      <c r="M49" s="5" t="n">
        <v>1</v>
      </c>
      <c r="N49" s="5" t="n"/>
      <c r="O49" s="5" t="n">
        <v>12000</v>
      </c>
      <c r="P49" s="5" t="n">
        <v>1</v>
      </c>
      <c r="Q49">
        <f>L49+IF(M49&gt;1,N(N49)*(M49-1),0)</f>
        <v/>
      </c>
      <c r="R49">
        <f>IFERROR(K49*MAX(M49,1)/Q49*P49,0)</f>
        <v/>
      </c>
      <c r="AA49" s="6" t="inlineStr">
        <is>
          <t>^MediumCannon, ^MediumChemicalWeapon, ^MediumFlameWeapon, ^ShrapnelWeapon</t>
        </is>
      </c>
    </row>
    <row r="50">
      <c r="B50" s="6" t="inlineStr">
        <is>
          <t xml:space="preserve">  ↳ MortarTeamArtilleryShell</t>
        </is>
      </c>
      <c r="C50" s="6" t="inlineStr">
        <is>
          <t>Armament@GARRISONED</t>
        </is>
      </c>
      <c r="K50" s="5" t="n">
        <v>20000</v>
      </c>
      <c r="L50" s="5" t="n">
        <v>200</v>
      </c>
      <c r="M50" s="5" t="n">
        <v>1</v>
      </c>
      <c r="N50" s="5" t="n"/>
      <c r="O50" s="5" t="n">
        <v>12000</v>
      </c>
      <c r="P50" s="5" t="n">
        <v>1</v>
      </c>
      <c r="Q50">
        <f>L50+IF(M50&gt;1,N(N50)*(M50-1),0)</f>
        <v/>
      </c>
      <c r="R50">
        <f>IFERROR(K50*MAX(M50,1)/Q50*P50,0)</f>
        <v/>
      </c>
      <c r="AA50" s="6" t="inlineStr">
        <is>
          <t>^MediumCannon, ^MediumChemicalWeapon, ^MediumFlameWeapon, ^ShrapnelWeapon</t>
        </is>
      </c>
    </row>
    <row r="51">
      <c r="A51" t="inlineStr">
        <is>
          <t>warcraft2</t>
        </is>
      </c>
      <c r="B51" t="inlineStr">
        <is>
          <t>wc2_humans_warcraft3footman</t>
        </is>
      </c>
      <c r="C51" t="inlineStr">
        <is>
          <t>Warcraft 3 Footman</t>
        </is>
      </c>
      <c r="D51" t="inlineStr"/>
      <c r="E51" s="5" t="n">
        <v>80000</v>
      </c>
      <c r="F51" s="5" t="n">
        <v>85</v>
      </c>
      <c r="G51" t="inlineStr">
        <is>
          <t>Plate</t>
        </is>
      </c>
      <c r="H51" s="5" t="n">
        <v>1</v>
      </c>
      <c r="I51" s="5" t="n">
        <v>1</v>
      </c>
      <c r="J51" s="5" t="n">
        <v>1</v>
      </c>
      <c r="O51">
        <f>MAX(O52)</f>
        <v/>
      </c>
      <c r="R51">
        <f>R52</f>
        <v/>
      </c>
      <c r="S51">
        <f>(E51/100000+F51/100+(O51/1000)*J51/5+R51/200)*200*I51*H51</f>
        <v/>
      </c>
      <c r="T51">
        <f>((E51*F51/25000)+((O51/1000)*J51*R51/2.5))*I51*H51</f>
        <v/>
      </c>
      <c r="U51">
        <f>(E51*F51*(O51/1000)*J51*R51*I51*H51)/12500000</f>
        <v/>
      </c>
      <c r="V51">
        <f>(S51+T51+U51)/3</f>
        <v/>
      </c>
      <c r="W51" s="5" t="n">
        <v>900</v>
      </c>
      <c r="X51">
        <f>IFERROR(V51-W51,"")</f>
        <v/>
      </c>
      <c r="Y51">
        <f>IFERROR(ABS(X51)/MAX(W51,1),"")</f>
        <v/>
      </c>
      <c r="Z51">
        <f>IFERROR((W51-(((E51/100000+F51/100+R51/200)*200*I51*H51)+((E51*F51/25000)*I51*H51))/3)/(((J51/5)*200*I51*H51)+((J51*R51/2.5)*I51*H51)+((E51*F51*J51*R51*I51*H51)/12500000))/3*1000,"")</f>
        <v/>
      </c>
    </row>
    <row r="52">
      <c r="B52" s="6" t="inlineStr">
        <is>
          <t xml:space="preserve">  ↳ wc2footmanslice2</t>
        </is>
      </c>
      <c r="C52" s="6" t="inlineStr">
        <is>
          <t>Armament</t>
        </is>
      </c>
      <c r="K52" s="5" t="n">
        <v>18000</v>
      </c>
      <c r="L52" s="5" t="n">
        <v>15</v>
      </c>
      <c r="M52" s="5" t="n">
        <v>1</v>
      </c>
      <c r="N52" s="5" t="n"/>
      <c r="O52" s="5" t="n">
        <v>1533</v>
      </c>
      <c r="P52" s="5" t="n">
        <v>1</v>
      </c>
      <c r="Q52">
        <f>L52+IF(M52&gt;1,N(N52)*(M52-1),0)</f>
        <v/>
      </c>
      <c r="R52">
        <f>IFERROR(K52*MAX(M52,1)/Q52*P52,0)</f>
        <v/>
      </c>
      <c r="AA52" s="6" t="inlineStr">
        <is>
          <t>^SwordWeapon</t>
        </is>
      </c>
    </row>
    <row r="53">
      <c r="A53" s="3" t="inlineStr">
        <is>
          <t>VEHICLES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</row>
    <row r="54">
      <c r="A54" t="inlineStr">
        <is>
          <t>warcraft2</t>
        </is>
      </c>
      <c r="B54" t="inlineStr">
        <is>
          <t>wc2_humans_ballista</t>
        </is>
      </c>
      <c r="C54" t="inlineStr">
        <is>
          <t>Ballista</t>
        </is>
      </c>
      <c r="D54" t="inlineStr"/>
      <c r="E54" s="5" t="n">
        <v>45000</v>
      </c>
      <c r="F54" s="5" t="n">
        <v>45</v>
      </c>
      <c r="G54" t="inlineStr">
        <is>
          <t>Light</t>
        </is>
      </c>
      <c r="H54" s="5" t="n">
        <v>1</v>
      </c>
      <c r="I54" s="5" t="n">
        <v>1</v>
      </c>
      <c r="J54" s="5" t="n">
        <v>1</v>
      </c>
      <c r="O54">
        <f>MAX(O55)</f>
        <v/>
      </c>
      <c r="R54">
        <f>R55</f>
        <v/>
      </c>
      <c r="S54">
        <f>(E54/100000+F54/100+(O54/1000)*J54/5+R54/200)*200*I54*H54</f>
        <v/>
      </c>
      <c r="T54">
        <f>((E54*F54/25000)+((O54/1000)*J54*R54/2.5))*I54*H54</f>
        <v/>
      </c>
      <c r="U54">
        <f>(E54*F54*(O54/1000)*J54*R54*I54*H54)/12500000</f>
        <v/>
      </c>
      <c r="V54">
        <f>(S54+T54+U54)/3</f>
        <v/>
      </c>
      <c r="W54" s="5" t="n">
        <v>900</v>
      </c>
      <c r="X54">
        <f>IFERROR(V54-W54,"")</f>
        <v/>
      </c>
      <c r="Y54">
        <f>IFERROR(ABS(X54)/MAX(W54,1),"")</f>
        <v/>
      </c>
      <c r="Z54">
        <f>IFERROR((W54-(((E54/100000+F54/100+R54/200)*200*I54*H54)+((E54*F54/25000)*I54*H54))/3)/(((J54/5)*200*I54*H54)+((J54*R54/2.5)*I54*H54)+((E54*F54*J54*R54*I54*H54)/12500000))/3*1000,"")</f>
        <v/>
      </c>
    </row>
    <row r="55">
      <c r="B55" s="6" t="inlineStr">
        <is>
          <t xml:space="preserve">  ↳ wc2ballistaFire</t>
        </is>
      </c>
      <c r="C55" s="6" t="inlineStr">
        <is>
          <t>Armament</t>
        </is>
      </c>
      <c r="K55" s="5" t="n">
        <v>30000</v>
      </c>
      <c r="L55" s="5" t="n">
        <v>180</v>
      </c>
      <c r="M55" s="5" t="n">
        <v>1</v>
      </c>
      <c r="N55" s="5" t="n"/>
      <c r="O55" s="5" t="n">
        <v>14450</v>
      </c>
      <c r="P55" s="5" t="n">
        <v>1</v>
      </c>
      <c r="Q55">
        <f>L55+IF(M55&gt;1,N(N55)*(M55-1),0)</f>
        <v/>
      </c>
      <c r="R55">
        <f>IFERROR(K55*MAX(M55,1)/Q55*P55,0)</f>
        <v/>
      </c>
      <c r="AA55" s="6" t="inlineStr">
        <is>
          <t>^Grenade, ^ShrapnelWeapon, ^HeavyBomb</t>
        </is>
      </c>
    </row>
    <row r="56">
      <c r="A56" t="inlineStr">
        <is>
          <t>warcraft2</t>
        </is>
      </c>
      <c r="B56" t="inlineStr">
        <is>
          <t>wc2_humans_demolitionsquad</t>
        </is>
      </c>
      <c r="C56" t="inlineStr">
        <is>
          <t>Demolition Squad</t>
        </is>
      </c>
      <c r="D56" t="inlineStr"/>
      <c r="E56" s="5" t="n">
        <v>40000</v>
      </c>
      <c r="F56" s="5" t="n">
        <v>80</v>
      </c>
      <c r="G56" t="inlineStr">
        <is>
          <t>Heavy</t>
        </is>
      </c>
      <c r="H56" s="5" t="n">
        <v>1</v>
      </c>
      <c r="I56" s="5" t="n">
        <v>1</v>
      </c>
      <c r="J56" s="5" t="n">
        <v>1</v>
      </c>
      <c r="O56">
        <f>MAX(O57,O58)</f>
        <v/>
      </c>
      <c r="R56">
        <f>R57+R58</f>
        <v/>
      </c>
      <c r="S56">
        <f>(E56/100000+F56/100+(O56/1000)*J56/5+R56/200)*200*I56*H56</f>
        <v/>
      </c>
      <c r="T56">
        <f>((E56*F56/25000)+((O56/1000)*J56*R56/2.5))*I56*H56</f>
        <v/>
      </c>
      <c r="U56">
        <f>(E56*F56*(O56/1000)*J56*R56*I56*H56)/12500000</f>
        <v/>
      </c>
      <c r="V56">
        <f>(S56+T56+U56)/3</f>
        <v/>
      </c>
      <c r="W56" s="5" t="n">
        <v>800</v>
      </c>
      <c r="X56">
        <f>IFERROR(V56-W56,"")</f>
        <v/>
      </c>
      <c r="Y56">
        <f>IFERROR(ABS(X56)/MAX(W56,1),"")</f>
        <v/>
      </c>
      <c r="Z56">
        <f>IFERROR((W56-(((E56/100000+F56/100+R56/200)*200*I56*H56)+((E56*F56/25000)*I56*H56))/3)/(((J56/5)*200*I56*H56)+((J56*R56/2.5)*I56*H56)+((E56*F56*J56*R56*I56*H56)/12500000))/3*1000,"")</f>
        <v/>
      </c>
    </row>
    <row r="57">
      <c r="B57" s="6" t="inlineStr">
        <is>
          <t xml:space="preserve">  ↳ wc2demolitionsquadTargeting</t>
        </is>
      </c>
      <c r="C57" s="6" t="inlineStr">
        <is>
          <t>Armament</t>
        </is>
      </c>
      <c r="K57" s="5" t="n"/>
      <c r="L57" s="5" t="n"/>
      <c r="M57" s="5" t="n">
        <v>1</v>
      </c>
      <c r="N57" s="5" t="n"/>
      <c r="O57" s="5" t="n">
        <v>1536</v>
      </c>
      <c r="P57" s="5" t="n">
        <v>1</v>
      </c>
      <c r="Q57">
        <f>L57+IF(M57&gt;1,N(N57)*(M57-1),0)</f>
        <v/>
      </c>
      <c r="R57">
        <f>IFERROR(K57*MAX(M57,1)/Q57*P57,0)</f>
        <v/>
      </c>
      <c r="AA57" s="6" t="inlineStr"/>
    </row>
    <row r="58">
      <c r="B58" s="6" t="inlineStr">
        <is>
          <t xml:space="preserve">  ↳ wc2demolitionsquadMelee</t>
        </is>
      </c>
      <c r="C58" s="6" t="inlineStr">
        <is>
          <t>Armament@Melee</t>
        </is>
      </c>
      <c r="K58" s="5" t="n">
        <v>12000</v>
      </c>
      <c r="L58" s="5" t="n">
        <v>15</v>
      </c>
      <c r="M58" s="5" t="n">
        <v>1</v>
      </c>
      <c r="N58" s="5" t="n"/>
      <c r="O58" s="5" t="n">
        <v>1333</v>
      </c>
      <c r="P58" s="5" t="n">
        <v>1</v>
      </c>
      <c r="Q58">
        <f>L58+IF(M58&gt;1,N(N58)*(M58-1),0)</f>
        <v/>
      </c>
      <c r="R58">
        <f>IFERROR(K58*MAX(M58,1)/Q58*P58,0)</f>
        <v/>
      </c>
      <c r="AA58" s="6" t="inlineStr">
        <is>
          <t>^SwordWeapon</t>
        </is>
      </c>
    </row>
    <row r="59">
      <c r="A59" t="inlineStr">
        <is>
          <t>warcraft2</t>
        </is>
      </c>
      <c r="B59" t="inlineStr">
        <is>
          <t>wc2_humans_mobileconstructionvehiclehuman</t>
        </is>
      </c>
      <c r="C59" t="inlineStr">
        <is>
          <t>Mobile Construction Vehicle (Human)</t>
        </is>
      </c>
      <c r="D59" t="inlineStr"/>
      <c r="E59" s="5" t="n">
        <v>300000</v>
      </c>
      <c r="F59" s="5" t="n">
        <v>75</v>
      </c>
      <c r="G59" t="inlineStr">
        <is>
          <t>Plate</t>
        </is>
      </c>
      <c r="H59" s="5" t="n">
        <v>1</v>
      </c>
      <c r="I59" s="5" t="n">
        <v>1</v>
      </c>
      <c r="J59" s="5" t="n">
        <v>1</v>
      </c>
      <c r="W59" s="5" t="n">
        <v>5000</v>
      </c>
    </row>
    <row r="60">
      <c r="A60" t="inlineStr">
        <is>
          <t>warcraft2</t>
        </is>
      </c>
      <c r="B60" t="inlineStr">
        <is>
          <t>wc2_humans_paladin</t>
        </is>
      </c>
      <c r="C60" t="inlineStr">
        <is>
          <t>Paladin</t>
        </is>
      </c>
      <c r="D60" t="inlineStr"/>
      <c r="E60" s="5" t="n">
        <v>167500</v>
      </c>
      <c r="F60" s="5" t="n">
        <v>115</v>
      </c>
      <c r="G60" t="inlineStr">
        <is>
          <t>Medium</t>
        </is>
      </c>
      <c r="H60" s="5" t="n">
        <v>1</v>
      </c>
      <c r="I60" s="5" t="n">
        <v>1</v>
      </c>
      <c r="J60" s="5" t="n">
        <v>1</v>
      </c>
      <c r="O60">
        <f>MAX(O61,O62,O63,O64)</f>
        <v/>
      </c>
      <c r="R60">
        <f>R61+R62+R63+R64</f>
        <v/>
      </c>
      <c r="S60">
        <f>(E60/100000+F60/100+(O60/1000)*J60/5+R60/200)*200*I60*H60</f>
        <v/>
      </c>
      <c r="T60">
        <f>((E60*F60/25000)+((O60/1000)*J60*R60/2.5))*I60*H60</f>
        <v/>
      </c>
      <c r="U60">
        <f>(E60*F60*(O60/1000)*J60*R60*I60*H60)/12500000</f>
        <v/>
      </c>
      <c r="V60">
        <f>(S60+T60+U60)/3</f>
        <v/>
      </c>
      <c r="W60" s="5" t="n">
        <v>1600</v>
      </c>
      <c r="X60">
        <f>IFERROR(V60-W60,"")</f>
        <v/>
      </c>
      <c r="Y60">
        <f>IFERROR(ABS(X60)/MAX(W60,1),"")</f>
        <v/>
      </c>
      <c r="Z60">
        <f>IFERROR((W60-(((E60/100000+F60/100+R60/200)*200*I60*H60)+((E60*F60/25000)*I60*H60))/3)/(((J60/5)*200*I60*H60)+((J60*R60/2.5)*I60*H60)+((E60*F60*J60*R60*I60*H60)/12500000))/3*1000,"")</f>
        <v/>
      </c>
    </row>
    <row r="61">
      <c r="B61" s="6" t="inlineStr">
        <is>
          <t xml:space="preserve">  ↳ wc2knightslice</t>
        </is>
      </c>
      <c r="C61" s="6" t="inlineStr">
        <is>
          <t>Armament</t>
        </is>
      </c>
      <c r="K61" s="5" t="n">
        <v>16000</v>
      </c>
      <c r="L61" s="5" t="n">
        <v>12</v>
      </c>
      <c r="M61" s="5" t="n">
        <v>1</v>
      </c>
      <c r="N61" s="5" t="n"/>
      <c r="O61" s="5" t="n">
        <v>1420</v>
      </c>
      <c r="P61" s="5" t="n">
        <v>1</v>
      </c>
      <c r="Q61">
        <f>L61+IF(M61&gt;1,N(N61)*(M61-1),0)</f>
        <v/>
      </c>
      <c r="R61">
        <f>IFERROR(K61*MAX(M61,1)/Q61*P61,0)</f>
        <v/>
      </c>
      <c r="AA61" s="6" t="inlineStr">
        <is>
          <t>^SwordWeapon</t>
        </is>
      </c>
    </row>
    <row r="62">
      <c r="B62" s="6" t="inlineStr">
        <is>
          <t xml:space="preserve">  ↳ wc2paladinholyvision</t>
        </is>
      </c>
      <c r="C62" s="6" t="inlineStr">
        <is>
          <t>Armament@HOLYVISION</t>
        </is>
      </c>
      <c r="K62" s="5" t="n">
        <v>0</v>
      </c>
      <c r="L62" s="5" t="n">
        <v>60</v>
      </c>
      <c r="M62" s="5" t="n">
        <v>1</v>
      </c>
      <c r="N62" s="5" t="n"/>
      <c r="O62" s="5" t="n">
        <v>512000</v>
      </c>
      <c r="P62" s="5" t="n">
        <v>1</v>
      </c>
      <c r="Q62">
        <f>L62+IF(M62&gt;1,N(N62)*(M62-1),0)</f>
        <v/>
      </c>
      <c r="R62">
        <f>IFERROR(K62*MAX(M62,1)/Q62*P62,0)</f>
        <v/>
      </c>
      <c r="AA62" s="6" t="inlineStr"/>
    </row>
    <row r="63">
      <c r="B63" s="6" t="inlineStr">
        <is>
          <t xml:space="preserve">  ↳ wc2paladinhealing</t>
        </is>
      </c>
      <c r="C63" s="6" t="inlineStr">
        <is>
          <t>Armament@HEAL</t>
        </is>
      </c>
      <c r="K63" s="5" t="n">
        <v>-4025</v>
      </c>
      <c r="L63" s="5" t="n">
        <v>60</v>
      </c>
      <c r="M63" s="5" t="n">
        <v>1</v>
      </c>
      <c r="N63" s="5" t="n"/>
      <c r="O63" s="5" t="n">
        <v>5120</v>
      </c>
      <c r="P63" s="5" t="n">
        <v>1</v>
      </c>
      <c r="Q63">
        <f>L63+IF(M63&gt;1,N(N63)*(M63-1),0)</f>
        <v/>
      </c>
      <c r="R63">
        <f>IFERROR(K63*MAX(M63,1)/Q63*P63,0)</f>
        <v/>
      </c>
      <c r="AA63" s="6" t="inlineStr"/>
    </row>
    <row r="64">
      <c r="B64" s="6" t="inlineStr">
        <is>
          <t xml:space="preserve">  ↳ wc2paladinexorcism</t>
        </is>
      </c>
      <c r="C64" s="6" t="inlineStr">
        <is>
          <t>Armament@EXORCISM</t>
        </is>
      </c>
      <c r="K64" s="5" t="n">
        <v>4025</v>
      </c>
      <c r="L64" s="5" t="n">
        <v>60</v>
      </c>
      <c r="M64" s="5" t="n">
        <v>1</v>
      </c>
      <c r="N64" s="5" t="n"/>
      <c r="O64" s="5" t="n">
        <v>5120</v>
      </c>
      <c r="P64" s="5" t="n">
        <v>1</v>
      </c>
      <c r="Q64">
        <f>L64+IF(M64&gt;1,N(N64)*(M64-1),0)</f>
        <v/>
      </c>
      <c r="R64">
        <f>IFERROR(K64*MAX(M64,1)/Q64*P64,0)</f>
        <v/>
      </c>
      <c r="AA64" s="6" t="inlineStr"/>
    </row>
    <row r="65">
      <c r="A65" t="inlineStr">
        <is>
          <t>warcraft2</t>
        </is>
      </c>
      <c r="B65" t="inlineStr">
        <is>
          <t>wc2_humans_peasant</t>
        </is>
      </c>
      <c r="C65" t="inlineStr">
        <is>
          <t>Peasant</t>
        </is>
      </c>
      <c r="D65" t="inlineStr"/>
      <c r="E65" s="5" t="n">
        <v>40000</v>
      </c>
      <c r="F65" s="5" t="n">
        <v>80</v>
      </c>
      <c r="G65" t="inlineStr">
        <is>
          <t>Light</t>
        </is>
      </c>
      <c r="H65" s="5" t="n">
        <v>1</v>
      </c>
      <c r="I65" s="5" t="n">
        <v>1</v>
      </c>
      <c r="J65" s="5" t="n">
        <v>1</v>
      </c>
      <c r="O65">
        <f>MAX(O66)</f>
        <v/>
      </c>
      <c r="R65">
        <f>R66</f>
        <v/>
      </c>
      <c r="S65">
        <f>(E65/100000+F65/100+(O65/1000)*J65/5+R65/200)*200*I65*H65</f>
        <v/>
      </c>
      <c r="T65">
        <f>((E65*F65/25000)+((O65/1000)*J65*R65/2.5))*I65*H65</f>
        <v/>
      </c>
      <c r="U65">
        <f>(E65*F65*(O65/1000)*J65*R65*I65*H65)/12500000</f>
        <v/>
      </c>
      <c r="V65">
        <f>(S65+T65+U65)/3</f>
        <v/>
      </c>
      <c r="W65" s="5" t="n">
        <v>500</v>
      </c>
      <c r="X65">
        <f>IFERROR(V65-W65,"")</f>
        <v/>
      </c>
      <c r="Y65">
        <f>IFERROR(ABS(X65)/MAX(W65,1),"")</f>
        <v/>
      </c>
      <c r="Z65">
        <f>IFERROR((W65-(((E65/100000+F65/100+R65/200)*200*I65*H65)+((E65*F65/25000)*I65*H65))/3)/(((J65/5)*200*I65*H65)+((J65*R65/2.5)*I65*H65)+((E65*F65*J65*R65*I65*H65)/12500000))/3*1000,"")</f>
        <v/>
      </c>
    </row>
    <row r="66">
      <c r="B66" s="6" t="inlineStr">
        <is>
          <t xml:space="preserve">  ↳ wc2peasantsmack</t>
        </is>
      </c>
      <c r="C66" s="6" t="inlineStr">
        <is>
          <t>Armament</t>
        </is>
      </c>
      <c r="K66" s="5" t="n">
        <v>12000</v>
      </c>
      <c r="L66" s="5" t="n">
        <v>15</v>
      </c>
      <c r="M66" s="5" t="n">
        <v>1</v>
      </c>
      <c r="N66" s="5" t="n"/>
      <c r="O66" s="5" t="n">
        <v>1333</v>
      </c>
      <c r="P66" s="5" t="n">
        <v>1</v>
      </c>
      <c r="Q66">
        <f>L66+IF(M66&gt;1,N(N66)*(M66-1),0)</f>
        <v/>
      </c>
      <c r="R66">
        <f>IFERROR(K66*MAX(M66,1)/Q66*P66,0)</f>
        <v/>
      </c>
      <c r="AA66" s="6" t="inlineStr">
        <is>
          <t>^SwordWeapon</t>
        </is>
      </c>
    </row>
    <row r="67">
      <c r="A67" t="inlineStr">
        <is>
          <t>warcraft2</t>
        </is>
      </c>
      <c r="B67" t="inlineStr">
        <is>
          <t>wc2_humans_siegeengine</t>
        </is>
      </c>
      <c r="C67" t="inlineStr">
        <is>
          <t>Siege Engine</t>
        </is>
      </c>
      <c r="D67" t="inlineStr"/>
      <c r="E67" s="5" t="n">
        <v>70000</v>
      </c>
      <c r="F67" s="5" t="n">
        <v>70</v>
      </c>
      <c r="G67" t="inlineStr">
        <is>
          <t>Medium</t>
        </is>
      </c>
      <c r="H67" s="5" t="n">
        <v>1</v>
      </c>
      <c r="I67" s="5" t="n">
        <v>1</v>
      </c>
      <c r="J67" s="5" t="n">
        <v>1</v>
      </c>
      <c r="O67">
        <f>MAX(O68)</f>
        <v/>
      </c>
      <c r="R67">
        <f>R68</f>
        <v/>
      </c>
      <c r="S67">
        <f>(E67/100000+F67/100+(O67/1000)*J67/5+R67/200)*200*I67*H67</f>
        <v/>
      </c>
      <c r="T67">
        <f>((E67*F67/25000)+((O67/1000)*J67*R67/2.5))*I67*H67</f>
        <v/>
      </c>
      <c r="U67">
        <f>(E67*F67*(O67/1000)*J67*R67*I67*H67)/12500000</f>
        <v/>
      </c>
      <c r="V67">
        <f>(S67+T67+U67)/3</f>
        <v/>
      </c>
      <c r="W67" s="5" t="n">
        <v>1800</v>
      </c>
      <c r="X67">
        <f>IFERROR(V67-W67,"")</f>
        <v/>
      </c>
      <c r="Y67">
        <f>IFERROR(ABS(X67)/MAX(W67,1),"")</f>
        <v/>
      </c>
      <c r="Z67">
        <f>IFERROR((W67-(((E67/100000+F67/100+R67/200)*200*I67*H67)+((E67*F67/25000)*I67*H67))/3)/(((J67/5)*200*I67*H67)+((J67*R67/2.5)*I67*H67)+((E67*F67*J67*R67*I67*H67)/12500000))/3*1000,"")</f>
        <v/>
      </c>
    </row>
    <row r="68">
      <c r="B68" s="6" t="inlineStr">
        <is>
          <t xml:space="preserve">  ↳ SiegeEngineCannon</t>
        </is>
      </c>
      <c r="C68" s="6" t="inlineStr">
        <is>
          <t>Armament</t>
        </is>
      </c>
      <c r="K68" s="5" t="n">
        <v>10000</v>
      </c>
      <c r="L68" s="5" t="n">
        <v>100</v>
      </c>
      <c r="M68" s="5" t="n">
        <v>1</v>
      </c>
      <c r="N68" s="5" t="n"/>
      <c r="O68" s="5" t="n">
        <v>11200</v>
      </c>
      <c r="P68" s="5" t="n">
        <v>1</v>
      </c>
      <c r="Q68">
        <f>L68+IF(M68&gt;1,N(N68)*(M68-1),0)</f>
        <v/>
      </c>
      <c r="R68">
        <f>IFERROR(K68*MAX(M68,1)/Q68*P68,0)</f>
        <v/>
      </c>
      <c r="AA68" s="6" t="inlineStr">
        <is>
          <t>^NuclearWarhead, ^LightMissile, ^LightChemicalWeapon, ^MediumChemicalWeapon, ^HeavyChemicalWeapon, ^LightFlameWeapon, ^MediumFlameWeapon, ^HeavyFlameWeapon, ^Grenade, ^ShrapnelWeapon, ^HeavyBomb, ^HeavyCannon, ^MediumCannon, ^TankDestroyerCannon</t>
        </is>
      </c>
    </row>
    <row r="69">
      <c r="A69" t="inlineStr">
        <is>
          <t>warcraft2</t>
        </is>
      </c>
      <c r="B69" t="inlineStr">
        <is>
          <t>wc2_humans_warcraft3knight</t>
        </is>
      </c>
      <c r="C69" t="inlineStr">
        <is>
          <t>Warcraft 3 Knight</t>
        </is>
      </c>
      <c r="D69" t="inlineStr"/>
      <c r="E69" s="5" t="n">
        <v>180000</v>
      </c>
      <c r="F69" s="5" t="n">
        <v>120</v>
      </c>
      <c r="G69" t="inlineStr">
        <is>
          <t>Medium</t>
        </is>
      </c>
      <c r="H69" s="5" t="n">
        <v>1</v>
      </c>
      <c r="I69" s="5" t="n">
        <v>1</v>
      </c>
      <c r="J69" s="5" t="n">
        <v>1</v>
      </c>
      <c r="O69">
        <f>MAX(O70,O71,O72,O73)</f>
        <v/>
      </c>
      <c r="R69">
        <f>R70+R71+R72+R73</f>
        <v/>
      </c>
      <c r="S69">
        <f>(E69/100000+F69/100+(O69/1000)*J69/5+R69/200)*200*I69*H69</f>
        <v/>
      </c>
      <c r="T69">
        <f>((E69*F69/25000)+((O69/1000)*J69*R69/2.5))*I69*H69</f>
        <v/>
      </c>
      <c r="U69">
        <f>(E69*F69*(O69/1000)*J69*R69*I69*H69)/12500000</f>
        <v/>
      </c>
      <c r="V69">
        <f>(S69+T69+U69)/3</f>
        <v/>
      </c>
      <c r="W69" s="5" t="n">
        <v>2200</v>
      </c>
      <c r="X69">
        <f>IFERROR(V69-W69,"")</f>
        <v/>
      </c>
      <c r="Y69">
        <f>IFERROR(ABS(X69)/MAX(W69,1),"")</f>
        <v/>
      </c>
      <c r="Z69">
        <f>IFERROR((W69-(((E69/100000+F69/100+R69/200)*200*I69*H69)+((E69*F69/25000)*I69*H69))/3)/(((J69/5)*200*I69*H69)+((J69*R69/2.5)*I69*H69)+((E69*F69*J69*R69*I69*H69)/12500000))/3*1000,"")</f>
        <v/>
      </c>
    </row>
    <row r="70">
      <c r="B70" s="6" t="inlineStr">
        <is>
          <t xml:space="preserve">  ↳ wc2knightslice</t>
        </is>
      </c>
      <c r="C70" s="6" t="inlineStr">
        <is>
          <t>Armament</t>
        </is>
      </c>
      <c r="K70" s="5" t="n">
        <v>16000</v>
      </c>
      <c r="L70" s="5" t="n">
        <v>12</v>
      </c>
      <c r="M70" s="5" t="n">
        <v>1</v>
      </c>
      <c r="N70" s="5" t="n"/>
      <c r="O70" s="5" t="n">
        <v>1420</v>
      </c>
      <c r="P70" s="5" t="n">
        <v>1</v>
      </c>
      <c r="Q70">
        <f>L70+IF(M70&gt;1,N(N70)*(M70-1),0)</f>
        <v/>
      </c>
      <c r="R70">
        <f>IFERROR(K70*MAX(M70,1)/Q70*P70,0)</f>
        <v/>
      </c>
      <c r="AA70" s="6" t="inlineStr">
        <is>
          <t>^SwordWeapon</t>
        </is>
      </c>
    </row>
    <row r="71">
      <c r="B71" s="6" t="inlineStr">
        <is>
          <t xml:space="preserve">  ↳ wc2paladinholyvision</t>
        </is>
      </c>
      <c r="C71" s="6" t="inlineStr">
        <is>
          <t>Armament@HOLYVISION</t>
        </is>
      </c>
      <c r="K71" s="5" t="n">
        <v>0</v>
      </c>
      <c r="L71" s="5" t="n">
        <v>60</v>
      </c>
      <c r="M71" s="5" t="n">
        <v>1</v>
      </c>
      <c r="N71" s="5" t="n"/>
      <c r="O71" s="5" t="n">
        <v>512000</v>
      </c>
      <c r="P71" s="5" t="n">
        <v>1</v>
      </c>
      <c r="Q71">
        <f>L71+IF(M71&gt;1,N(N71)*(M71-1),0)</f>
        <v/>
      </c>
      <c r="R71">
        <f>IFERROR(K71*MAX(M71,1)/Q71*P71,0)</f>
        <v/>
      </c>
      <c r="AA71" s="6" t="inlineStr"/>
    </row>
    <row r="72">
      <c r="B72" s="6" t="inlineStr">
        <is>
          <t xml:space="preserve">  ↳ wc2paladinhealing</t>
        </is>
      </c>
      <c r="C72" s="6" t="inlineStr">
        <is>
          <t>Armament@HEAL</t>
        </is>
      </c>
      <c r="K72" s="5" t="n">
        <v>-4025</v>
      </c>
      <c r="L72" s="5" t="n">
        <v>60</v>
      </c>
      <c r="M72" s="5" t="n">
        <v>1</v>
      </c>
      <c r="N72" s="5" t="n"/>
      <c r="O72" s="5" t="n">
        <v>5120</v>
      </c>
      <c r="P72" s="5" t="n">
        <v>1</v>
      </c>
      <c r="Q72">
        <f>L72+IF(M72&gt;1,N(N72)*(M72-1),0)</f>
        <v/>
      </c>
      <c r="R72">
        <f>IFERROR(K72*MAX(M72,1)/Q72*P72,0)</f>
        <v/>
      </c>
      <c r="AA72" s="6" t="inlineStr"/>
    </row>
    <row r="73">
      <c r="B73" s="6" t="inlineStr">
        <is>
          <t xml:space="preserve">  ↳ wc2paladinexorcism</t>
        </is>
      </c>
      <c r="C73" s="6" t="inlineStr">
        <is>
          <t>Armament@EXORCISM</t>
        </is>
      </c>
      <c r="K73" s="5" t="n">
        <v>4025</v>
      </c>
      <c r="L73" s="5" t="n">
        <v>60</v>
      </c>
      <c r="M73" s="5" t="n">
        <v>1</v>
      </c>
      <c r="N73" s="5" t="n"/>
      <c r="O73" s="5" t="n">
        <v>5120</v>
      </c>
      <c r="P73" s="5" t="n">
        <v>1</v>
      </c>
      <c r="Q73">
        <f>L73+IF(M73&gt;1,N(N73)*(M73-1),0)</f>
        <v/>
      </c>
      <c r="R73">
        <f>IFERROR(K73*MAX(M73,1)/Q73*P73,0)</f>
        <v/>
      </c>
      <c r="AA73" s="6" t="inlineStr"/>
    </row>
    <row r="74">
      <c r="A74" s="3" t="inlineStr">
        <is>
          <t>AIRCRAFT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</row>
    <row r="75">
      <c r="A75" t="inlineStr">
        <is>
          <t>warcraft2</t>
        </is>
      </c>
      <c r="B75" t="inlineStr">
        <is>
          <t>wc2_humans_flyingmachine</t>
        </is>
      </c>
      <c r="C75" t="inlineStr">
        <is>
          <t>Flying Machine</t>
        </is>
      </c>
      <c r="D75" t="inlineStr"/>
      <c r="E75" s="5" t="n">
        <v>25000</v>
      </c>
      <c r="F75" s="5" t="n">
        <v>165</v>
      </c>
      <c r="G75" t="inlineStr">
        <is>
          <t>Helicopter</t>
        </is>
      </c>
      <c r="H75" s="5" t="n">
        <v>1</v>
      </c>
      <c r="I75" s="5" t="n">
        <v>1</v>
      </c>
      <c r="J75" s="5" t="n">
        <v>1</v>
      </c>
      <c r="W75" s="5" t="n">
        <v>350</v>
      </c>
    </row>
    <row r="76">
      <c r="A76" t="inlineStr">
        <is>
          <t>warcraft2</t>
        </is>
      </c>
      <c r="B76" t="inlineStr">
        <is>
          <t>wc2_humans_gryphonrider</t>
        </is>
      </c>
      <c r="C76" t="inlineStr">
        <is>
          <t>Gryphon Rider</t>
        </is>
      </c>
      <c r="D76" t="inlineStr"/>
      <c r="E76" s="5" t="n">
        <v>125000</v>
      </c>
      <c r="F76" s="5" t="n">
        <v>145</v>
      </c>
      <c r="G76" t="inlineStr">
        <is>
          <t>Spaceship</t>
        </is>
      </c>
      <c r="H76" s="5" t="n">
        <v>0.75</v>
      </c>
      <c r="I76" s="5" t="n">
        <v>1</v>
      </c>
      <c r="J76" s="5" t="n">
        <v>1.25</v>
      </c>
      <c r="O76">
        <f>MAX(O77)</f>
        <v/>
      </c>
      <c r="R76">
        <f>R77</f>
        <v/>
      </c>
      <c r="S76">
        <f>(E76/100000+F76/100+(O76/1000)*J76/5+R76/200)*200*I76*H76</f>
        <v/>
      </c>
      <c r="T76">
        <f>((E76*F76/25000)+((O76/1000)*J76*R76/2.5))*I76*H76</f>
        <v/>
      </c>
      <c r="U76">
        <f>(E76*F76*(O76/1000)*J76*R76*I76*H76)/12500000</f>
        <v/>
      </c>
      <c r="V76">
        <f>(S76+T76+U76)/3</f>
        <v/>
      </c>
      <c r="W76" s="5" t="n">
        <v>1500</v>
      </c>
      <c r="X76">
        <f>IFERROR(V76-W76,"")</f>
        <v/>
      </c>
      <c r="Y76">
        <f>IFERROR(ABS(X76)/MAX(W76,1),"")</f>
        <v/>
      </c>
      <c r="Z76">
        <f>IFERROR((W76-(((E76/100000+F76/100+R76/200)*200*I76*H76)+((E76*F76/25000)*I76*H76))/3)/(((J76/5)*200*I76*H76)+((J76*R76/2.5)*I76*H76)+((E76*F76*J76*R76*I76*H76)/12500000))/3*1000,"")</f>
        <v/>
      </c>
    </row>
    <row r="77">
      <c r="B77" s="6" t="inlineStr">
        <is>
          <t xml:space="preserve">  ↳ wc2gryphonFireVisible</t>
        </is>
      </c>
      <c r="C77" s="6" t="inlineStr">
        <is>
          <t>Armament@VISIBLE</t>
        </is>
      </c>
      <c r="K77" s="5" t="n">
        <v>10000</v>
      </c>
      <c r="L77" s="5" t="n">
        <v>100</v>
      </c>
      <c r="M77" s="5" t="n">
        <v>1</v>
      </c>
      <c r="N77" s="5" t="n"/>
      <c r="O77" s="5" t="n">
        <v>4444</v>
      </c>
      <c r="P77" s="5" t="n">
        <v>1</v>
      </c>
      <c r="Q77">
        <f>L77+IF(M77&gt;1,N(N77)*(M77-1),0)</f>
        <v/>
      </c>
      <c r="R77">
        <f>IFERROR(K77*MAX(M77,1)/Q77*P77,0)</f>
        <v/>
      </c>
      <c r="AA77" s="6" t="inlineStr">
        <is>
          <t>^LightMissile, ^MediumFlameWeapon, ^HeavyBomb, ^TeslaChargedWeapon</t>
        </is>
      </c>
    </row>
    <row r="78">
      <c r="A78" t="inlineStr">
        <is>
          <t>warcraft2</t>
        </is>
      </c>
      <c r="B78" t="inlineStr">
        <is>
          <t>wc2_humans_gyrocoptermachine</t>
        </is>
      </c>
      <c r="C78" t="inlineStr">
        <is>
          <t>Gyrocopter Machine</t>
        </is>
      </c>
      <c r="D78" t="inlineStr"/>
      <c r="E78" s="5" t="n">
        <v>25000</v>
      </c>
      <c r="F78" s="5" t="n">
        <v>165</v>
      </c>
      <c r="G78" t="inlineStr">
        <is>
          <t>Helicopter</t>
        </is>
      </c>
      <c r="H78" s="5" t="n">
        <v>1</v>
      </c>
      <c r="I78" s="5" t="n">
        <v>1</v>
      </c>
      <c r="J78" s="5" t="n">
        <v>1</v>
      </c>
      <c r="W78" s="5" t="n">
        <v>350</v>
      </c>
    </row>
    <row r="79">
      <c r="A79" s="3" t="inlineStr">
        <is>
          <t>DEFENSES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>
      <c r="A80" t="inlineStr">
        <is>
          <t>warcraft2</t>
        </is>
      </c>
      <c r="B80" t="inlineStr">
        <is>
          <t>wc2_humans_cannontower</t>
        </is>
      </c>
      <c r="C80" t="inlineStr">
        <is>
          <t>Cannon Tower</t>
        </is>
      </c>
      <c r="D80" t="inlineStr"/>
      <c r="E80" s="5" t="n">
        <v>100000</v>
      </c>
      <c r="F80" s="5" t="n">
        <v>100</v>
      </c>
      <c r="G80" t="inlineStr">
        <is>
          <t>Wood</t>
        </is>
      </c>
      <c r="H80" s="5" t="n">
        <v>1</v>
      </c>
      <c r="I80" s="5" t="n">
        <v>1</v>
      </c>
      <c r="J80" s="5" t="n">
        <v>1</v>
      </c>
      <c r="O80">
        <f>MAX(O81,O82)</f>
        <v/>
      </c>
      <c r="R80">
        <f>R81+R82</f>
        <v/>
      </c>
      <c r="S80">
        <f>(E80/100000+F80/100+(O80/1000)*J80/5+R80/200)*200*I80*H80</f>
        <v/>
      </c>
      <c r="T80">
        <f>((E80*F80/25000)+((O80/1000)*J80*R80/2.5))*I80*H80</f>
        <v/>
      </c>
      <c r="U80">
        <f>(E80*F80*(O80/1000)*J80*R80*I80*H80)/12500000</f>
        <v/>
      </c>
      <c r="V80">
        <f>(S80+T80+U80)/3</f>
        <v/>
      </c>
      <c r="W80" s="5" t="n">
        <v>1500</v>
      </c>
      <c r="X80">
        <f>IFERROR(V80-W80,"")</f>
        <v/>
      </c>
      <c r="Y80">
        <f>IFERROR(ABS(X80)/MAX(W80,1),"")</f>
        <v/>
      </c>
      <c r="Z80">
        <f>IFERROR((W80-(((E80/100000+F80/100+R80/200)*200*I80*H80)+((E80*F80/25000)*I80*H80))/3)/(((J80/5)*200*I80*H80)+((J80*R80/2.5)*I80*H80)+((E80*F80*J80*R80*I80*H80)/12500000))/3*1000,"")</f>
        <v/>
      </c>
    </row>
    <row r="81">
      <c r="B81" s="6" t="inlineStr">
        <is>
          <t xml:space="preserve">  ↳ wc2_tower_arrow</t>
        </is>
      </c>
      <c r="C81" s="6" t="inlineStr">
        <is>
          <t>Armament@guard</t>
        </is>
      </c>
      <c r="K81" s="5" t="n">
        <v>6000</v>
      </c>
      <c r="L81" s="5" t="n">
        <v>34</v>
      </c>
      <c r="M81" s="5" t="n">
        <v>1</v>
      </c>
      <c r="N81" s="5" t="n"/>
      <c r="O81" s="5" t="n">
        <v>8750</v>
      </c>
      <c r="P81" s="5" t="n">
        <v>1</v>
      </c>
      <c r="Q81">
        <f>L81+IF(M81&gt;1,N(N81)*(M81-1),0)</f>
        <v/>
      </c>
      <c r="R81">
        <f>IFERROR(K81*MAX(M81,1)/Q81*P81,0)</f>
        <v/>
      </c>
      <c r="AA81" s="6" t="inlineStr">
        <is>
          <t>^RailgunWeapon, ^Chaingun, ^ArrowWeapon</t>
        </is>
      </c>
    </row>
    <row r="82">
      <c r="B82" s="6" t="inlineStr">
        <is>
          <t xml:space="preserve">  ↳ wc2cannontowerFire</t>
        </is>
      </c>
      <c r="C82" s="6" t="inlineStr">
        <is>
          <t>Armament@cannon</t>
        </is>
      </c>
      <c r="K82" s="5" t="n">
        <v>4000</v>
      </c>
      <c r="L82" s="5" t="n">
        <v>90</v>
      </c>
      <c r="M82" s="5" t="n">
        <v>1</v>
      </c>
      <c r="N82" s="5" t="n"/>
      <c r="O82" s="5" t="n">
        <v>10500</v>
      </c>
      <c r="P82" s="5" t="n">
        <v>1</v>
      </c>
      <c r="Q82">
        <f>L82+IF(M82&gt;1,N(N82)*(M82-1),0)</f>
        <v/>
      </c>
      <c r="R82">
        <f>IFERROR(K82*MAX(M82,1)/Q82*P82,0)</f>
        <v/>
      </c>
      <c r="AA82" s="6" t="inlineStr">
        <is>
          <t>^LightFlameWeapon, ^LightChemicalWeapon, ^MediumFlameWeapon, ^MediumChemicalWeapon, ^HeavyFlameWeapon, ^HeavyChemicalWeapon, ^TankDestroyerCannon, ^MediumCannon, ^HeavyCannon, ^Grenade, ^ShrapnelWeapon, ^HeavyBomb, ^MediumMissile, ^Chaingun, ^FlakWeapon</t>
        </is>
      </c>
    </row>
    <row r="83">
      <c r="A83" t="inlineStr">
        <is>
          <t>warcraft2</t>
        </is>
      </c>
      <c r="B83" t="inlineStr">
        <is>
          <t>wc2_humans_guardtower</t>
        </is>
      </c>
      <c r="C83" t="inlineStr">
        <is>
          <t>Guard Tower</t>
        </is>
      </c>
      <c r="D83" t="inlineStr"/>
      <c r="E83" s="5" t="n">
        <v>100000</v>
      </c>
      <c r="F83" s="5" t="n">
        <v>100</v>
      </c>
      <c r="G83" t="inlineStr">
        <is>
          <t>Wood</t>
        </is>
      </c>
      <c r="H83" s="5" t="n">
        <v>1</v>
      </c>
      <c r="I83" s="5" t="n">
        <v>1</v>
      </c>
      <c r="J83" s="5" t="n">
        <v>1</v>
      </c>
      <c r="O83">
        <f>MAX(O84,O85)</f>
        <v/>
      </c>
      <c r="R83">
        <f>R84+R85</f>
        <v/>
      </c>
      <c r="S83">
        <f>(E83/100000+F83/100+(O83/1000)*J83/5+R83/200)*200*I83*H83</f>
        <v/>
      </c>
      <c r="T83">
        <f>((E83*F83/25000)+((O83/1000)*J83*R83/2.5))*I83*H83</f>
        <v/>
      </c>
      <c r="U83">
        <f>(E83*F83*(O83/1000)*J83*R83*I83*H83)/12500000</f>
        <v/>
      </c>
      <c r="V83">
        <f>(S83+T83+U83)/3</f>
        <v/>
      </c>
      <c r="W83" s="5" t="n">
        <v>1500</v>
      </c>
      <c r="X83">
        <f>IFERROR(V83-W83,"")</f>
        <v/>
      </c>
      <c r="Y83">
        <f>IFERROR(ABS(X83)/MAX(W83,1),"")</f>
        <v/>
      </c>
      <c r="Z83">
        <f>IFERROR((W83-(((E83/100000+F83/100+R83/200)*200*I83*H83)+((E83*F83/25000)*I83*H83))/3)/(((J83/5)*200*I83*H83)+((J83*R83/2.5)*I83*H83)+((E83*F83*J83*R83*I83*H83)/12500000))/3*1000,"")</f>
        <v/>
      </c>
    </row>
    <row r="84">
      <c r="B84" s="6" t="inlineStr">
        <is>
          <t xml:space="preserve">  ↳ wc2_tower_arrow</t>
        </is>
      </c>
      <c r="C84" s="6" t="inlineStr">
        <is>
          <t>Armament@guard</t>
        </is>
      </c>
      <c r="K84" s="5" t="n">
        <v>6000</v>
      </c>
      <c r="L84" s="5" t="n">
        <v>34</v>
      </c>
      <c r="M84" s="5" t="n">
        <v>1</v>
      </c>
      <c r="N84" s="5" t="n"/>
      <c r="O84" s="5" t="n">
        <v>8750</v>
      </c>
      <c r="P84" s="5" t="n">
        <v>1</v>
      </c>
      <c r="Q84">
        <f>L84+IF(M84&gt;1,N(N84)*(M84-1),0)</f>
        <v/>
      </c>
      <c r="R84">
        <f>IFERROR(K84*MAX(M84,1)/Q84*P84,0)</f>
        <v/>
      </c>
      <c r="AA84" s="6" t="inlineStr">
        <is>
          <t>^RailgunWeapon, ^Chaingun, ^ArrowWeapon</t>
        </is>
      </c>
    </row>
    <row r="85">
      <c r="B85" s="6" t="inlineStr">
        <is>
          <t xml:space="preserve">  ↳ wc2cannontowerFire</t>
        </is>
      </c>
      <c r="C85" s="6" t="inlineStr">
        <is>
          <t>Armament@cannon</t>
        </is>
      </c>
      <c r="K85" s="5" t="n">
        <v>4000</v>
      </c>
      <c r="L85" s="5" t="n">
        <v>90</v>
      </c>
      <c r="M85" s="5" t="n">
        <v>1</v>
      </c>
      <c r="N85" s="5" t="n"/>
      <c r="O85" s="5" t="n">
        <v>10500</v>
      </c>
      <c r="P85" s="5" t="n">
        <v>1</v>
      </c>
      <c r="Q85">
        <f>L85+IF(M85&gt;1,N(N85)*(M85-1),0)</f>
        <v/>
      </c>
      <c r="R85">
        <f>IFERROR(K85*MAX(M85,1)/Q85*P85,0)</f>
        <v/>
      </c>
      <c r="AA85" s="6" t="inlineStr">
        <is>
          <t>^LightFlameWeapon, ^LightChemicalWeapon, ^MediumFlameWeapon, ^MediumChemicalWeapon, ^HeavyFlameWeapon, ^HeavyChemicalWeapon, ^TankDestroyerCannon, ^MediumCannon, ^HeavyCannon, ^Grenade, ^ShrapnelWeapon, ^HeavyBomb, ^MediumMissile, ^Chaingun, ^FlakWeapon</t>
        </is>
      </c>
    </row>
    <row r="86">
      <c r="A86" t="inlineStr">
        <is>
          <t>warcraft2</t>
        </is>
      </c>
      <c r="B86" t="inlineStr">
        <is>
          <t>wc2_humans_humanscouttower</t>
        </is>
      </c>
      <c r="C86" t="inlineStr">
        <is>
          <t>Human Scout Tower</t>
        </is>
      </c>
      <c r="D86" t="inlineStr"/>
      <c r="E86" s="5" t="n">
        <v>100000</v>
      </c>
      <c r="F86" s="5" t="n">
        <v>100</v>
      </c>
      <c r="G86" t="inlineStr">
        <is>
          <t>Wood</t>
        </is>
      </c>
      <c r="H86" s="5" t="n">
        <v>1</v>
      </c>
      <c r="I86" s="5" t="n">
        <v>1</v>
      </c>
      <c r="J86" s="5" t="n">
        <v>1</v>
      </c>
      <c r="O86">
        <f>MAX(O87,O88)</f>
        <v/>
      </c>
      <c r="R86">
        <f>R87+R88</f>
        <v/>
      </c>
      <c r="S86">
        <f>(E86/100000+F86/100+(O86/1000)*J86/5+R86/200)*200*I86*H86</f>
        <v/>
      </c>
      <c r="T86">
        <f>((E86*F86/25000)+((O86/1000)*J86*R86/2.5))*I86*H86</f>
        <v/>
      </c>
      <c r="U86">
        <f>(E86*F86*(O86/1000)*J86*R86*I86*H86)/12500000</f>
        <v/>
      </c>
      <c r="V86">
        <f>(S86+T86+U86)/3</f>
        <v/>
      </c>
      <c r="W86" s="5" t="n">
        <v>1200</v>
      </c>
      <c r="X86">
        <f>IFERROR(V86-W86,"")</f>
        <v/>
      </c>
      <c r="Y86">
        <f>IFERROR(ABS(X86)/MAX(W86,1),"")</f>
        <v/>
      </c>
      <c r="Z86">
        <f>IFERROR((W86-(((E86/100000+F86/100+R86/200)*200*I86*H86)+((E86*F86/25000)*I86*H86))/3)/(((J86/5)*200*I86*H86)+((J86*R86/2.5)*I86*H86)+((E86*F86*J86*R86*I86*H86)/12500000))/3*1000,"")</f>
        <v/>
      </c>
    </row>
    <row r="87">
      <c r="B87" s="6" t="inlineStr">
        <is>
          <t xml:space="preserve">  ↳ wc2_tower_arrow</t>
        </is>
      </c>
      <c r="C87" s="6" t="inlineStr">
        <is>
          <t>Armament@guard</t>
        </is>
      </c>
      <c r="K87" s="5" t="n">
        <v>6000</v>
      </c>
      <c r="L87" s="5" t="n">
        <v>34</v>
      </c>
      <c r="M87" s="5" t="n">
        <v>1</v>
      </c>
      <c r="N87" s="5" t="n"/>
      <c r="O87" s="5" t="n">
        <v>8750</v>
      </c>
      <c r="P87" s="5" t="n">
        <v>1</v>
      </c>
      <c r="Q87">
        <f>L87+IF(M87&gt;1,N(N87)*(M87-1),0)</f>
        <v/>
      </c>
      <c r="R87">
        <f>IFERROR(K87*MAX(M87,1)/Q87*P87,0)</f>
        <v/>
      </c>
      <c r="AA87" s="6" t="inlineStr">
        <is>
          <t>^RailgunWeapon, ^Chaingun, ^ArrowWeapon</t>
        </is>
      </c>
    </row>
    <row r="88">
      <c r="B88" s="6" t="inlineStr">
        <is>
          <t xml:space="preserve">  ↳ wc2cannontowerFire</t>
        </is>
      </c>
      <c r="C88" s="6" t="inlineStr">
        <is>
          <t>Armament@cannon</t>
        </is>
      </c>
      <c r="K88" s="5" t="n">
        <v>4000</v>
      </c>
      <c r="L88" s="5" t="n">
        <v>90</v>
      </c>
      <c r="M88" s="5" t="n">
        <v>1</v>
      </c>
      <c r="N88" s="5" t="n"/>
      <c r="O88" s="5" t="n">
        <v>10500</v>
      </c>
      <c r="P88" s="5" t="n">
        <v>1</v>
      </c>
      <c r="Q88">
        <f>L88+IF(M88&gt;1,N(N88)*(M88-1),0)</f>
        <v/>
      </c>
      <c r="R88">
        <f>IFERROR(K88*MAX(M88,1)/Q88*P88,0)</f>
        <v/>
      </c>
      <c r="AA88" s="6" t="inlineStr">
        <is>
          <t>^LightFlameWeapon, ^LightChemicalWeapon, ^MediumFlameWeapon, ^MediumChemicalWeapon, ^HeavyFlameWeapon, ^HeavyChemicalWeapon, ^TankDestroyerCannon, ^MediumCannon, ^HeavyCannon, ^Grenade, ^ShrapnelWeapon, ^HeavyBomb, ^MediumMissile, ^Chaingun, ^FlakWeapon</t>
        </is>
      </c>
    </row>
    <row r="89">
      <c r="A89" t="inlineStr">
        <is>
          <t>warcraft2</t>
        </is>
      </c>
      <c r="B89" t="inlineStr">
        <is>
          <t>wc2_humans_wall</t>
        </is>
      </c>
      <c r="C89" t="inlineStr">
        <is>
          <t>Wall</t>
        </is>
      </c>
      <c r="D89" t="inlineStr"/>
      <c r="E89" s="5" t="n">
        <v>25000</v>
      </c>
      <c r="F89" s="5" t="n">
        <v>100</v>
      </c>
      <c r="G89" t="inlineStr">
        <is>
          <t>Heavy</t>
        </is>
      </c>
      <c r="H89" s="5" t="n">
        <v>1</v>
      </c>
      <c r="I89" s="5" t="n">
        <v>1</v>
      </c>
      <c r="J89" s="5" t="n">
        <v>1</v>
      </c>
      <c r="W89" s="5" t="n">
        <v>300</v>
      </c>
    </row>
    <row r="90">
      <c r="A90" s="3" t="inlineStr">
        <is>
          <t>BUILDINGS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</row>
    <row r="91">
      <c r="A91" t="inlineStr">
        <is>
          <t>warcraft2</t>
        </is>
      </c>
      <c r="B91" t="inlineStr">
        <is>
          <t>wc2_humans_barracks</t>
        </is>
      </c>
      <c r="C91" t="inlineStr">
        <is>
          <t>Barracks</t>
        </is>
      </c>
      <c r="D91" t="inlineStr"/>
      <c r="E91" s="5" t="n">
        <v>200000</v>
      </c>
      <c r="F91" s="5" t="n"/>
      <c r="G91" t="inlineStr">
        <is>
          <t>Wood</t>
        </is>
      </c>
      <c r="H91" s="5" t="n">
        <v>1</v>
      </c>
      <c r="I91" s="5" t="n">
        <v>1</v>
      </c>
      <c r="J91" s="5" t="n">
        <v>1</v>
      </c>
      <c r="W91" s="5" t="n">
        <v>1000</v>
      </c>
    </row>
    <row r="92">
      <c r="A92" t="inlineStr">
        <is>
          <t>warcraft2</t>
        </is>
      </c>
      <c r="B92" t="inlineStr">
        <is>
          <t>wc2_humans_blacksmith</t>
        </is>
      </c>
      <c r="C92" t="inlineStr">
        <is>
          <t>Blacksmith</t>
        </is>
      </c>
      <c r="D92" t="inlineStr"/>
      <c r="E92" s="5" t="n">
        <v>250000</v>
      </c>
      <c r="F92" s="5" t="n"/>
      <c r="G92" t="inlineStr">
        <is>
          <t>Wood</t>
        </is>
      </c>
      <c r="H92" s="5" t="n">
        <v>1</v>
      </c>
      <c r="I92" s="5" t="n">
        <v>1</v>
      </c>
      <c r="J92" s="5" t="n">
        <v>1</v>
      </c>
      <c r="W92" s="5" t="n">
        <v>2500</v>
      </c>
    </row>
    <row r="93">
      <c r="A93" t="inlineStr">
        <is>
          <t>warcraft2</t>
        </is>
      </c>
      <c r="B93" t="inlineStr">
        <is>
          <t>wc2_humans_cannontower_2</t>
        </is>
      </c>
      <c r="C93" t="inlineStr">
        <is>
          <t>Upgraded Guard Tower</t>
        </is>
      </c>
      <c r="D93" t="inlineStr"/>
      <c r="E93" s="5" t="n"/>
      <c r="F93" s="5" t="n"/>
      <c r="H93" s="5" t="n">
        <v>1</v>
      </c>
      <c r="I93" s="5" t="n">
        <v>1</v>
      </c>
      <c r="J93" s="5" t="n">
        <v>1</v>
      </c>
      <c r="W93" s="5" t="n">
        <v>600</v>
      </c>
    </row>
    <row r="94">
      <c r="A94" t="inlineStr">
        <is>
          <t>warcraft2</t>
        </is>
      </c>
      <c r="B94" t="inlineStr">
        <is>
          <t>wc2_humans_castle</t>
        </is>
      </c>
      <c r="C94" t="inlineStr">
        <is>
          <t>Castle</t>
        </is>
      </c>
      <c r="D94" t="inlineStr"/>
      <c r="E94" s="5" t="n"/>
      <c r="F94" s="5" t="n"/>
      <c r="H94" s="5" t="n">
        <v>1</v>
      </c>
      <c r="I94" s="5" t="n">
        <v>1</v>
      </c>
      <c r="J94" s="5" t="n">
        <v>1</v>
      </c>
      <c r="W94" s="5" t="n">
        <v>5000</v>
      </c>
    </row>
    <row r="95">
      <c r="A95" t="inlineStr">
        <is>
          <t>warcraft2</t>
        </is>
      </c>
      <c r="B95" t="inlineStr">
        <is>
          <t>wc2_humans_church</t>
        </is>
      </c>
      <c r="C95" t="inlineStr">
        <is>
          <t>Church</t>
        </is>
      </c>
      <c r="D95" t="inlineStr"/>
      <c r="E95" s="5" t="n">
        <v>250000</v>
      </c>
      <c r="F95" s="5" t="n"/>
      <c r="G95" t="inlineStr">
        <is>
          <t>Wood</t>
        </is>
      </c>
      <c r="H95" s="5" t="n">
        <v>1</v>
      </c>
      <c r="I95" s="5" t="n">
        <v>1</v>
      </c>
      <c r="J95" s="5" t="n">
        <v>1</v>
      </c>
      <c r="W95" s="5" t="n">
        <v>2500</v>
      </c>
    </row>
    <row r="96">
      <c r="A96" t="inlineStr">
        <is>
          <t>warcraft2</t>
        </is>
      </c>
      <c r="B96" t="inlineStr">
        <is>
          <t>wc2_humans_elvenlumbermill</t>
        </is>
      </c>
      <c r="C96" t="inlineStr">
        <is>
          <t>Elven Lumber Mill</t>
        </is>
      </c>
      <c r="D96" t="inlineStr"/>
      <c r="E96" s="5" t="n">
        <v>300000</v>
      </c>
      <c r="F96" s="5" t="n"/>
      <c r="G96" t="inlineStr">
        <is>
          <t>Concrete</t>
        </is>
      </c>
      <c r="H96" s="5" t="n">
        <v>1</v>
      </c>
      <c r="I96" s="5" t="n">
        <v>1</v>
      </c>
      <c r="J96" s="5" t="n">
        <v>1</v>
      </c>
      <c r="W96" s="5" t="n">
        <v>3000</v>
      </c>
    </row>
    <row r="97">
      <c r="A97" t="inlineStr">
        <is>
          <t>warcraft2</t>
        </is>
      </c>
      <c r="B97" t="inlineStr">
        <is>
          <t>wc2_humans_farm</t>
        </is>
      </c>
      <c r="C97" t="inlineStr">
        <is>
          <t>Farm</t>
        </is>
      </c>
      <c r="D97" t="inlineStr"/>
      <c r="E97" s="5" t="n">
        <v>300000</v>
      </c>
      <c r="F97" s="5" t="n"/>
      <c r="G97" t="inlineStr">
        <is>
          <t>Wood</t>
        </is>
      </c>
      <c r="H97" s="5" t="n">
        <v>1</v>
      </c>
      <c r="I97" s="5" t="n">
        <v>1</v>
      </c>
      <c r="J97" s="5" t="n">
        <v>1</v>
      </c>
      <c r="W97" s="5" t="n">
        <v>1200</v>
      </c>
    </row>
    <row r="98">
      <c r="A98" t="inlineStr">
        <is>
          <t>warcraft2</t>
        </is>
      </c>
      <c r="B98" t="inlineStr">
        <is>
          <t>wc2_humans_gnomishinventor</t>
        </is>
      </c>
      <c r="C98" t="inlineStr">
        <is>
          <t>Gnomish Inventor</t>
        </is>
      </c>
      <c r="D98" t="inlineStr"/>
      <c r="E98" s="5" t="n">
        <v>400000</v>
      </c>
      <c r="F98" s="5" t="n"/>
      <c r="G98" t="inlineStr">
        <is>
          <t>Concrete</t>
        </is>
      </c>
      <c r="H98" s="5" t="n">
        <v>1</v>
      </c>
      <c r="I98" s="5" t="n">
        <v>1</v>
      </c>
      <c r="J98" s="5" t="n">
        <v>1</v>
      </c>
      <c r="W98" s="5" t="n">
        <v>2000</v>
      </c>
    </row>
    <row r="99">
      <c r="A99" t="inlineStr">
        <is>
          <t>warcraft2</t>
        </is>
      </c>
      <c r="B99" t="inlineStr">
        <is>
          <t>wc2_humans_gryphonaviary</t>
        </is>
      </c>
      <c r="C99" t="inlineStr">
        <is>
          <t>Gryphon Aviary</t>
        </is>
      </c>
      <c r="D99" t="inlineStr"/>
      <c r="E99" s="5" t="n">
        <v>300000</v>
      </c>
      <c r="F99" s="5" t="n"/>
      <c r="G99" t="inlineStr">
        <is>
          <t>Wood</t>
        </is>
      </c>
      <c r="H99" s="5" t="n">
        <v>1</v>
      </c>
      <c r="I99" s="5" t="n">
        <v>1</v>
      </c>
      <c r="J99" s="5" t="n">
        <v>1</v>
      </c>
      <c r="W99" s="5" t="n">
        <v>1500</v>
      </c>
    </row>
    <row r="100">
      <c r="A100" t="inlineStr">
        <is>
          <t>warcraft2</t>
        </is>
      </c>
      <c r="B100" t="inlineStr">
        <is>
          <t>wc2_humans_guardtower_2</t>
        </is>
      </c>
      <c r="C100" t="inlineStr">
        <is>
          <t>Upgraded Cannon Tower</t>
        </is>
      </c>
      <c r="D100" t="inlineStr"/>
      <c r="E100" s="5" t="n"/>
      <c r="F100" s="5" t="n"/>
      <c r="H100" s="5" t="n">
        <v>1</v>
      </c>
      <c r="I100" s="5" t="n">
        <v>1</v>
      </c>
      <c r="J100" s="5" t="n">
        <v>1</v>
      </c>
      <c r="W100" s="5" t="n">
        <v>600</v>
      </c>
    </row>
    <row r="101">
      <c r="A101" t="inlineStr">
        <is>
          <t>warcraft2</t>
        </is>
      </c>
      <c r="B101" t="inlineStr">
        <is>
          <t>wc2_humans_humangoldmine</t>
        </is>
      </c>
      <c r="C101" t="inlineStr">
        <is>
          <t>Human Gold Mine</t>
        </is>
      </c>
      <c r="D101" t="inlineStr"/>
      <c r="E101" s="5" t="n">
        <v>1000000</v>
      </c>
      <c r="F101" s="5" t="n"/>
      <c r="G101" t="inlineStr">
        <is>
          <t>Concrete</t>
        </is>
      </c>
      <c r="H101" s="5" t="n">
        <v>1</v>
      </c>
      <c r="I101" s="5" t="n">
        <v>1</v>
      </c>
      <c r="J101" s="5" t="n">
        <v>1</v>
      </c>
      <c r="W101" s="5" t="n">
        <v>10000</v>
      </c>
    </row>
    <row r="102">
      <c r="A102" t="inlineStr">
        <is>
          <t>warcraft2</t>
        </is>
      </c>
      <c r="B102" t="inlineStr">
        <is>
          <t>wc2_humans_humangoldmine_2</t>
        </is>
      </c>
      <c r="C102" t="inlineStr">
        <is>
          <t>Human Gold Mine</t>
        </is>
      </c>
      <c r="D102" t="inlineStr"/>
      <c r="E102" s="5" t="n">
        <v>1000000</v>
      </c>
      <c r="F102" s="5" t="n"/>
      <c r="G102" t="inlineStr">
        <is>
          <t>Concrete</t>
        </is>
      </c>
      <c r="H102" s="5" t="n">
        <v>1</v>
      </c>
      <c r="I102" s="5" t="n">
        <v>1</v>
      </c>
      <c r="J102" s="5" t="n">
        <v>1</v>
      </c>
      <c r="W102" s="5" t="n">
        <v>15000</v>
      </c>
    </row>
    <row r="103">
      <c r="A103" t="inlineStr">
        <is>
          <t>warcraft2</t>
        </is>
      </c>
      <c r="B103" t="inlineStr">
        <is>
          <t>wc2_humans_keep</t>
        </is>
      </c>
      <c r="C103" t="inlineStr">
        <is>
          <t>Keep</t>
        </is>
      </c>
      <c r="D103" t="inlineStr"/>
      <c r="E103" s="5" t="n"/>
      <c r="F103" s="5" t="n"/>
      <c r="H103" s="5" t="n">
        <v>1</v>
      </c>
      <c r="I103" s="5" t="n">
        <v>1</v>
      </c>
      <c r="J103" s="5" t="n">
        <v>1</v>
      </c>
      <c r="W103" s="5" t="n">
        <v>2500</v>
      </c>
    </row>
    <row r="104">
      <c r="A104" t="inlineStr">
        <is>
          <t>warcraft2</t>
        </is>
      </c>
      <c r="B104" t="inlineStr">
        <is>
          <t>wc2_humans_magetower</t>
        </is>
      </c>
      <c r="C104" t="inlineStr">
        <is>
          <t>Mage Tower</t>
        </is>
      </c>
      <c r="D104" t="inlineStr"/>
      <c r="E104" s="5" t="n">
        <v>1000000</v>
      </c>
      <c r="F104" s="5" t="n"/>
      <c r="G104" t="inlineStr">
        <is>
          <t>Concrete</t>
        </is>
      </c>
      <c r="H104" s="5" t="n">
        <v>1</v>
      </c>
      <c r="I104" s="5" t="n">
        <v>1</v>
      </c>
      <c r="J104" s="5" t="n">
        <v>1</v>
      </c>
      <c r="W104" s="5" t="n">
        <v>10000</v>
      </c>
    </row>
    <row r="105">
      <c r="A105" t="inlineStr">
        <is>
          <t>warcraft2</t>
        </is>
      </c>
      <c r="B105" t="inlineStr">
        <is>
          <t>wc2_humans_stables</t>
        </is>
      </c>
      <c r="C105" t="inlineStr">
        <is>
          <t>Stables</t>
        </is>
      </c>
      <c r="D105" t="inlineStr"/>
      <c r="E105" s="5" t="n">
        <v>250000</v>
      </c>
      <c r="F105" s="5" t="n"/>
      <c r="G105" t="inlineStr">
        <is>
          <t>Wood</t>
        </is>
      </c>
      <c r="H105" s="5" t="n">
        <v>1</v>
      </c>
      <c r="I105" s="5" t="n">
        <v>1</v>
      </c>
      <c r="J105" s="5" t="n">
        <v>1</v>
      </c>
      <c r="W105" s="5" t="n">
        <v>2500</v>
      </c>
    </row>
    <row r="106">
      <c r="A106" t="inlineStr">
        <is>
          <t>warcraft2</t>
        </is>
      </c>
      <c r="B106" t="inlineStr">
        <is>
          <t>wc2_humans_sunwell</t>
        </is>
      </c>
      <c r="C106" t="inlineStr">
        <is>
          <t>Sunwell</t>
        </is>
      </c>
      <c r="D106" t="inlineStr"/>
      <c r="E106" s="5" t="n">
        <v>250000</v>
      </c>
      <c r="F106" s="5" t="n"/>
      <c r="G106" t="inlineStr">
        <is>
          <t>Wood</t>
        </is>
      </c>
      <c r="H106" s="5" t="n">
        <v>1</v>
      </c>
      <c r="I106" s="5" t="n">
        <v>1</v>
      </c>
      <c r="J106" s="5" t="n">
        <v>1</v>
      </c>
      <c r="W106" s="5" t="n">
        <v>2500</v>
      </c>
    </row>
    <row r="107">
      <c r="A107" t="inlineStr">
        <is>
          <t>warcraft2</t>
        </is>
      </c>
      <c r="B107" t="inlineStr">
        <is>
          <t>wc2_humans_townhall</t>
        </is>
      </c>
      <c r="C107" t="inlineStr">
        <is>
          <t>Town Hall</t>
        </is>
      </c>
      <c r="D107" t="inlineStr"/>
      <c r="E107" s="5" t="n">
        <v>1000000</v>
      </c>
      <c r="F107" s="5" t="n"/>
      <c r="G107" t="inlineStr">
        <is>
          <t>Concrete</t>
        </is>
      </c>
      <c r="H107" s="5" t="n">
        <v>1</v>
      </c>
      <c r="I107" s="5" t="n">
        <v>1</v>
      </c>
      <c r="J107" s="5" t="n">
        <v>1</v>
      </c>
      <c r="W107" s="5" t="n">
        <v>5000</v>
      </c>
    </row>
    <row r="108">
      <c r="A108" s="3" t="inlineStr">
        <is>
          <t>UPGRADES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</row>
    <row r="109">
      <c r="A109" t="inlineStr">
        <is>
          <t>warcraft2</t>
        </is>
      </c>
      <c r="B109" t="inlineStr">
        <is>
          <t>wc2_humans_upgrade_armorstrength</t>
        </is>
      </c>
      <c r="C109" t="inlineStr">
        <is>
          <t>Armor Strength</t>
        </is>
      </c>
      <c r="D109" t="inlineStr"/>
      <c r="E109" s="5" t="n"/>
      <c r="F109" s="5" t="n"/>
      <c r="H109" s="5" t="n">
        <v>1</v>
      </c>
      <c r="I109" s="5" t="n">
        <v>1</v>
      </c>
      <c r="J109" s="5" t="n">
        <v>1</v>
      </c>
      <c r="W109" s="5" t="n">
        <v>2500</v>
      </c>
    </row>
    <row r="110">
      <c r="A110" t="inlineStr">
        <is>
          <t>warcraft2</t>
        </is>
      </c>
      <c r="B110" t="inlineStr">
        <is>
          <t>wc2_humans_upgrade_armorstrengthii</t>
        </is>
      </c>
      <c r="C110" t="inlineStr">
        <is>
          <t>Armor Strength II</t>
        </is>
      </c>
      <c r="D110" t="inlineStr"/>
      <c r="E110" s="5" t="n"/>
      <c r="F110" s="5" t="n"/>
      <c r="H110" s="5" t="n">
        <v>1</v>
      </c>
      <c r="I110" s="5" t="n">
        <v>1</v>
      </c>
      <c r="J110" s="5" t="n">
        <v>1</v>
      </c>
      <c r="W110" s="5" t="n">
        <v>5000</v>
      </c>
    </row>
    <row r="111">
      <c r="A111" t="inlineStr">
        <is>
          <t>warcraft2</t>
        </is>
      </c>
      <c r="B111" t="inlineStr">
        <is>
          <t>wc2_humans_upgrade_arrowstrength</t>
        </is>
      </c>
      <c r="C111" t="inlineStr">
        <is>
          <t>Arrow Strength</t>
        </is>
      </c>
      <c r="D111" t="inlineStr"/>
      <c r="E111" s="5" t="n"/>
      <c r="F111" s="5" t="n"/>
      <c r="H111" s="5" t="n">
        <v>1</v>
      </c>
      <c r="I111" s="5" t="n">
        <v>1</v>
      </c>
      <c r="J111" s="5" t="n">
        <v>1</v>
      </c>
      <c r="W111" s="5" t="n">
        <v>2500</v>
      </c>
    </row>
    <row r="112">
      <c r="A112" t="inlineStr">
        <is>
          <t>warcraft2</t>
        </is>
      </c>
      <c r="B112" t="inlineStr">
        <is>
          <t>wc2_humans_upgrade_arrowstrengthii</t>
        </is>
      </c>
      <c r="C112" t="inlineStr">
        <is>
          <t>Arrow Strength II</t>
        </is>
      </c>
      <c r="D112" t="inlineStr"/>
      <c r="E112" s="5" t="n"/>
      <c r="F112" s="5" t="n"/>
      <c r="H112" s="5" t="n">
        <v>1</v>
      </c>
      <c r="I112" s="5" t="n">
        <v>1</v>
      </c>
      <c r="J112" s="5" t="n">
        <v>1</v>
      </c>
      <c r="W112" s="5" t="n">
        <v>5000</v>
      </c>
    </row>
    <row r="113">
      <c r="A113" t="inlineStr">
        <is>
          <t>warcraft2</t>
        </is>
      </c>
      <c r="B113" t="inlineStr">
        <is>
          <t>wc2_humans_upgrade_ballistastrength</t>
        </is>
      </c>
      <c r="C113" t="inlineStr">
        <is>
          <t>Ballista Strength</t>
        </is>
      </c>
      <c r="D113" t="inlineStr"/>
      <c r="E113" s="5" t="n"/>
      <c r="F113" s="5" t="n"/>
      <c r="H113" s="5" t="n">
        <v>1</v>
      </c>
      <c r="I113" s="5" t="n">
        <v>1</v>
      </c>
      <c r="J113" s="5" t="n">
        <v>1</v>
      </c>
      <c r="W113" s="5" t="n">
        <v>2500</v>
      </c>
    </row>
    <row r="114">
      <c r="A114" t="inlineStr">
        <is>
          <t>warcraft2</t>
        </is>
      </c>
      <c r="B114" t="inlineStr">
        <is>
          <t>wc2_humans_upgrade_ballistastrengthii</t>
        </is>
      </c>
      <c r="C114" t="inlineStr">
        <is>
          <t>Ballista Strength II</t>
        </is>
      </c>
      <c r="D114" t="inlineStr"/>
      <c r="E114" s="5" t="n"/>
      <c r="F114" s="5" t="n"/>
      <c r="H114" s="5" t="n">
        <v>1</v>
      </c>
      <c r="I114" s="5" t="n">
        <v>1</v>
      </c>
      <c r="J114" s="5" t="n">
        <v>1</v>
      </c>
      <c r="W114" s="5" t="n">
        <v>5000</v>
      </c>
    </row>
    <row r="115">
      <c r="A115" t="inlineStr">
        <is>
          <t>warcraft2</t>
        </is>
      </c>
      <c r="B115" t="inlineStr">
        <is>
          <t>wc2_humans_upgrade_bestfarm</t>
        </is>
      </c>
      <c r="C115" t="inlineStr">
        <is>
          <t>Best Farm</t>
        </is>
      </c>
      <c r="D115" t="inlineStr"/>
      <c r="E115" s="5" t="n"/>
      <c r="F115" s="5" t="n"/>
      <c r="H115" s="5" t="n">
        <v>1</v>
      </c>
      <c r="I115" s="5" t="n">
        <v>1</v>
      </c>
      <c r="J115" s="5" t="n">
        <v>1</v>
      </c>
      <c r="W115" s="5" t="n">
        <v>5000</v>
      </c>
    </row>
    <row r="116">
      <c r="A116" t="inlineStr">
        <is>
          <t>warcraft2</t>
        </is>
      </c>
      <c r="B116" t="inlineStr">
        <is>
          <t>wc2_humans_upgrade_betterfarm</t>
        </is>
      </c>
      <c r="C116" t="inlineStr">
        <is>
          <t>Better Farm</t>
        </is>
      </c>
      <c r="D116" t="inlineStr"/>
      <c r="E116" s="5" t="n"/>
      <c r="F116" s="5" t="n"/>
      <c r="H116" s="5" t="n">
        <v>1</v>
      </c>
      <c r="I116" s="5" t="n">
        <v>1</v>
      </c>
      <c r="J116" s="5" t="n">
        <v>1</v>
      </c>
      <c r="W116" s="5" t="n">
        <v>2500</v>
      </c>
    </row>
    <row r="117">
      <c r="A117" t="inlineStr">
        <is>
          <t>warcraft2</t>
        </is>
      </c>
      <c r="B117" t="inlineStr">
        <is>
          <t>wc2_humans_upgrade_blizzard</t>
        </is>
      </c>
      <c r="C117" t="inlineStr">
        <is>
          <t>Blizzard</t>
        </is>
      </c>
      <c r="D117" t="inlineStr"/>
      <c r="E117" s="5" t="n"/>
      <c r="F117" s="5" t="n"/>
      <c r="H117" s="5" t="n">
        <v>1</v>
      </c>
      <c r="I117" s="5" t="n">
        <v>1</v>
      </c>
      <c r="J117" s="5" t="n">
        <v>1</v>
      </c>
      <c r="W117" s="5" t="n">
        <v>2500</v>
      </c>
    </row>
    <row r="118">
      <c r="A118" t="inlineStr">
        <is>
          <t>warcraft2</t>
        </is>
      </c>
      <c r="B118" t="inlineStr">
        <is>
          <t>wc2_humans_upgrade_cannondamage</t>
        </is>
      </c>
      <c r="C118" t="inlineStr">
        <is>
          <t>Cannon Damage</t>
        </is>
      </c>
      <c r="D118" t="inlineStr"/>
      <c r="E118" s="5" t="n"/>
      <c r="F118" s="5" t="n"/>
      <c r="H118" s="5" t="n">
        <v>1</v>
      </c>
      <c r="I118" s="5" t="n">
        <v>1</v>
      </c>
      <c r="J118" s="5" t="n">
        <v>1</v>
      </c>
      <c r="W118" s="5" t="n">
        <v>2500</v>
      </c>
    </row>
    <row r="119">
      <c r="A119" t="inlineStr">
        <is>
          <t>warcraft2</t>
        </is>
      </c>
      <c r="B119" t="inlineStr">
        <is>
          <t>wc2_humans_upgrade_cannondamageii</t>
        </is>
      </c>
      <c r="C119" t="inlineStr">
        <is>
          <t>Cannon Damage II</t>
        </is>
      </c>
      <c r="D119" t="inlineStr"/>
      <c r="E119" s="5" t="n"/>
      <c r="F119" s="5" t="n"/>
      <c r="H119" s="5" t="n">
        <v>1</v>
      </c>
      <c r="I119" s="5" t="n">
        <v>1</v>
      </c>
      <c r="J119" s="5" t="n">
        <v>1</v>
      </c>
      <c r="W119" s="5" t="n">
        <v>5000</v>
      </c>
    </row>
    <row r="120">
      <c r="A120" t="inlineStr">
        <is>
          <t>warcraft2</t>
        </is>
      </c>
      <c r="B120" t="inlineStr">
        <is>
          <t>wc2_humans_upgrade_exorcism</t>
        </is>
      </c>
      <c r="C120" t="inlineStr">
        <is>
          <t>Exorcism</t>
        </is>
      </c>
      <c r="D120" t="inlineStr"/>
      <c r="E120" s="5" t="n"/>
      <c r="F120" s="5" t="n"/>
      <c r="H120" s="5" t="n">
        <v>1</v>
      </c>
      <c r="I120" s="5" t="n">
        <v>1</v>
      </c>
      <c r="J120" s="5" t="n">
        <v>1</v>
      </c>
      <c r="W120" s="5" t="n">
        <v>2500</v>
      </c>
    </row>
    <row r="121">
      <c r="A121" t="inlineStr">
        <is>
          <t>warcraft2</t>
        </is>
      </c>
      <c r="B121" t="inlineStr">
        <is>
          <t>wc2_humans_upgrade_healing</t>
        </is>
      </c>
      <c r="C121" t="inlineStr">
        <is>
          <t>Healing</t>
        </is>
      </c>
      <c r="D121" t="inlineStr"/>
      <c r="E121" s="5" t="n"/>
      <c r="F121" s="5" t="n"/>
      <c r="H121" s="5" t="n">
        <v>1</v>
      </c>
      <c r="I121" s="5" t="n">
        <v>1</v>
      </c>
      <c r="J121" s="5" t="n">
        <v>1</v>
      </c>
      <c r="W121" s="5" t="n">
        <v>2500</v>
      </c>
    </row>
    <row r="122">
      <c r="A122" t="inlineStr">
        <is>
          <t>warcraft2</t>
        </is>
      </c>
      <c r="B122" t="inlineStr">
        <is>
          <t>wc2_humans_upgrade_highelvenarcher</t>
        </is>
      </c>
      <c r="C122" t="inlineStr">
        <is>
          <t>High Elven Archer</t>
        </is>
      </c>
      <c r="D122" t="inlineStr"/>
      <c r="E122" s="5" t="n"/>
      <c r="F122" s="5" t="n"/>
      <c r="H122" s="5" t="n">
        <v>1</v>
      </c>
      <c r="I122" s="5" t="n">
        <v>1</v>
      </c>
      <c r="J122" s="5" t="n">
        <v>1</v>
      </c>
      <c r="W122" s="5" t="n">
        <v>2500</v>
      </c>
    </row>
    <row r="123">
      <c r="A123" t="inlineStr">
        <is>
          <t>warcraft2</t>
        </is>
      </c>
      <c r="B123" t="inlineStr">
        <is>
          <t>wc2_humans_upgrade_paladin</t>
        </is>
      </c>
      <c r="C123" t="inlineStr">
        <is>
          <t>Paladin</t>
        </is>
      </c>
      <c r="D123" t="inlineStr"/>
      <c r="E123" s="5" t="n"/>
      <c r="F123" s="5" t="n"/>
      <c r="H123" s="5" t="n">
        <v>1</v>
      </c>
      <c r="I123" s="5" t="n">
        <v>1</v>
      </c>
      <c r="J123" s="5" t="n">
        <v>1</v>
      </c>
      <c r="W123" s="5" t="n">
        <v>2500</v>
      </c>
    </row>
    <row r="124">
      <c r="A124" t="inlineStr">
        <is>
          <t>warcraft2</t>
        </is>
      </c>
      <c r="B124" t="inlineStr">
        <is>
          <t>wc2_humans_upgrade_polymorph</t>
        </is>
      </c>
      <c r="C124" t="inlineStr">
        <is>
          <t>Polymorph</t>
        </is>
      </c>
      <c r="D124" t="inlineStr"/>
      <c r="E124" s="5" t="n"/>
      <c r="F124" s="5" t="n"/>
      <c r="H124" s="5" t="n">
        <v>1</v>
      </c>
      <c r="I124" s="5" t="n">
        <v>1</v>
      </c>
      <c r="J124" s="5" t="n">
        <v>1</v>
      </c>
      <c r="W124" s="5" t="n">
        <v>2500</v>
      </c>
    </row>
    <row r="125">
      <c r="A125" t="inlineStr">
        <is>
          <t>warcraft2</t>
        </is>
      </c>
      <c r="B125" t="inlineStr">
        <is>
          <t>wc2_humans_upgrade_ranger</t>
        </is>
      </c>
      <c r="C125" t="inlineStr">
        <is>
          <t>Ranger</t>
        </is>
      </c>
      <c r="D125" t="inlineStr"/>
      <c r="E125" s="5" t="n"/>
      <c r="F125" s="5" t="n"/>
      <c r="H125" s="5" t="n">
        <v>1</v>
      </c>
      <c r="I125" s="5" t="n">
        <v>1</v>
      </c>
      <c r="J125" s="5" t="n">
        <v>1</v>
      </c>
      <c r="W125" s="5" t="n">
        <v>2500</v>
      </c>
    </row>
    <row r="126">
      <c r="A126" t="inlineStr">
        <is>
          <t>warcraft2</t>
        </is>
      </c>
      <c r="B126" t="inlineStr">
        <is>
          <t>wc2_humans_upgrade_rangerlongbow</t>
        </is>
      </c>
      <c r="C126" t="inlineStr">
        <is>
          <t>Ranger Longbow</t>
        </is>
      </c>
      <c r="D126" t="inlineStr"/>
      <c r="E126" s="5" t="n"/>
      <c r="F126" s="5" t="n"/>
      <c r="H126" s="5" t="n">
        <v>1</v>
      </c>
      <c r="I126" s="5" t="n">
        <v>1</v>
      </c>
      <c r="J126" s="5" t="n">
        <v>1</v>
      </c>
      <c r="W126" s="5" t="n">
        <v>2500</v>
      </c>
    </row>
    <row r="127">
      <c r="A127" t="inlineStr">
        <is>
          <t>warcraft2</t>
        </is>
      </c>
      <c r="B127" t="inlineStr">
        <is>
          <t>wc2_humans_upgrade_rangermarksman</t>
        </is>
      </c>
      <c r="C127" t="inlineStr">
        <is>
          <t>Ranger Marksman</t>
        </is>
      </c>
      <c r="D127" t="inlineStr"/>
      <c r="E127" s="5" t="n"/>
      <c r="F127" s="5" t="n"/>
      <c r="H127" s="5" t="n">
        <v>1</v>
      </c>
      <c r="I127" s="5" t="n">
        <v>1</v>
      </c>
      <c r="J127" s="5" t="n">
        <v>1</v>
      </c>
      <c r="W127" s="5" t="n">
        <v>2500</v>
      </c>
    </row>
    <row r="128">
      <c r="A128" t="inlineStr">
        <is>
          <t>warcraft2</t>
        </is>
      </c>
      <c r="B128" t="inlineStr">
        <is>
          <t>wc2_humans_upgrade_rangerscouting</t>
        </is>
      </c>
      <c r="C128" t="inlineStr">
        <is>
          <t>Ranger Scouting</t>
        </is>
      </c>
      <c r="D128" t="inlineStr"/>
      <c r="E128" s="5" t="n"/>
      <c r="F128" s="5" t="n"/>
      <c r="H128" s="5" t="n">
        <v>1</v>
      </c>
      <c r="I128" s="5" t="n">
        <v>1</v>
      </c>
      <c r="J128" s="5" t="n">
        <v>1</v>
      </c>
      <c r="W128" s="5" t="n">
        <v>2500</v>
      </c>
    </row>
    <row r="129">
      <c r="A129" t="inlineStr">
        <is>
          <t>warcraft2</t>
        </is>
      </c>
      <c r="B129" t="inlineStr">
        <is>
          <t>wc2_humans_upgrade_slow</t>
        </is>
      </c>
      <c r="C129" t="inlineStr">
        <is>
          <t>Slow</t>
        </is>
      </c>
      <c r="D129" t="inlineStr"/>
      <c r="E129" s="5" t="n"/>
      <c r="F129" s="5" t="n"/>
      <c r="H129" s="5" t="n">
        <v>1</v>
      </c>
      <c r="I129" s="5" t="n">
        <v>1</v>
      </c>
      <c r="J129" s="5" t="n">
        <v>1</v>
      </c>
      <c r="W129" s="5" t="n">
        <v>2500</v>
      </c>
    </row>
    <row r="130">
      <c r="A130" t="inlineStr">
        <is>
          <t>warcraft2</t>
        </is>
      </c>
      <c r="B130" t="inlineStr">
        <is>
          <t>wc2_humans_upgrade_swordstrength</t>
        </is>
      </c>
      <c r="C130" t="inlineStr">
        <is>
          <t>Sword Strength</t>
        </is>
      </c>
      <c r="D130" t="inlineStr"/>
      <c r="E130" s="5" t="n"/>
      <c r="F130" s="5" t="n"/>
      <c r="H130" s="5" t="n">
        <v>1</v>
      </c>
      <c r="I130" s="5" t="n">
        <v>1</v>
      </c>
      <c r="J130" s="5" t="n">
        <v>1</v>
      </c>
      <c r="W130" s="5" t="n">
        <v>2500</v>
      </c>
    </row>
    <row r="131">
      <c r="A131" t="inlineStr">
        <is>
          <t>warcraft2</t>
        </is>
      </c>
      <c r="B131" t="inlineStr">
        <is>
          <t>wc2_humans_upgrade_swordstrengthii</t>
        </is>
      </c>
      <c r="C131" t="inlineStr">
        <is>
          <t>Sword Strength II</t>
        </is>
      </c>
      <c r="D131" t="inlineStr"/>
      <c r="E131" s="5" t="n"/>
      <c r="F131" s="5" t="n"/>
      <c r="H131" s="5" t="n">
        <v>1</v>
      </c>
      <c r="I131" s="5" t="n">
        <v>1</v>
      </c>
      <c r="J131" s="5" t="n">
        <v>1</v>
      </c>
      <c r="W131" s="5" t="n">
        <v>5000</v>
      </c>
    </row>
    <row r="132">
      <c r="A132" t="inlineStr">
        <is>
          <t>warcraft2</t>
        </is>
      </c>
      <c r="B132" t="inlineStr">
        <is>
          <t>wc2_humans_upgrade_warcraft3footman</t>
        </is>
      </c>
      <c r="C132" t="inlineStr">
        <is>
          <t>Warcraft 3 Footman</t>
        </is>
      </c>
      <c r="D132" t="inlineStr"/>
      <c r="E132" s="5" t="n"/>
      <c r="F132" s="5" t="n"/>
      <c r="H132" s="5" t="n">
        <v>1</v>
      </c>
      <c r="I132" s="5" t="n">
        <v>1</v>
      </c>
      <c r="J132" s="5" t="n">
        <v>1</v>
      </c>
      <c r="W132" s="5" t="n">
        <v>2500</v>
      </c>
    </row>
    <row r="133">
      <c r="A133" t="inlineStr">
        <is>
          <t>warcraft2</t>
        </is>
      </c>
      <c r="B133" t="inlineStr">
        <is>
          <t>wc2_humans_upgrade_warcraft3knightwip</t>
        </is>
      </c>
      <c r="C133" t="inlineStr">
        <is>
          <t>Warcraft 3 Knight (WIP)</t>
        </is>
      </c>
      <c r="D133" t="inlineStr"/>
      <c r="E133" s="5" t="n"/>
      <c r="F133" s="5" t="n"/>
      <c r="H133" s="5" t="n">
        <v>1</v>
      </c>
      <c r="I133" s="5" t="n">
        <v>1</v>
      </c>
      <c r="J133" s="5" t="n">
        <v>1</v>
      </c>
      <c r="W133" s="5" t="n">
        <v>2500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134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A10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2" customWidth="1" min="4" max="4"/>
  </cols>
  <sheetData>
    <row r="1">
      <c r="A1" s="1" t="inlineStr">
        <is>
          <t>Mod</t>
        </is>
      </c>
      <c r="B1" s="1" t="inlineStr">
        <is>
          <t>Actor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HP</t>
        </is>
      </c>
      <c r="F1" s="1" t="inlineStr">
        <is>
          <t>Speed</t>
        </is>
      </c>
      <c r="G1" s="1" t="inlineStr">
        <is>
          <t>Armor</t>
        </is>
      </c>
      <c r="H1" s="1" t="inlineStr">
        <is>
          <t>TechTier</t>
        </is>
      </c>
      <c r="I1" s="1" t="inlineStr">
        <is>
          <t>UnitClass</t>
        </is>
      </c>
      <c r="J1" s="1" t="inlineStr">
        <is>
          <t>Special</t>
        </is>
      </c>
      <c r="K1" s="1" t="inlineStr">
        <is>
          <t>Damage</t>
        </is>
      </c>
      <c r="L1" s="1" t="inlineStr">
        <is>
          <t>Reload</t>
        </is>
      </c>
      <c r="M1" s="1" t="inlineStr">
        <is>
          <t>Burst</t>
        </is>
      </c>
      <c r="N1" s="1" t="inlineStr">
        <is>
          <t>BurstDel</t>
        </is>
      </c>
      <c r="O1" s="1" t="inlineStr">
        <is>
          <t>Range(wd)</t>
        </is>
      </c>
      <c r="P1" s="1" t="inlineStr">
        <is>
          <t>WeapClass</t>
        </is>
      </c>
      <c r="Q1" s="1" t="inlineStr">
        <is>
          <t>EffReload</t>
        </is>
      </c>
      <c r="R1" s="1" t="inlineStr">
        <is>
          <t>DPS</t>
        </is>
      </c>
      <c r="S1" s="1" t="inlineStr">
        <is>
          <t>O</t>
        </is>
      </c>
      <c r="T1" s="1" t="inlineStr">
        <is>
          <t>P</t>
        </is>
      </c>
      <c r="U1" s="1" t="inlineStr">
        <is>
          <t>Q</t>
        </is>
      </c>
      <c r="V1" s="1" t="inlineStr">
        <is>
          <t>Price</t>
        </is>
      </c>
      <c r="W1" s="1" t="inlineStr">
        <is>
          <t>Cost</t>
        </is>
      </c>
      <c r="X1" s="1" t="inlineStr">
        <is>
          <t>Delta</t>
        </is>
      </c>
      <c r="Y1" s="1" t="inlineStr">
        <is>
          <t>Delta%</t>
        </is>
      </c>
      <c r="Z1" s="1" t="inlineStr">
        <is>
          <t>RangeSolve</t>
        </is>
      </c>
      <c r="AA1" s="1" t="inlineStr">
        <is>
          <t>WeaponTypes</t>
        </is>
      </c>
    </row>
    <row r="2">
      <c r="A2" s="3" t="inlineStr">
        <is>
          <t>INFANTRY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>
      <c r="A3" t="inlineStr">
        <is>
          <t>warcraft2</t>
        </is>
      </c>
      <c r="B3" t="inlineStr">
        <is>
          <t>wc2_orcs_deathknight</t>
        </is>
      </c>
      <c r="C3" t="inlineStr">
        <is>
          <t>Death Knight</t>
        </is>
      </c>
      <c r="D3" t="inlineStr"/>
      <c r="E3" s="5" t="n">
        <v>50000</v>
      </c>
      <c r="F3" s="5" t="n">
        <v>65</v>
      </c>
      <c r="G3" t="inlineStr">
        <is>
          <t>Flak</t>
        </is>
      </c>
      <c r="H3" s="5" t="n">
        <v>1</v>
      </c>
      <c r="I3" s="5" t="n">
        <v>1</v>
      </c>
      <c r="J3" s="5" t="n">
        <v>1</v>
      </c>
      <c r="O3">
        <f>MAX(O4,O6,O7,O8,O9,O10,O11)</f>
        <v/>
      </c>
      <c r="R3">
        <f>R4+R6+R7+R8+R9+R10+R11</f>
        <v/>
      </c>
      <c r="S3">
        <f>(E3/100000+F3/100+(O3/1000)*J3/5+R3/200)*200*I3*H3</f>
        <v/>
      </c>
      <c r="T3">
        <f>((E3*F3/25000)+((O3/1000)*J3*R3/2.5))*I3*H3</f>
        <v/>
      </c>
      <c r="U3">
        <f>(E3*F3*(O3/1000)*J3*R3*I3*H3)/12500000</f>
        <v/>
      </c>
      <c r="V3">
        <f>(S3+T3+U3)/3</f>
        <v/>
      </c>
      <c r="W3" s="5" t="n">
        <v>1000</v>
      </c>
      <c r="X3">
        <f>IFERROR(V3-W3,"")</f>
        <v/>
      </c>
      <c r="Y3">
        <f>IFERROR(ABS(X3)/MAX(W3,1),"")</f>
        <v/>
      </c>
      <c r="Z3">
        <f>IFERROR((W3-(((E3/100000+F3/100+R3/200)*200*I3*H3)+((E3*F3/25000)*I3*H3))/3)/(((J3/5)*200*I3*H3)+((J3*R3/2.5)*I3*H3)+((E3*F3*J3*R3*I3*H3)/12500000))/3*1000,"")</f>
        <v/>
      </c>
    </row>
    <row r="4">
      <c r="B4" s="6" t="inlineStr">
        <is>
          <t xml:space="preserve">  ↳ wc2deathknightFire</t>
        </is>
      </c>
      <c r="C4" s="6" t="inlineStr">
        <is>
          <t>Armament</t>
        </is>
      </c>
      <c r="K4" s="5" t="n">
        <v>8000</v>
      </c>
      <c r="L4" s="5" t="n">
        <v>40</v>
      </c>
      <c r="M4" s="5" t="n">
        <v>1</v>
      </c>
      <c r="N4" s="5" t="n"/>
      <c r="O4" s="5" t="n">
        <v>8000</v>
      </c>
      <c r="P4" s="5" t="n">
        <v>1</v>
      </c>
      <c r="Q4">
        <f>L4+IF(M4&gt;1,N(N4)*(M4-1),0)</f>
        <v/>
      </c>
      <c r="R4">
        <f>IFERROR(K4*MAX(M4,1)/Q4*P4,0)</f>
        <v/>
      </c>
      <c r="AA4" s="6" t="inlineStr">
        <is>
          <t>^HeavyFlameWeapon, ^TeslaChargedWeapon</t>
        </is>
      </c>
    </row>
    <row r="5">
      <c r="B5" s="6" t="inlineStr">
        <is>
          <t xml:space="preserve">  ↳ wc2deathknightFire</t>
        </is>
      </c>
      <c r="C5" s="6" t="inlineStr">
        <is>
          <t>Armament@GARRISONED</t>
        </is>
      </c>
      <c r="K5" s="5" t="n">
        <v>8000</v>
      </c>
      <c r="L5" s="5" t="n">
        <v>40</v>
      </c>
      <c r="M5" s="5" t="n">
        <v>1</v>
      </c>
      <c r="N5" s="5" t="n"/>
      <c r="O5" s="5" t="n">
        <v>8000</v>
      </c>
      <c r="P5" s="5" t="n">
        <v>1</v>
      </c>
      <c r="Q5">
        <f>L5+IF(M5&gt;1,N(N5)*(M5-1),0)</f>
        <v/>
      </c>
      <c r="R5">
        <f>IFERROR(K5*MAX(M5,1)/Q5*P5,0)</f>
        <v/>
      </c>
      <c r="AA5" s="6" t="inlineStr">
        <is>
          <t>^HeavyFlameWeapon, ^TeslaChargedWeapon</t>
        </is>
      </c>
    </row>
    <row r="6">
      <c r="B6" s="6" t="inlineStr">
        <is>
          <t xml:space="preserve">  ↳ wc2deathknightDeathCoil</t>
        </is>
      </c>
      <c r="C6" s="6" t="inlineStr">
        <is>
          <t>Armament@DEATHCOIL</t>
        </is>
      </c>
      <c r="K6" s="5" t="n">
        <v>8000</v>
      </c>
      <c r="L6" s="5" t="n">
        <v>80</v>
      </c>
      <c r="M6" s="5" t="n">
        <v>1</v>
      </c>
      <c r="N6" s="5" t="n"/>
      <c r="O6" s="5" t="n">
        <v>8000</v>
      </c>
      <c r="P6" s="5" t="n">
        <v>1</v>
      </c>
      <c r="Q6">
        <f>L6+IF(M6&gt;1,N(N6)*(M6-1),0)</f>
        <v/>
      </c>
      <c r="R6">
        <f>IFERROR(K6*MAX(M6,1)/Q6*P6,0)</f>
        <v/>
      </c>
      <c r="AA6" s="6" t="inlineStr">
        <is>
          <t>^HeavyFlameWeapon, ^TeslaChargedWeapon</t>
        </is>
      </c>
    </row>
    <row r="7">
      <c r="B7" s="6" t="inlineStr">
        <is>
          <t xml:space="preserve">  ↳ wc2deathknightDeathCoilScatter_Left</t>
        </is>
      </c>
      <c r="C7" s="6" t="inlineStr">
        <is>
          <t>Armament@DEATHCOILSCATTER1</t>
        </is>
      </c>
      <c r="K7" s="5" t="n">
        <v>8000</v>
      </c>
      <c r="L7" s="5" t="n">
        <v>80</v>
      </c>
      <c r="M7" s="5" t="n">
        <v>1</v>
      </c>
      <c r="N7" s="5" t="n"/>
      <c r="O7" s="5" t="n">
        <v>8000</v>
      </c>
      <c r="P7" s="5" t="n">
        <v>1</v>
      </c>
      <c r="Q7">
        <f>L7+IF(M7&gt;1,N(N7)*(M7-1),0)</f>
        <v/>
      </c>
      <c r="R7">
        <f>IFERROR(K7*MAX(M7,1)/Q7*P7,0)</f>
        <v/>
      </c>
      <c r="AA7" s="6" t="inlineStr">
        <is>
          <t>^HeavyFlameWeapon, ^TeslaChargedWeapon</t>
        </is>
      </c>
    </row>
    <row r="8">
      <c r="B8" s="6" t="inlineStr">
        <is>
          <t xml:space="preserve">  ↳ wc2deathknightDeathCoilScatter_Right</t>
        </is>
      </c>
      <c r="C8" s="6" t="inlineStr">
        <is>
          <t>Armament@DEATHCOILSCATTER2</t>
        </is>
      </c>
      <c r="K8" s="5" t="n">
        <v>8000</v>
      </c>
      <c r="L8" s="5" t="n">
        <v>80</v>
      </c>
      <c r="M8" s="5" t="n">
        <v>1</v>
      </c>
      <c r="N8" s="5" t="n"/>
      <c r="O8" s="5" t="n">
        <v>8000</v>
      </c>
      <c r="P8" s="5" t="n">
        <v>1</v>
      </c>
      <c r="Q8">
        <f>L8+IF(M8&gt;1,N(N8)*(M8-1),0)</f>
        <v/>
      </c>
      <c r="R8">
        <f>IFERROR(K8*MAX(M8,1)/Q8*P8,0)</f>
        <v/>
      </c>
      <c r="AA8" s="6" t="inlineStr">
        <is>
          <t>^HeavyFlameWeapon, ^TeslaChargedWeapon</t>
        </is>
      </c>
    </row>
    <row r="9">
      <c r="B9" s="6" t="inlineStr">
        <is>
          <t xml:space="preserve">  ↳ wc2deathknightHaste</t>
        </is>
      </c>
      <c r="C9" s="6" t="inlineStr">
        <is>
          <t>Armament@HASTE</t>
        </is>
      </c>
      <c r="K9" s="5" t="n">
        <v>1</v>
      </c>
      <c r="L9" s="5" t="n">
        <v>60</v>
      </c>
      <c r="M9" s="5" t="n">
        <v>1</v>
      </c>
      <c r="N9" s="5" t="n"/>
      <c r="O9" s="5" t="n">
        <v>5120</v>
      </c>
      <c r="P9" s="5" t="n">
        <v>1</v>
      </c>
      <c r="Q9">
        <f>L9+IF(M9&gt;1,N(N9)*(M9-1),0)</f>
        <v/>
      </c>
      <c r="R9">
        <f>IFERROR(K9*MAX(M9,1)/Q9*P9,0)</f>
        <v/>
      </c>
      <c r="AA9" s="6" t="inlineStr"/>
    </row>
    <row r="10">
      <c r="B10" s="6" t="inlineStr">
        <is>
          <t xml:space="preserve">  ↳ wc2deathknightDeathAndDecay</t>
        </is>
      </c>
      <c r="C10" s="6" t="inlineStr">
        <is>
          <t>Armament@DEATHANDDECAY</t>
        </is>
      </c>
      <c r="K10" s="5" t="n">
        <v>1</v>
      </c>
      <c r="L10" s="5" t="n">
        <v>50</v>
      </c>
      <c r="M10" s="5" t="n">
        <v>1</v>
      </c>
      <c r="N10" s="5" t="n"/>
      <c r="O10" s="5" t="n">
        <v>8000</v>
      </c>
      <c r="P10" s="5" t="n">
        <v>1</v>
      </c>
      <c r="Q10">
        <f>L10+IF(M10&gt;1,N(N10)*(M10-1),0)</f>
        <v/>
      </c>
      <c r="R10">
        <f>IFERROR(K10*MAX(M10,1)/Q10*P10,0)</f>
        <v/>
      </c>
      <c r="AA10" s="6" t="inlineStr">
        <is>
          <t>wc2mageBlizzard</t>
        </is>
      </c>
    </row>
    <row r="11">
      <c r="B11" s="6" t="inlineStr">
        <is>
          <t xml:space="preserve">  ↳ wc2deathknightRaiseDead</t>
        </is>
      </c>
      <c r="C11" s="6" t="inlineStr">
        <is>
          <t>Armament@RAISEDEAD</t>
        </is>
      </c>
      <c r="K11" s="5" t="n">
        <v>0</v>
      </c>
      <c r="L11" s="5" t="n">
        <v>60</v>
      </c>
      <c r="M11" s="5" t="n">
        <v>1</v>
      </c>
      <c r="N11" s="5" t="n"/>
      <c r="O11" s="5" t="n">
        <v>5120</v>
      </c>
      <c r="P11" s="5" t="n">
        <v>1</v>
      </c>
      <c r="Q11">
        <f>L11+IF(M11&gt;1,N(N11)*(M11-1),0)</f>
        <v/>
      </c>
      <c r="R11">
        <f>IFERROR(K11*MAX(M11,1)/Q11*P11,0)</f>
        <v/>
      </c>
      <c r="AA11" s="6" t="inlineStr"/>
    </row>
    <row r="12">
      <c r="A12" t="inlineStr">
        <is>
          <t>warcraft2</t>
        </is>
      </c>
      <c r="B12" t="inlineStr">
        <is>
          <t>wc2_orcs_grunt</t>
        </is>
      </c>
      <c r="C12" t="inlineStr">
        <is>
          <t>Grunt</t>
        </is>
      </c>
      <c r="D12" t="inlineStr"/>
      <c r="E12" s="5" t="n">
        <v>65000</v>
      </c>
      <c r="F12" s="5" t="n">
        <v>65</v>
      </c>
      <c r="G12" t="inlineStr">
        <is>
          <t>Plate</t>
        </is>
      </c>
      <c r="H12" s="5" t="n">
        <v>1</v>
      </c>
      <c r="I12" s="5" t="n">
        <v>0.75</v>
      </c>
      <c r="J12" s="5" t="n">
        <v>1</v>
      </c>
      <c r="O12">
        <f>MAX(O13)</f>
        <v/>
      </c>
      <c r="R12">
        <f>R13</f>
        <v/>
      </c>
      <c r="S12">
        <f>(E12/100000+F12/100+(O12/1000)*J12/5+R12/200)*200*I12*H12</f>
        <v/>
      </c>
      <c r="T12">
        <f>((E12*F12/25000)+((O12/1000)*J12*R12/2.5))*I12*H12</f>
        <v/>
      </c>
      <c r="U12">
        <f>(E12*F12*(O12/1000)*J12*R12*I12*H12)/12500000</f>
        <v/>
      </c>
      <c r="V12">
        <f>(S12+T12+U12)/3</f>
        <v/>
      </c>
      <c r="W12" s="5" t="n">
        <v>600</v>
      </c>
      <c r="X12">
        <f>IFERROR(V12-W12,"")</f>
        <v/>
      </c>
      <c r="Y12">
        <f>IFERROR(ABS(X12)/MAX(W12,1),"")</f>
        <v/>
      </c>
      <c r="Z12">
        <f>IFERROR((W12-(((E12/100000+F12/100+R12/200)*200*I12*H12)+((E12*F12/25000)*I12*H12))/3)/(((J12/5)*200*I12*H12)+((J12*R12/2.5)*I12*H12)+((E12*F12*J12*R12*I12*H12)/12500000))/3*1000,"")</f>
        <v/>
      </c>
    </row>
    <row r="13">
      <c r="B13" s="6" t="inlineStr">
        <is>
          <t xml:space="preserve">  ↳ wc2gruntslice</t>
        </is>
      </c>
      <c r="C13" s="6" t="inlineStr">
        <is>
          <t>Armament</t>
        </is>
      </c>
      <c r="K13" s="5" t="n">
        <v>16000</v>
      </c>
      <c r="L13" s="5" t="n">
        <v>18</v>
      </c>
      <c r="M13" s="5" t="n">
        <v>1</v>
      </c>
      <c r="N13" s="5" t="n"/>
      <c r="O13" s="5" t="n">
        <v>1555</v>
      </c>
      <c r="P13" s="5" t="n">
        <v>1</v>
      </c>
      <c r="Q13">
        <f>L13+IF(M13&gt;1,N(N13)*(M13-1),0)</f>
        <v/>
      </c>
      <c r="R13">
        <f>IFERROR(K13*MAX(M13,1)/Q13*P13,0)</f>
        <v/>
      </c>
      <c r="AA13" s="6" t="inlineStr">
        <is>
          <t>^SwordWeapon</t>
        </is>
      </c>
    </row>
    <row r="14">
      <c r="A14" t="inlineStr">
        <is>
          <t>warcraft2</t>
        </is>
      </c>
      <c r="B14" t="inlineStr">
        <is>
          <t>wc2_orcs_kodobeast</t>
        </is>
      </c>
      <c r="C14" t="inlineStr">
        <is>
          <t>Kodo Beast</t>
        </is>
      </c>
      <c r="D14" t="inlineStr"/>
      <c r="E14" s="5" t="n">
        <v>125000</v>
      </c>
      <c r="F14" s="5" t="n">
        <v>60</v>
      </c>
      <c r="G14" t="inlineStr">
        <is>
          <t>Flak</t>
        </is>
      </c>
      <c r="H14" s="5" t="n">
        <v>1</v>
      </c>
      <c r="I14" s="5" t="n">
        <v>0.5</v>
      </c>
      <c r="J14" s="5" t="n">
        <v>1.25</v>
      </c>
      <c r="O14">
        <f>MAX(O15)</f>
        <v/>
      </c>
      <c r="R14">
        <f>R15</f>
        <v/>
      </c>
      <c r="S14">
        <f>(E14/100000+F14/100+(O14/1000)*J14/5+R14/200)*200*I14*H14</f>
        <v/>
      </c>
      <c r="T14">
        <f>((E14*F14/25000)+((O14/1000)*J14*R14/2.5))*I14*H14</f>
        <v/>
      </c>
      <c r="U14">
        <f>(E14*F14*(O14/1000)*J14*R14*I14*H14)/12500000</f>
        <v/>
      </c>
      <c r="V14">
        <f>(S14+T14+U14)/3</f>
        <v/>
      </c>
      <c r="W14" s="5" t="n">
        <v>1000</v>
      </c>
      <c r="X14">
        <f>IFERROR(V14-W14,"")</f>
        <v/>
      </c>
      <c r="Y14">
        <f>IFERROR(ABS(X14)/MAX(W14,1),"")</f>
        <v/>
      </c>
      <c r="Z14">
        <f>IFERROR((W14-(((E14/100000+F14/100+R14/200)*200*I14*H14)+((E14*F14/25000)*I14*H14))/3)/(((J14/5)*200*I14*H14)+((J14*R14/2.5)*I14*H14)+((E14*F14*J14*R14*I14*H14)/12500000))/3*1000,"")</f>
        <v/>
      </c>
    </row>
    <row r="15">
      <c r="B15" s="6" t="inlineStr">
        <is>
          <t xml:space="preserve">  ↳ wc2axeFire</t>
        </is>
      </c>
      <c r="C15" s="6" t="inlineStr">
        <is>
          <t>Armament</t>
        </is>
      </c>
      <c r="K15" s="5" t="n">
        <v>4000</v>
      </c>
      <c r="L15" s="5" t="n">
        <v>38</v>
      </c>
      <c r="M15" s="5" t="n">
        <v>1</v>
      </c>
      <c r="N15" s="5" t="n"/>
      <c r="O15" s="5" t="n">
        <v>6445</v>
      </c>
      <c r="P15" s="5" t="n">
        <v>1</v>
      </c>
      <c r="Q15">
        <f>L15+IF(M15&gt;1,N(N15)*(M15-1),0)</f>
        <v/>
      </c>
      <c r="R15">
        <f>IFERROR(K15*MAX(M15,1)/Q15*P15,0)</f>
        <v/>
      </c>
      <c r="AA15" s="6" t="inlineStr">
        <is>
          <t>^FlakWeapon, ^Chaingun, ^MediumCannon, ^Grenade, ^TankDestroyerCannon, ^ArrowWeapon</t>
        </is>
      </c>
    </row>
    <row r="16">
      <c r="B16" s="6" t="inlineStr">
        <is>
          <t xml:space="preserve">  ↳ wc2axeFire</t>
        </is>
      </c>
      <c r="C16" s="6" t="inlineStr">
        <is>
          <t>Armament@GARRISONED</t>
        </is>
      </c>
      <c r="K16" s="5" t="n">
        <v>4000</v>
      </c>
      <c r="L16" s="5" t="n">
        <v>38</v>
      </c>
      <c r="M16" s="5" t="n">
        <v>1</v>
      </c>
      <c r="N16" s="5" t="n"/>
      <c r="O16" s="5" t="n">
        <v>6445</v>
      </c>
      <c r="P16" s="5" t="n">
        <v>1</v>
      </c>
      <c r="Q16">
        <f>L16+IF(M16&gt;1,N(N16)*(M16-1),0)</f>
        <v/>
      </c>
      <c r="R16">
        <f>IFERROR(K16*MAX(M16,1)/Q16*P16,0)</f>
        <v/>
      </c>
      <c r="AA16" s="6" t="inlineStr">
        <is>
          <t>^FlakWeapon, ^Chaingun, ^MediumCannon, ^Grenade, ^TankDestroyerCannon, ^ArrowWeapon</t>
        </is>
      </c>
    </row>
    <row r="17">
      <c r="A17" t="inlineStr">
        <is>
          <t>warcraft2</t>
        </is>
      </c>
      <c r="B17" t="inlineStr">
        <is>
          <t>wc2_orcs_ogre</t>
        </is>
      </c>
      <c r="C17" t="inlineStr">
        <is>
          <t>Ogre</t>
        </is>
      </c>
      <c r="D17" t="inlineStr"/>
      <c r="E17" s="5" t="n">
        <v>200000</v>
      </c>
      <c r="F17" s="5" t="n">
        <v>85</v>
      </c>
      <c r="G17" t="inlineStr">
        <is>
          <t>Heavy</t>
        </is>
      </c>
      <c r="H17" s="5" t="n">
        <v>0.75</v>
      </c>
      <c r="I17" s="5" t="n">
        <v>1</v>
      </c>
      <c r="J17" s="5" t="n">
        <v>1</v>
      </c>
      <c r="O17">
        <f>MAX(O18,O19,O20,O21)</f>
        <v/>
      </c>
      <c r="R17">
        <f>R18+R19+R20+R21</f>
        <v/>
      </c>
      <c r="S17">
        <f>(E17/100000+F17/100+(O17/1000)*J17/5+R17/200)*200*I17*H17</f>
        <v/>
      </c>
      <c r="T17">
        <f>((E17*F17/25000)+((O17/1000)*J17*R17/2.5))*I17*H17</f>
        <v/>
      </c>
      <c r="U17">
        <f>(E17*F17*(O17/1000)*J17*R17*I17*H17)/12500000</f>
        <v/>
      </c>
      <c r="V17">
        <f>(S17+T17+U17)/3</f>
        <v/>
      </c>
      <c r="W17" s="5" t="n">
        <v>1800</v>
      </c>
      <c r="X17">
        <f>IFERROR(V17-W17,"")</f>
        <v/>
      </c>
      <c r="Y17">
        <f>IFERROR(ABS(X17)/MAX(W17,1),"")</f>
        <v/>
      </c>
      <c r="Z17">
        <f>IFERROR((W17-(((E17/100000+F17/100+R17/200)*200*I17*H17)+((E17*F17/25000)*I17*H17))/3)/(((J17/5)*200*I17*H17)+((J17*R17/2.5)*I17*H17)+((E17*F17*J17*R17*I17*H17)/12500000))/3*1000,"")</f>
        <v/>
      </c>
    </row>
    <row r="18">
      <c r="B18" s="6" t="inlineStr">
        <is>
          <t xml:space="preserve">  ↳ wc2ogrepunch</t>
        </is>
      </c>
      <c r="C18" s="6" t="inlineStr">
        <is>
          <t>Armament</t>
        </is>
      </c>
      <c r="K18" s="5" t="n">
        <v>30000</v>
      </c>
      <c r="L18" s="5" t="n">
        <v>20</v>
      </c>
      <c r="M18" s="5" t="n">
        <v>1</v>
      </c>
      <c r="N18" s="5" t="n"/>
      <c r="O18" s="5" t="n">
        <v>1660</v>
      </c>
      <c r="P18" s="5" t="n">
        <v>1</v>
      </c>
      <c r="Q18">
        <f>L18+IF(M18&gt;1,N(N18)*(M18-1),0)</f>
        <v/>
      </c>
      <c r="R18">
        <f>IFERROR(K18*MAX(M18,1)/Q18*P18,0)</f>
        <v/>
      </c>
      <c r="AA18" s="6" t="inlineStr">
        <is>
          <t>^SwordWeapon</t>
        </is>
      </c>
    </row>
    <row r="19">
      <c r="B19" s="6" t="inlineStr">
        <is>
          <t xml:space="preserve">  ↳ wc2ogremageEyeOfKilrogg</t>
        </is>
      </c>
      <c r="C19" s="6" t="inlineStr">
        <is>
          <t>Armament@EYEOFKILROGG</t>
        </is>
      </c>
      <c r="K19" s="5" t="n">
        <v>0</v>
      </c>
      <c r="L19" s="5" t="n">
        <v>60</v>
      </c>
      <c r="M19" s="5" t="n">
        <v>1</v>
      </c>
      <c r="N19" s="5" t="n"/>
      <c r="O19" s="5" t="n">
        <v>5120</v>
      </c>
      <c r="P19" s="5" t="n">
        <v>1</v>
      </c>
      <c r="Q19">
        <f>L19+IF(M19&gt;1,N(N19)*(M19-1),0)</f>
        <v/>
      </c>
      <c r="R19">
        <f>IFERROR(K19*MAX(M19,1)/Q19*P19,0)</f>
        <v/>
      </c>
      <c r="AA19" s="6" t="inlineStr"/>
    </row>
    <row r="20">
      <c r="B20" s="6" t="inlineStr">
        <is>
          <t xml:space="preserve">  ↳ wc2ogremageBloodlust</t>
        </is>
      </c>
      <c r="C20" s="6" t="inlineStr">
        <is>
          <t>Armament@BLOODLUST</t>
        </is>
      </c>
      <c r="K20" s="5" t="n">
        <v>1</v>
      </c>
      <c r="L20" s="5" t="n">
        <v>60</v>
      </c>
      <c r="M20" s="5" t="n">
        <v>1</v>
      </c>
      <c r="N20" s="5" t="n"/>
      <c r="O20" s="5" t="n">
        <v>5120</v>
      </c>
      <c r="P20" s="5" t="n">
        <v>1</v>
      </c>
      <c r="Q20">
        <f>L20+IF(M20&gt;1,N(N20)*(M20-1),0)</f>
        <v/>
      </c>
      <c r="R20">
        <f>IFERROR(K20*MAX(M20,1)/Q20*P20,0)</f>
        <v/>
      </c>
      <c r="AA20" s="6" t="inlineStr"/>
    </row>
    <row r="21">
      <c r="B21" s="6" t="inlineStr">
        <is>
          <t xml:space="preserve">  ↳ wc2ogremageRunes</t>
        </is>
      </c>
      <c r="C21" s="6" t="inlineStr">
        <is>
          <t>Armament@RUNES</t>
        </is>
      </c>
      <c r="K21" s="5" t="n">
        <v>0</v>
      </c>
      <c r="L21" s="5" t="n">
        <v>60</v>
      </c>
      <c r="M21" s="5" t="n">
        <v>1</v>
      </c>
      <c r="N21" s="5" t="n"/>
      <c r="O21" s="5" t="n">
        <v>5120</v>
      </c>
      <c r="P21" s="5" t="n">
        <v>1</v>
      </c>
      <c r="Q21">
        <f>L21+IF(M21&gt;1,N(N21)*(M21-1),0)</f>
        <v/>
      </c>
      <c r="R21">
        <f>IFERROR(K21*MAX(M21,1)/Q21*P21,0)</f>
        <v/>
      </c>
      <c r="AA21" s="6" t="inlineStr"/>
    </row>
    <row r="22">
      <c r="A22" t="inlineStr">
        <is>
          <t>warcraft2</t>
        </is>
      </c>
      <c r="B22" t="inlineStr">
        <is>
          <t>wc2_orcs_trollaxethrower</t>
        </is>
      </c>
      <c r="C22" t="inlineStr">
        <is>
          <t>Troll Axethrower</t>
        </is>
      </c>
      <c r="D22" t="inlineStr"/>
      <c r="E22" s="5" t="n">
        <v>30000</v>
      </c>
      <c r="F22" s="5" t="n">
        <v>60</v>
      </c>
      <c r="G22" t="inlineStr">
        <is>
          <t>Flak</t>
        </is>
      </c>
      <c r="H22" s="5" t="n">
        <v>1</v>
      </c>
      <c r="I22" s="5" t="n">
        <v>0.5</v>
      </c>
      <c r="J22" s="5" t="n">
        <v>1</v>
      </c>
      <c r="O22">
        <f>MAX(O23)</f>
        <v/>
      </c>
      <c r="R22">
        <f>R23</f>
        <v/>
      </c>
      <c r="S22">
        <f>(E22/100000+F22/100+(O22/1000)*J22/5+R22/200)*200*I22*H22</f>
        <v/>
      </c>
      <c r="T22">
        <f>((E22*F22/25000)+((O22/1000)*J22*R22/2.5))*I22*H22</f>
        <v/>
      </c>
      <c r="U22">
        <f>(E22*F22*(O22/1000)*J22*R22*I22*H22)/12500000</f>
        <v/>
      </c>
      <c r="V22">
        <f>(S22+T22+U22)/3</f>
        <v/>
      </c>
      <c r="W22" s="5" t="n">
        <v>500</v>
      </c>
      <c r="X22">
        <f>IFERROR(V22-W22,"")</f>
        <v/>
      </c>
      <c r="Y22">
        <f>IFERROR(ABS(X22)/MAX(W22,1),"")</f>
        <v/>
      </c>
      <c r="Z22">
        <f>IFERROR((W22-(((E22/100000+F22/100+R22/200)*200*I22*H22)+((E22*F22/25000)*I22*H22))/3)/(((J22/5)*200*I22*H22)+((J22*R22/2.5)*I22*H22)+((E22*F22*J22*R22*I22*H22)/12500000))/3*1000,"")</f>
        <v/>
      </c>
    </row>
    <row r="23">
      <c r="B23" s="6" t="inlineStr">
        <is>
          <t xml:space="preserve">  ↳ wc2axeFire</t>
        </is>
      </c>
      <c r="C23" s="6" t="inlineStr">
        <is>
          <t>Armament</t>
        </is>
      </c>
      <c r="K23" s="5" t="n">
        <v>4000</v>
      </c>
      <c r="L23" s="5" t="n">
        <v>38</v>
      </c>
      <c r="M23" s="5" t="n">
        <v>1</v>
      </c>
      <c r="N23" s="5" t="n"/>
      <c r="O23" s="5" t="n">
        <v>6445</v>
      </c>
      <c r="P23" s="5" t="n">
        <v>1</v>
      </c>
      <c r="Q23">
        <f>L23+IF(M23&gt;1,N(N23)*(M23-1),0)</f>
        <v/>
      </c>
      <c r="R23">
        <f>IFERROR(K23*MAX(M23,1)/Q23*P23,0)</f>
        <v/>
      </c>
      <c r="AA23" s="6" t="inlineStr">
        <is>
          <t>^FlakWeapon, ^Chaingun, ^MediumCannon, ^Grenade, ^TankDestroyerCannon, ^ArrowWeapon</t>
        </is>
      </c>
    </row>
    <row r="24">
      <c r="B24" s="6" t="inlineStr">
        <is>
          <t xml:space="preserve">  ↳ wc2axeFire</t>
        </is>
      </c>
      <c r="C24" s="6" t="inlineStr">
        <is>
          <t>Armament@GARRISONED</t>
        </is>
      </c>
      <c r="K24" s="5" t="n">
        <v>4000</v>
      </c>
      <c r="L24" s="5" t="n">
        <v>38</v>
      </c>
      <c r="M24" s="5" t="n">
        <v>1</v>
      </c>
      <c r="N24" s="5" t="n"/>
      <c r="O24" s="5" t="n">
        <v>6445</v>
      </c>
      <c r="P24" s="5" t="n">
        <v>1</v>
      </c>
      <c r="Q24">
        <f>L24+IF(M24&gt;1,N(N24)*(M24-1),0)</f>
        <v/>
      </c>
      <c r="R24">
        <f>IFERROR(K24*MAX(M24,1)/Q24*P24,0)</f>
        <v/>
      </c>
      <c r="AA24" s="6" t="inlineStr">
        <is>
          <t>^FlakWeapon, ^Chaingun, ^MediumCannon, ^Grenade, ^TankDestroyerCannon, ^ArrowWeapon</t>
        </is>
      </c>
    </row>
    <row r="25">
      <c r="A25" t="inlineStr">
        <is>
          <t>warcraft2</t>
        </is>
      </c>
      <c r="B25" t="inlineStr">
        <is>
          <t>wc2_orcs_trollberserker</t>
        </is>
      </c>
      <c r="C25" t="inlineStr">
        <is>
          <t>Troll Berserker</t>
        </is>
      </c>
      <c r="D25" t="inlineStr"/>
      <c r="E25" s="5" t="n">
        <v>30000</v>
      </c>
      <c r="F25" s="5" t="n">
        <v>60</v>
      </c>
      <c r="G25" t="inlineStr">
        <is>
          <t>Flak</t>
        </is>
      </c>
      <c r="H25" s="5" t="n">
        <v>1</v>
      </c>
      <c r="I25" s="5" t="n">
        <v>1</v>
      </c>
      <c r="J25" s="5" t="n">
        <v>1</v>
      </c>
      <c r="O25">
        <f>MAX(O26)</f>
        <v/>
      </c>
      <c r="R25">
        <f>R26</f>
        <v/>
      </c>
      <c r="S25">
        <f>(E25/100000+F25/100+(O25/1000)*J25/5+R25/200)*200*I25*H25</f>
        <v/>
      </c>
      <c r="T25">
        <f>((E25*F25/25000)+((O25/1000)*J25*R25/2.5))*I25*H25</f>
        <v/>
      </c>
      <c r="U25">
        <f>(E25*F25*(O25/1000)*J25*R25*I25*H25)/12500000</f>
        <v/>
      </c>
      <c r="V25">
        <f>(S25+T25+U25)/3</f>
        <v/>
      </c>
      <c r="W25" s="5" t="n">
        <v>500</v>
      </c>
      <c r="X25">
        <f>IFERROR(V25-W25,"")</f>
        <v/>
      </c>
      <c r="Y25">
        <f>IFERROR(ABS(X25)/MAX(W25,1),"")</f>
        <v/>
      </c>
      <c r="Z25">
        <f>IFERROR((W25-(((E25/100000+F25/100+R25/200)*200*I25*H25)+((E25*F25/25000)*I25*H25))/3)/(((J25/5)*200*I25*H25)+((J25*R25/2.5)*I25*H25)+((E25*F25*J25*R25*I25*H25)/12500000))/3*1000,"")</f>
        <v/>
      </c>
    </row>
    <row r="26">
      <c r="B26" s="6" t="inlineStr">
        <is>
          <t xml:space="preserve">  ↳ wc2axeFire</t>
        </is>
      </c>
      <c r="C26" s="6" t="inlineStr">
        <is>
          <t>Armament</t>
        </is>
      </c>
      <c r="K26" s="5" t="n">
        <v>4000</v>
      </c>
      <c r="L26" s="5" t="n">
        <v>38</v>
      </c>
      <c r="M26" s="5" t="n">
        <v>1</v>
      </c>
      <c r="N26" s="5" t="n"/>
      <c r="O26" s="5" t="n">
        <v>6445</v>
      </c>
      <c r="P26" s="5" t="n">
        <v>1</v>
      </c>
      <c r="Q26">
        <f>L26+IF(M26&gt;1,N(N26)*(M26-1),0)</f>
        <v/>
      </c>
      <c r="R26">
        <f>IFERROR(K26*MAX(M26,1)/Q26*P26,0)</f>
        <v/>
      </c>
      <c r="AA26" s="6" t="inlineStr">
        <is>
          <t>^FlakWeapon, ^Chaingun, ^MediumCannon, ^Grenade, ^TankDestroyerCannon, ^ArrowWeapon</t>
        </is>
      </c>
    </row>
    <row r="27">
      <c r="B27" s="6" t="inlineStr">
        <is>
          <t xml:space="preserve">  ↳ wc2axeFire</t>
        </is>
      </c>
      <c r="C27" s="6" t="inlineStr">
        <is>
          <t>Armament@GARRISONED</t>
        </is>
      </c>
      <c r="K27" s="5" t="n">
        <v>4000</v>
      </c>
      <c r="L27" s="5" t="n">
        <v>38</v>
      </c>
      <c r="M27" s="5" t="n">
        <v>1</v>
      </c>
      <c r="N27" s="5" t="n"/>
      <c r="O27" s="5" t="n">
        <v>6445</v>
      </c>
      <c r="P27" s="5" t="n">
        <v>1</v>
      </c>
      <c r="Q27">
        <f>L27+IF(M27&gt;1,N(N27)*(M27-1),0)</f>
        <v/>
      </c>
      <c r="R27">
        <f>IFERROR(K27*MAX(M27,1)/Q27*P27,0)</f>
        <v/>
      </c>
      <c r="AA27" s="6" t="inlineStr">
        <is>
          <t>^FlakWeapon, ^Chaingun, ^MediumCannon, ^Grenade, ^TankDestroyerCannon, ^ArrowWeapon</t>
        </is>
      </c>
    </row>
    <row r="28">
      <c r="A28" t="inlineStr">
        <is>
          <t>warcraft2</t>
        </is>
      </c>
      <c r="B28" t="inlineStr">
        <is>
          <t>wc2_orcs_trollheadhunter</t>
        </is>
      </c>
      <c r="C28" t="inlineStr">
        <is>
          <t>Troll Headhunter</t>
        </is>
      </c>
      <c r="D28" t="inlineStr"/>
      <c r="E28" s="5" t="n">
        <v>40000</v>
      </c>
      <c r="F28" s="5" t="n">
        <v>75</v>
      </c>
      <c r="G28" t="inlineStr">
        <is>
          <t>Flak</t>
        </is>
      </c>
      <c r="H28" s="5" t="n">
        <v>1</v>
      </c>
      <c r="I28" s="5" t="n">
        <v>1</v>
      </c>
      <c r="J28" s="5" t="n">
        <v>1</v>
      </c>
      <c r="O28">
        <f>MAX(O29)</f>
        <v/>
      </c>
      <c r="R28">
        <f>R29</f>
        <v/>
      </c>
      <c r="S28">
        <f>(E28/100000+F28/100+(O28/1000)*J28/5+R28/200)*200*I28*H28</f>
        <v/>
      </c>
      <c r="T28">
        <f>((E28*F28/25000)+((O28/1000)*J28*R28/2.5))*I28*H28</f>
        <v/>
      </c>
      <c r="U28">
        <f>(E28*F28*(O28/1000)*J28*R28*I28*H28)/12500000</f>
        <v/>
      </c>
      <c r="V28">
        <f>(S28+T28+U28)/3</f>
        <v/>
      </c>
      <c r="W28" s="5" t="n">
        <v>1000</v>
      </c>
      <c r="X28">
        <f>IFERROR(V28-W28,"")</f>
        <v/>
      </c>
      <c r="Y28">
        <f>IFERROR(ABS(X28)/MAX(W28,1),"")</f>
        <v/>
      </c>
      <c r="Z28">
        <f>IFERROR((W28-(((E28/100000+F28/100+R28/200)*200*I28*H28)+((E28*F28/25000)*I28*H28))/3)/(((J28/5)*200*I28*H28)+((J28*R28/2.5)*I28*H28)+((E28*F28*J28*R28*I28*H28)/12500000))/3*1000,"")</f>
        <v/>
      </c>
    </row>
    <row r="29">
      <c r="B29" s="6" t="inlineStr">
        <is>
          <t xml:space="preserve">  ↳ wc2axeFirespear</t>
        </is>
      </c>
      <c r="C29" s="6" t="inlineStr">
        <is>
          <t>Armament</t>
        </is>
      </c>
      <c r="K29" s="5" t="n">
        <v>4000</v>
      </c>
      <c r="L29" s="5" t="n">
        <v>40</v>
      </c>
      <c r="M29" s="5" t="n">
        <v>1</v>
      </c>
      <c r="N29" s="5" t="n"/>
      <c r="O29" s="5" t="n">
        <v>7711</v>
      </c>
      <c r="P29" s="5" t="n">
        <v>1</v>
      </c>
      <c r="Q29">
        <f>L29+IF(M29&gt;1,N(N29)*(M29-1),0)</f>
        <v/>
      </c>
      <c r="R29">
        <f>IFERROR(K29*MAX(M29,1)/Q29*P29,0)</f>
        <v/>
      </c>
      <c r="AA29" s="6" t="inlineStr">
        <is>
          <t>^LaserWeapon, ^HeavyMissile, ^HeavyAAWeapon, ^FlakWeapon, ^Chaingun, ^MediumCannon, ^Grenade, ^TankDestroyerCannon, ^ArrowWeapon</t>
        </is>
      </c>
    </row>
    <row r="30">
      <c r="B30" s="6" t="inlineStr">
        <is>
          <t xml:space="preserve">  ↳ wc2axeFirespear</t>
        </is>
      </c>
      <c r="C30" s="6" t="inlineStr">
        <is>
          <t>Armament@GARRISONED</t>
        </is>
      </c>
      <c r="K30" s="5" t="n">
        <v>4000</v>
      </c>
      <c r="L30" s="5" t="n">
        <v>40</v>
      </c>
      <c r="M30" s="5" t="n">
        <v>1</v>
      </c>
      <c r="N30" s="5" t="n"/>
      <c r="O30" s="5" t="n">
        <v>7711</v>
      </c>
      <c r="P30" s="5" t="n">
        <v>1</v>
      </c>
      <c r="Q30">
        <f>L30+IF(M30&gt;1,N(N30)*(M30-1),0)</f>
        <v/>
      </c>
      <c r="R30">
        <f>IFERROR(K30*MAX(M30,1)/Q30*P30,0)</f>
        <v/>
      </c>
      <c r="AA30" s="6" t="inlineStr">
        <is>
          <t>^LaserWeapon, ^HeavyMissile, ^HeavyAAWeapon, ^FlakWeapon, ^Chaingun, ^MediumCannon, ^Grenade, ^TankDestroyerCannon, ^ArrowWeapon</t>
        </is>
      </c>
    </row>
    <row r="31">
      <c r="A31" t="inlineStr">
        <is>
          <t>warcraft2</t>
        </is>
      </c>
      <c r="B31" t="inlineStr">
        <is>
          <t>wc2_orcs_warcraft3grunt</t>
        </is>
      </c>
      <c r="C31" t="inlineStr">
        <is>
          <t>Warcraft 3 Grunt</t>
        </is>
      </c>
      <c r="D31" t="inlineStr"/>
      <c r="E31" s="5" t="n">
        <v>120000</v>
      </c>
      <c r="F31" s="5" t="n">
        <v>70</v>
      </c>
      <c r="G31" t="inlineStr">
        <is>
          <t>Plate</t>
        </is>
      </c>
      <c r="H31" s="5" t="n">
        <v>1</v>
      </c>
      <c r="I31" s="5" t="n">
        <v>1</v>
      </c>
      <c r="J31" s="5" t="n">
        <v>1</v>
      </c>
      <c r="O31">
        <f>MAX(O32)</f>
        <v/>
      </c>
      <c r="R31">
        <f>R32</f>
        <v/>
      </c>
      <c r="S31">
        <f>(E31/100000+F31/100+(O31/1000)*J31/5+R31/200)*200*I31*H31</f>
        <v/>
      </c>
      <c r="T31">
        <f>((E31*F31/25000)+((O31/1000)*J31*R31/2.5))*I31*H31</f>
        <v/>
      </c>
      <c r="U31">
        <f>(E31*F31*(O31/1000)*J31*R31*I31*H31)/12500000</f>
        <v/>
      </c>
      <c r="V31">
        <f>(S31+T31+U31)/3</f>
        <v/>
      </c>
      <c r="W31" s="5" t="n">
        <v>1100</v>
      </c>
      <c r="X31">
        <f>IFERROR(V31-W31,"")</f>
        <v/>
      </c>
      <c r="Y31">
        <f>IFERROR(ABS(X31)/MAX(W31,1),"")</f>
        <v/>
      </c>
      <c r="Z31">
        <f>IFERROR((W31-(((E31/100000+F31/100+R31/200)*200*I31*H31)+((E31*F31/25000)*I31*H31))/3)/(((J31/5)*200*I31*H31)+((J31*R31/2.5)*I31*H31)+((E31*F31*J31*R31*I31*H31)/12500000))/3*1000,"")</f>
        <v/>
      </c>
    </row>
    <row r="32">
      <c r="B32" s="6" t="inlineStr">
        <is>
          <t xml:space="preserve">  ↳ wc2gruntslice2</t>
        </is>
      </c>
      <c r="C32" s="6" t="inlineStr">
        <is>
          <t>Armament</t>
        </is>
      </c>
      <c r="K32" s="5" t="n">
        <v>24000</v>
      </c>
      <c r="L32" s="5" t="n">
        <v>18</v>
      </c>
      <c r="M32" s="5" t="n">
        <v>1</v>
      </c>
      <c r="N32" s="5" t="n"/>
      <c r="O32" s="5" t="n">
        <v>1600</v>
      </c>
      <c r="P32" s="5" t="n">
        <v>1</v>
      </c>
      <c r="Q32">
        <f>L32+IF(M32&gt;1,N(N32)*(M32-1),0)</f>
        <v/>
      </c>
      <c r="R32">
        <f>IFERROR(K32*MAX(M32,1)/Q32*P32,0)</f>
        <v/>
      </c>
      <c r="AA32" s="6" t="inlineStr">
        <is>
          <t>^SwordWeapon</t>
        </is>
      </c>
    </row>
    <row r="33">
      <c r="A33" s="3" t="inlineStr">
        <is>
          <t>VEHICLES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>
      <c r="A34" t="inlineStr">
        <is>
          <t>warcraft2</t>
        </is>
      </c>
      <c r="B34" t="inlineStr">
        <is>
          <t>wc2_orcs_catapult</t>
        </is>
      </c>
      <c r="C34" t="inlineStr">
        <is>
          <t>Catapult</t>
        </is>
      </c>
      <c r="D34" t="inlineStr"/>
      <c r="E34" s="5" t="n">
        <v>40000</v>
      </c>
      <c r="F34" s="5" t="n">
        <v>40</v>
      </c>
      <c r="G34" t="inlineStr">
        <is>
          <t>Light</t>
        </is>
      </c>
      <c r="H34" s="5" t="n">
        <v>1</v>
      </c>
      <c r="I34" s="5" t="n">
        <v>0.5</v>
      </c>
      <c r="J34" s="5" t="n">
        <v>1</v>
      </c>
      <c r="O34">
        <f>MAX(O35)</f>
        <v/>
      </c>
      <c r="R34">
        <f>R35</f>
        <v/>
      </c>
      <c r="S34">
        <f>(E34/100000+F34/100+(O34/1000)*J34/5+R34/200)*200*I34*H34</f>
        <v/>
      </c>
      <c r="T34">
        <f>((E34*F34/25000)+((O34/1000)*J34*R34/2.5))*I34*H34</f>
        <v/>
      </c>
      <c r="U34">
        <f>(E34*F34*(O34/1000)*J34*R34*I34*H34)/12500000</f>
        <v/>
      </c>
      <c r="V34">
        <f>(S34+T34+U34)/3</f>
        <v/>
      </c>
      <c r="W34" s="5" t="n">
        <v>800</v>
      </c>
      <c r="X34">
        <f>IFERROR(V34-W34,"")</f>
        <v/>
      </c>
      <c r="Y34">
        <f>IFERROR(ABS(X34)/MAX(W34,1),"")</f>
        <v/>
      </c>
      <c r="Z34">
        <f>IFERROR((W34-(((E34/100000+F34/100+R34/200)*200*I34*H34)+((E34*F34/25000)*I34*H34))/3)/(((J34/5)*200*I34*H34)+((J34*R34/2.5)*I34*H34)+((E34*F34*J34*R34*I34*H34)/12500000))/3*1000,"")</f>
        <v/>
      </c>
    </row>
    <row r="35">
      <c r="B35" s="6" t="inlineStr">
        <is>
          <t xml:space="preserve">  ↳ wc2catapultFire</t>
        </is>
      </c>
      <c r="C35" s="6" t="inlineStr">
        <is>
          <t>Armament</t>
        </is>
      </c>
      <c r="K35" s="5" t="n">
        <v>30000</v>
      </c>
      <c r="L35" s="5" t="n">
        <v>240</v>
      </c>
      <c r="M35" s="5" t="n">
        <v>1</v>
      </c>
      <c r="N35" s="5" t="n"/>
      <c r="O35" s="5" t="n">
        <v>13400</v>
      </c>
      <c r="P35" s="5" t="n">
        <v>1</v>
      </c>
      <c r="Q35">
        <f>L35+IF(M35&gt;1,N(N35)*(M35-1),0)</f>
        <v/>
      </c>
      <c r="R35">
        <f>IFERROR(K35*MAX(M35,1)/Q35*P35,0)</f>
        <v/>
      </c>
      <c r="AA35" s="6" t="inlineStr">
        <is>
          <t>^Grenade, ^MediumFlameWeapon, ^ShrapnelWeapon, ^HeavyBomb</t>
        </is>
      </c>
    </row>
    <row r="36">
      <c r="A36" t="inlineStr">
        <is>
          <t>warcraft2</t>
        </is>
      </c>
      <c r="B36" t="inlineStr">
        <is>
          <t>wc2_orcs_goblinsappers</t>
        </is>
      </c>
      <c r="C36" t="inlineStr">
        <is>
          <t>Goblin Sappers</t>
        </is>
      </c>
      <c r="D36" t="inlineStr"/>
      <c r="E36" s="5" t="n">
        <v>40000</v>
      </c>
      <c r="F36" s="5" t="n">
        <v>80</v>
      </c>
      <c r="G36" t="inlineStr">
        <is>
          <t>Heavy</t>
        </is>
      </c>
      <c r="H36" s="5" t="n">
        <v>1</v>
      </c>
      <c r="I36" s="5" t="n">
        <v>1</v>
      </c>
      <c r="J36" s="5" t="n">
        <v>1</v>
      </c>
      <c r="O36">
        <f>MAX(O37,O38)</f>
        <v/>
      </c>
      <c r="R36">
        <f>R37+R38</f>
        <v/>
      </c>
      <c r="S36">
        <f>(E36/100000+F36/100+(O36/1000)*J36/5+R36/200)*200*I36*H36</f>
        <v/>
      </c>
      <c r="T36">
        <f>((E36*F36/25000)+((O36/1000)*J36*R36/2.5))*I36*H36</f>
        <v/>
      </c>
      <c r="U36">
        <f>(E36*F36*(O36/1000)*J36*R36*I36*H36)/12500000</f>
        <v/>
      </c>
      <c r="V36">
        <f>(S36+T36+U36)/3</f>
        <v/>
      </c>
      <c r="W36" s="5" t="n">
        <v>800</v>
      </c>
      <c r="X36">
        <f>IFERROR(V36-W36,"")</f>
        <v/>
      </c>
      <c r="Y36">
        <f>IFERROR(ABS(X36)/MAX(W36,1),"")</f>
        <v/>
      </c>
      <c r="Z36">
        <f>IFERROR((W36-(((E36/100000+F36/100+R36/200)*200*I36*H36)+((E36*F36/25000)*I36*H36))/3)/(((J36/5)*200*I36*H36)+((J36*R36/2.5)*I36*H36)+((E36*F36*J36*R36*I36*H36)/12500000))/3*1000,"")</f>
        <v/>
      </c>
    </row>
    <row r="37">
      <c r="B37" s="6" t="inlineStr">
        <is>
          <t xml:space="preserve">  ↳ wc2demolitionsquadTargeting</t>
        </is>
      </c>
      <c r="C37" s="6" t="inlineStr">
        <is>
          <t>Armament</t>
        </is>
      </c>
      <c r="K37" s="5" t="n"/>
      <c r="L37" s="5" t="n"/>
      <c r="M37" s="5" t="n">
        <v>1</v>
      </c>
      <c r="N37" s="5" t="n"/>
      <c r="O37" s="5" t="n">
        <v>1536</v>
      </c>
      <c r="P37" s="5" t="n">
        <v>1</v>
      </c>
      <c r="Q37">
        <f>L37+IF(M37&gt;1,N(N37)*(M37-1),0)</f>
        <v/>
      </c>
      <c r="R37">
        <f>IFERROR(K37*MAX(M37,1)/Q37*P37,0)</f>
        <v/>
      </c>
      <c r="AA37" s="6" t="inlineStr"/>
    </row>
    <row r="38">
      <c r="B38" s="6" t="inlineStr">
        <is>
          <t xml:space="preserve">  ↳ wc2demolitionsquadMelee</t>
        </is>
      </c>
      <c r="C38" s="6" t="inlineStr">
        <is>
          <t>Armament@Melee</t>
        </is>
      </c>
      <c r="K38" s="5" t="n">
        <v>12000</v>
      </c>
      <c r="L38" s="5" t="n">
        <v>15</v>
      </c>
      <c r="M38" s="5" t="n">
        <v>1</v>
      </c>
      <c r="N38" s="5" t="n"/>
      <c r="O38" s="5" t="n">
        <v>1333</v>
      </c>
      <c r="P38" s="5" t="n">
        <v>1</v>
      </c>
      <c r="Q38">
        <f>L38+IF(M38&gt;1,N(N38)*(M38-1),0)</f>
        <v/>
      </c>
      <c r="R38">
        <f>IFERROR(K38*MAX(M38,1)/Q38*P38,0)</f>
        <v/>
      </c>
      <c r="AA38" s="6" t="inlineStr">
        <is>
          <t>^SwordWeapon</t>
        </is>
      </c>
    </row>
    <row r="39">
      <c r="A39" t="inlineStr">
        <is>
          <t>warcraft2</t>
        </is>
      </c>
      <c r="B39" t="inlineStr">
        <is>
          <t>wc2_orcs_mobileconstructionvehicleorc</t>
        </is>
      </c>
      <c r="C39" t="inlineStr">
        <is>
          <t>Mobile Construction Vehicle (Orc)</t>
        </is>
      </c>
      <c r="D39" t="inlineStr"/>
      <c r="E39" s="5" t="n">
        <v>300000</v>
      </c>
      <c r="F39" s="5" t="n">
        <v>75</v>
      </c>
      <c r="G39" t="inlineStr">
        <is>
          <t>Plate</t>
        </is>
      </c>
      <c r="H39" s="5" t="n">
        <v>1</v>
      </c>
      <c r="I39" s="5" t="n">
        <v>1</v>
      </c>
      <c r="J39" s="5" t="n">
        <v>1</v>
      </c>
      <c r="W39" s="5" t="n">
        <v>5000</v>
      </c>
    </row>
    <row r="40">
      <c r="A40" t="inlineStr">
        <is>
          <t>warcraft2</t>
        </is>
      </c>
      <c r="B40" t="inlineStr">
        <is>
          <t>wc2_orcs_ogremage</t>
        </is>
      </c>
      <c r="C40" t="inlineStr">
        <is>
          <t>Ogre-Mage</t>
        </is>
      </c>
      <c r="D40" t="inlineStr"/>
      <c r="E40" s="5" t="n">
        <v>200000</v>
      </c>
      <c r="F40" s="5" t="n">
        <v>85</v>
      </c>
      <c r="G40" t="inlineStr">
        <is>
          <t>Heavy</t>
        </is>
      </c>
      <c r="H40" s="5" t="n">
        <v>1</v>
      </c>
      <c r="I40" s="5" t="n">
        <v>1</v>
      </c>
      <c r="J40" s="5" t="n">
        <v>1</v>
      </c>
      <c r="O40">
        <f>MAX(O41,O42,O43,O44)</f>
        <v/>
      </c>
      <c r="R40">
        <f>R41+R42+R43+R44</f>
        <v/>
      </c>
      <c r="S40">
        <f>(E40/100000+F40/100+(O40/1000)*J40/5+R40/200)*200*I40*H40</f>
        <v/>
      </c>
      <c r="T40">
        <f>((E40*F40/25000)+((O40/1000)*J40*R40/2.5))*I40*H40</f>
        <v/>
      </c>
      <c r="U40">
        <f>(E40*F40*(O40/1000)*J40*R40*I40*H40)/12500000</f>
        <v/>
      </c>
      <c r="V40">
        <f>(S40+T40+U40)/3</f>
        <v/>
      </c>
      <c r="W40" s="5" t="n">
        <v>1800</v>
      </c>
      <c r="X40">
        <f>IFERROR(V40-W40,"")</f>
        <v/>
      </c>
      <c r="Y40">
        <f>IFERROR(ABS(X40)/MAX(W40,1),"")</f>
        <v/>
      </c>
      <c r="Z40">
        <f>IFERROR((W40-(((E40/100000+F40/100+R40/200)*200*I40*H40)+((E40*F40/25000)*I40*H40))/3)/(((J40/5)*200*I40*H40)+((J40*R40/2.5)*I40*H40)+((E40*F40*J40*R40*I40*H40)/12500000))/3*1000,"")</f>
        <v/>
      </c>
    </row>
    <row r="41">
      <c r="B41" s="6" t="inlineStr">
        <is>
          <t xml:space="preserve">  ↳ wc2ogrepunch</t>
        </is>
      </c>
      <c r="C41" s="6" t="inlineStr">
        <is>
          <t>Armament</t>
        </is>
      </c>
      <c r="K41" s="5" t="n">
        <v>30000</v>
      </c>
      <c r="L41" s="5" t="n">
        <v>20</v>
      </c>
      <c r="M41" s="5" t="n">
        <v>1</v>
      </c>
      <c r="N41" s="5" t="n"/>
      <c r="O41" s="5" t="n">
        <v>1660</v>
      </c>
      <c r="P41" s="5" t="n">
        <v>1</v>
      </c>
      <c r="Q41">
        <f>L41+IF(M41&gt;1,N(N41)*(M41-1),0)</f>
        <v/>
      </c>
      <c r="R41">
        <f>IFERROR(K41*MAX(M41,1)/Q41*P41,0)</f>
        <v/>
      </c>
      <c r="AA41" s="6" t="inlineStr">
        <is>
          <t>^SwordWeapon</t>
        </is>
      </c>
    </row>
    <row r="42">
      <c r="B42" s="6" t="inlineStr">
        <is>
          <t xml:space="preserve">  ↳ wc2ogremageEyeOfKilrogg</t>
        </is>
      </c>
      <c r="C42" s="6" t="inlineStr">
        <is>
          <t>Armament@EYEOFKILROGG</t>
        </is>
      </c>
      <c r="K42" s="5" t="n">
        <v>0</v>
      </c>
      <c r="L42" s="5" t="n">
        <v>60</v>
      </c>
      <c r="M42" s="5" t="n">
        <v>1</v>
      </c>
      <c r="N42" s="5" t="n"/>
      <c r="O42" s="5" t="n">
        <v>5120</v>
      </c>
      <c r="P42" s="5" t="n">
        <v>1</v>
      </c>
      <c r="Q42">
        <f>L42+IF(M42&gt;1,N(N42)*(M42-1),0)</f>
        <v/>
      </c>
      <c r="R42">
        <f>IFERROR(K42*MAX(M42,1)/Q42*P42,0)</f>
        <v/>
      </c>
      <c r="AA42" s="6" t="inlineStr"/>
    </row>
    <row r="43">
      <c r="B43" s="6" t="inlineStr">
        <is>
          <t xml:space="preserve">  ↳ wc2ogremageBloodlust</t>
        </is>
      </c>
      <c r="C43" s="6" t="inlineStr">
        <is>
          <t>Armament@BLOODLUST</t>
        </is>
      </c>
      <c r="K43" s="5" t="n">
        <v>1</v>
      </c>
      <c r="L43" s="5" t="n">
        <v>60</v>
      </c>
      <c r="M43" s="5" t="n">
        <v>1</v>
      </c>
      <c r="N43" s="5" t="n"/>
      <c r="O43" s="5" t="n">
        <v>5120</v>
      </c>
      <c r="P43" s="5" t="n">
        <v>1</v>
      </c>
      <c r="Q43">
        <f>L43+IF(M43&gt;1,N(N43)*(M43-1),0)</f>
        <v/>
      </c>
      <c r="R43">
        <f>IFERROR(K43*MAX(M43,1)/Q43*P43,0)</f>
        <v/>
      </c>
      <c r="AA43" s="6" t="inlineStr"/>
    </row>
    <row r="44">
      <c r="B44" s="6" t="inlineStr">
        <is>
          <t xml:space="preserve">  ↳ wc2ogremageRunes</t>
        </is>
      </c>
      <c r="C44" s="6" t="inlineStr">
        <is>
          <t>Armament@RUNES</t>
        </is>
      </c>
      <c r="K44" s="5" t="n">
        <v>0</v>
      </c>
      <c r="L44" s="5" t="n">
        <v>60</v>
      </c>
      <c r="M44" s="5" t="n">
        <v>1</v>
      </c>
      <c r="N44" s="5" t="n"/>
      <c r="O44" s="5" t="n">
        <v>5120</v>
      </c>
      <c r="P44" s="5" t="n">
        <v>1</v>
      </c>
      <c r="Q44">
        <f>L44+IF(M44&gt;1,N(N44)*(M44-1),0)</f>
        <v/>
      </c>
      <c r="R44">
        <f>IFERROR(K44*MAX(M44,1)/Q44*P44,0)</f>
        <v/>
      </c>
      <c r="AA44" s="6" t="inlineStr"/>
    </row>
    <row r="45">
      <c r="A45" t="inlineStr">
        <is>
          <t>warcraft2</t>
        </is>
      </c>
      <c r="B45" t="inlineStr">
        <is>
          <t>wc2_orcs_peon</t>
        </is>
      </c>
      <c r="C45" t="inlineStr">
        <is>
          <t>Peon</t>
        </is>
      </c>
      <c r="D45" t="inlineStr"/>
      <c r="E45" s="5" t="n">
        <v>40000</v>
      </c>
      <c r="F45" s="5" t="n">
        <v>80</v>
      </c>
      <c r="G45" t="inlineStr">
        <is>
          <t>Light</t>
        </is>
      </c>
      <c r="H45" s="5" t="n">
        <v>1</v>
      </c>
      <c r="I45" s="5" t="n">
        <v>1</v>
      </c>
      <c r="J45" s="5" t="n">
        <v>1</v>
      </c>
      <c r="O45">
        <f>MAX(O46)</f>
        <v/>
      </c>
      <c r="R45">
        <f>R46</f>
        <v/>
      </c>
      <c r="S45">
        <f>(E45/100000+F45/100+(O45/1000)*J45/5+R45/200)*200*I45*H45</f>
        <v/>
      </c>
      <c r="T45">
        <f>((E45*F45/25000)+((O45/1000)*J45*R45/2.5))*I45*H45</f>
        <v/>
      </c>
      <c r="U45">
        <f>(E45*F45*(O45/1000)*J45*R45*I45*H45)/12500000</f>
        <v/>
      </c>
      <c r="V45">
        <f>(S45+T45+U45)/3</f>
        <v/>
      </c>
      <c r="W45" s="5" t="n">
        <v>500</v>
      </c>
      <c r="X45">
        <f>IFERROR(V45-W45,"")</f>
        <v/>
      </c>
      <c r="Y45">
        <f>IFERROR(ABS(X45)/MAX(W45,1),"")</f>
        <v/>
      </c>
      <c r="Z45">
        <f>IFERROR((W45-(((E45/100000+F45/100+R45/200)*200*I45*H45)+((E45*F45/25000)*I45*H45))/3)/(((J45/5)*200*I45*H45)+((J45*R45/2.5)*I45*H45)+((E45*F45*J45*R45*I45*H45)/12500000))/3*1000,"")</f>
        <v/>
      </c>
    </row>
    <row r="46">
      <c r="B46" s="6" t="inlineStr">
        <is>
          <t xml:space="preserve">  ↳ wc2peasantsmack</t>
        </is>
      </c>
      <c r="C46" s="6" t="inlineStr">
        <is>
          <t>Armament</t>
        </is>
      </c>
      <c r="K46" s="5" t="n">
        <v>12000</v>
      </c>
      <c r="L46" s="5" t="n">
        <v>15</v>
      </c>
      <c r="M46" s="5" t="n">
        <v>1</v>
      </c>
      <c r="N46" s="5" t="n"/>
      <c r="O46" s="5" t="n">
        <v>1333</v>
      </c>
      <c r="P46" s="5" t="n">
        <v>1</v>
      </c>
      <c r="Q46">
        <f>L46+IF(M46&gt;1,N(N46)*(M46-1),0)</f>
        <v/>
      </c>
      <c r="R46">
        <f>IFERROR(K46*MAX(M46,1)/Q46*P46,0)</f>
        <v/>
      </c>
      <c r="AA46" s="6" t="inlineStr">
        <is>
          <t>^SwordWeapon</t>
        </is>
      </c>
    </row>
    <row r="47">
      <c r="A47" t="inlineStr">
        <is>
          <t>warcraft2</t>
        </is>
      </c>
      <c r="B47" t="inlineStr">
        <is>
          <t>wc2_orcs_siegeengine</t>
        </is>
      </c>
      <c r="C47" t="inlineStr">
        <is>
          <t>Siege Engine</t>
        </is>
      </c>
      <c r="D47" t="inlineStr"/>
      <c r="E47" s="5" t="n">
        <v>70000</v>
      </c>
      <c r="F47" s="5" t="n">
        <v>70</v>
      </c>
      <c r="G47" t="inlineStr">
        <is>
          <t>Medium</t>
        </is>
      </c>
      <c r="H47" s="5" t="n">
        <v>1</v>
      </c>
      <c r="I47" s="5" t="n">
        <v>1</v>
      </c>
      <c r="J47" s="5" t="n">
        <v>1</v>
      </c>
      <c r="O47">
        <f>MAX(O48)</f>
        <v/>
      </c>
      <c r="R47">
        <f>R48</f>
        <v/>
      </c>
      <c r="S47">
        <f>(E47/100000+F47/100+(O47/1000)*J47/5+R47/200)*200*I47*H47</f>
        <v/>
      </c>
      <c r="T47">
        <f>((E47*F47/25000)+((O47/1000)*J47*R47/2.5))*I47*H47</f>
        <v/>
      </c>
      <c r="U47">
        <f>(E47*F47*(O47/1000)*J47*R47*I47*H47)/12500000</f>
        <v/>
      </c>
      <c r="V47">
        <f>(S47+T47+U47)/3</f>
        <v/>
      </c>
      <c r="W47" s="5" t="n">
        <v>1800</v>
      </c>
      <c r="X47">
        <f>IFERROR(V47-W47,"")</f>
        <v/>
      </c>
      <c r="Y47">
        <f>IFERROR(ABS(X47)/MAX(W47,1),"")</f>
        <v/>
      </c>
      <c r="Z47">
        <f>IFERROR((W47-(((E47/100000+F47/100+R47/200)*200*I47*H47)+((E47*F47/25000)*I47*H47))/3)/(((J47/5)*200*I47*H47)+((J47*R47/2.5)*I47*H47)+((E47*F47*J47*R47*I47*H47)/12500000))/3*1000,"")</f>
        <v/>
      </c>
    </row>
    <row r="48">
      <c r="B48" s="6" t="inlineStr">
        <is>
          <t xml:space="preserve">  ↳ SiegeEngineCannon</t>
        </is>
      </c>
      <c r="C48" s="6" t="inlineStr">
        <is>
          <t>Armament</t>
        </is>
      </c>
      <c r="K48" s="5" t="n">
        <v>10000</v>
      </c>
      <c r="L48" s="5" t="n">
        <v>100</v>
      </c>
      <c r="M48" s="5" t="n">
        <v>1</v>
      </c>
      <c r="N48" s="5" t="n"/>
      <c r="O48" s="5" t="n">
        <v>11200</v>
      </c>
      <c r="P48" s="5" t="n">
        <v>1</v>
      </c>
      <c r="Q48">
        <f>L48+IF(M48&gt;1,N(N48)*(M48-1),0)</f>
        <v/>
      </c>
      <c r="R48">
        <f>IFERROR(K48*MAX(M48,1)/Q48*P48,0)</f>
        <v/>
      </c>
      <c r="AA48" s="6" t="inlineStr">
        <is>
          <t>^NuclearWarhead, ^LightMissile, ^LightChemicalWeapon, ^MediumChemicalWeapon, ^HeavyChemicalWeapon, ^LightFlameWeapon, ^MediumFlameWeapon, ^HeavyFlameWeapon, ^Grenade, ^ShrapnelWeapon, ^HeavyBomb, ^HeavyCannon, ^MediumCannon, ^TankDestroyerCannon</t>
        </is>
      </c>
    </row>
    <row r="49">
      <c r="A49" s="3" t="inlineStr">
        <is>
          <t>AIRCRAFT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>
      <c r="A50" t="inlineStr">
        <is>
          <t>warcraft2</t>
        </is>
      </c>
      <c r="B50" t="inlineStr">
        <is>
          <t>wc2_orcs_dragon</t>
        </is>
      </c>
      <c r="C50" t="inlineStr">
        <is>
          <t>Dragon</t>
        </is>
      </c>
      <c r="D50" t="inlineStr"/>
      <c r="E50" s="5" t="n">
        <v>150000</v>
      </c>
      <c r="F50" s="5" t="n">
        <v>125</v>
      </c>
      <c r="G50" t="inlineStr">
        <is>
          <t>Spaceship</t>
        </is>
      </c>
      <c r="H50" s="5" t="n">
        <v>0.75</v>
      </c>
      <c r="I50" s="5" t="n">
        <v>1</v>
      </c>
      <c r="J50" s="5" t="n">
        <v>1.25</v>
      </c>
      <c r="O50">
        <f>MAX(O51,O52)</f>
        <v/>
      </c>
      <c r="R50">
        <f>R51+R52</f>
        <v/>
      </c>
      <c r="S50">
        <f>(E50/100000+F50/100+(O50/1000)*J50/5+R50/200)*200*I50*H50</f>
        <v/>
      </c>
      <c r="T50">
        <f>((E50*F50/25000)+((O50/1000)*J50*R50/2.5))*I50*H50</f>
        <v/>
      </c>
      <c r="U50">
        <f>(E50*F50*(O50/1000)*J50*R50*I50*H50)/12500000</f>
        <v/>
      </c>
      <c r="V50">
        <f>(S50+T50+U50)/3</f>
        <v/>
      </c>
      <c r="W50" s="5" t="n">
        <v>2000</v>
      </c>
      <c r="X50">
        <f>IFERROR(V50-W50,"")</f>
        <v/>
      </c>
      <c r="Y50">
        <f>IFERROR(ABS(X50)/MAX(W50,1),"")</f>
        <v/>
      </c>
      <c r="Z50">
        <f>IFERROR((W50-(((E50/100000+F50/100+R50/200)*200*I50*H50)+((E50*F50/25000)*I50*H50))/3)/(((J50/5)*200*I50*H50)+((J50*R50/2.5)*I50*H50)+((E50*F50*J50*R50*I50*H50)/12500000))/3*1000,"")</f>
        <v/>
      </c>
    </row>
    <row r="51">
      <c r="B51" s="6" t="inlineStr">
        <is>
          <t xml:space="preserve">  ↳ wc2dragonFireVisible</t>
        </is>
      </c>
      <c r="C51" s="6" t="inlineStr">
        <is>
          <t>Armament@VISIBLE</t>
        </is>
      </c>
      <c r="K51" s="5" t="n">
        <v>2000</v>
      </c>
      <c r="L51" s="5" t="n">
        <v>120</v>
      </c>
      <c r="M51" s="5" t="n">
        <v>2</v>
      </c>
      <c r="N51" s="5" t="n">
        <v>0</v>
      </c>
      <c r="O51" s="5" t="n">
        <v>5010</v>
      </c>
      <c r="P51" s="5" t="n">
        <v>1</v>
      </c>
      <c r="Q51">
        <f>L51+IF(M51&gt;1,N(N51)*(M51-1),0)</f>
        <v/>
      </c>
      <c r="R51">
        <f>IFERROR(K51*MAX(M51,1)/Q51*P51,0)</f>
        <v/>
      </c>
      <c r="AA51" s="6" t="inlineStr">
        <is>
          <t>^LightFlameWeapon, ^LightChemicalWeapon, ^MediumFlameWeapon, ^MediumChemicalWeapon, ^HeavyFlameWeapon, ^HeavyChemicalWeapon, ^TankDestroyerCannon, ^MediumCannon, ^HeavyCannon, ^Grenade, ^ShrapnelWeapon, ^HeavyBomb, ^MediumMissile, ^Chaingun, ^FlakWeapon</t>
        </is>
      </c>
    </row>
    <row r="52">
      <c r="B52" s="6" t="inlineStr">
        <is>
          <t xml:space="preserve">  ↳ wc2dragonFireExplosion</t>
        </is>
      </c>
      <c r="C52" s="6" t="inlineStr">
        <is>
          <t>Armament@EXPLOSIONS</t>
        </is>
      </c>
      <c r="K52" s="5" t="n">
        <v>2000</v>
      </c>
      <c r="L52" s="5" t="n">
        <v>120</v>
      </c>
      <c r="M52" s="5" t="n">
        <v>3</v>
      </c>
      <c r="N52" s="5" t="n">
        <v>0</v>
      </c>
      <c r="O52" s="5" t="n">
        <v>5010</v>
      </c>
      <c r="P52" s="5" t="n">
        <v>1</v>
      </c>
      <c r="Q52">
        <f>L52+IF(M52&gt;1,N(N52)*(M52-1),0)</f>
        <v/>
      </c>
      <c r="R52">
        <f>IFERROR(K52*MAX(M52,1)/Q52*P52,0)</f>
        <v/>
      </c>
      <c r="AA52" s="6" t="inlineStr">
        <is>
          <t>^LightFlameWeapon, ^LightChemicalWeapon, ^MediumFlameWeapon, ^MediumChemicalWeapon, ^HeavyFlameWeapon, ^HeavyChemicalWeapon, ^TankDestroyerCannon, ^MediumCannon, ^HeavyCannon, ^Grenade, ^ShrapnelWeapon, ^HeavyBomb, ^MediumMissile, ^Chaingun, ^FlakWeapon</t>
        </is>
      </c>
    </row>
    <row r="53">
      <c r="A53" t="inlineStr">
        <is>
          <t>warcraft2</t>
        </is>
      </c>
      <c r="B53" t="inlineStr">
        <is>
          <t>wc2_orcs_goblinzeppelin</t>
        </is>
      </c>
      <c r="C53" t="inlineStr">
        <is>
          <t>Goblin Zeppelin</t>
        </is>
      </c>
      <c r="D53" t="inlineStr"/>
      <c r="E53" s="5" t="n">
        <v>25000</v>
      </c>
      <c r="F53" s="5" t="n">
        <v>165</v>
      </c>
      <c r="G53" t="inlineStr">
        <is>
          <t>Helicopter</t>
        </is>
      </c>
      <c r="H53" s="5" t="n">
        <v>1</v>
      </c>
      <c r="I53" s="5" t="n">
        <v>1</v>
      </c>
      <c r="J53" s="5" t="n">
        <v>1</v>
      </c>
      <c r="W53" s="5" t="n">
        <v>350</v>
      </c>
    </row>
    <row r="54">
      <c r="A54" s="3" t="inlineStr">
        <is>
          <t>DEFENSES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>
      <c r="A55" t="inlineStr">
        <is>
          <t>warcraft2</t>
        </is>
      </c>
      <c r="B55" t="inlineStr">
        <is>
          <t>wc2_orcs_cannontower</t>
        </is>
      </c>
      <c r="C55" t="inlineStr">
        <is>
          <t>Cannon Tower</t>
        </is>
      </c>
      <c r="D55" t="inlineStr"/>
      <c r="E55" s="5" t="n">
        <v>100000</v>
      </c>
      <c r="F55" s="5" t="n">
        <v>100</v>
      </c>
      <c r="G55" t="inlineStr">
        <is>
          <t>Wood</t>
        </is>
      </c>
      <c r="H55" s="5" t="n">
        <v>1</v>
      </c>
      <c r="I55" s="5" t="n">
        <v>1</v>
      </c>
      <c r="J55" s="5" t="n">
        <v>1</v>
      </c>
      <c r="O55">
        <f>MAX(O56,O57)</f>
        <v/>
      </c>
      <c r="R55">
        <f>R56+R57</f>
        <v/>
      </c>
      <c r="S55">
        <f>(E55/100000+F55/100+(O55/1000)*J55/5+R55/200)*200*I55*H55</f>
        <v/>
      </c>
      <c r="T55">
        <f>((E55*F55/25000)+((O55/1000)*J55*R55/2.5))*I55*H55</f>
        <v/>
      </c>
      <c r="U55">
        <f>(E55*F55*(O55/1000)*J55*R55*I55*H55)/12500000</f>
        <v/>
      </c>
      <c r="V55">
        <f>(S55+T55+U55)/3</f>
        <v/>
      </c>
      <c r="W55" s="5" t="n">
        <v>1600</v>
      </c>
      <c r="X55">
        <f>IFERROR(V55-W55,"")</f>
        <v/>
      </c>
      <c r="Y55">
        <f>IFERROR(ABS(X55)/MAX(W55,1),"")</f>
        <v/>
      </c>
      <c r="Z55">
        <f>IFERROR((W55-(((E55/100000+F55/100+R55/200)*200*I55*H55)+((E55*F55/25000)*I55*H55))/3)/(((J55/5)*200*I55*H55)+((J55*R55/2.5)*I55*H55)+((E55*F55*J55*R55*I55*H55)/12500000))/3*1000,"")</f>
        <v/>
      </c>
    </row>
    <row r="56">
      <c r="B56" s="6" t="inlineStr">
        <is>
          <t xml:space="preserve">  ↳ wc2_tower_arrow</t>
        </is>
      </c>
      <c r="C56" s="6" t="inlineStr">
        <is>
          <t>Armament@guard</t>
        </is>
      </c>
      <c r="K56" s="5" t="n">
        <v>6000</v>
      </c>
      <c r="L56" s="5" t="n">
        <v>34</v>
      </c>
      <c r="M56" s="5" t="n">
        <v>1</v>
      </c>
      <c r="N56" s="5" t="n"/>
      <c r="O56" s="5" t="n">
        <v>8750</v>
      </c>
      <c r="P56" s="5" t="n">
        <v>1</v>
      </c>
      <c r="Q56">
        <f>L56+IF(M56&gt;1,N(N56)*(M56-1),0)</f>
        <v/>
      </c>
      <c r="R56">
        <f>IFERROR(K56*MAX(M56,1)/Q56*P56,0)</f>
        <v/>
      </c>
      <c r="AA56" s="6" t="inlineStr">
        <is>
          <t>^RailgunWeapon, ^Chaingun, ^ArrowWeapon</t>
        </is>
      </c>
    </row>
    <row r="57">
      <c r="B57" s="6" t="inlineStr">
        <is>
          <t xml:space="preserve">  ↳ wc2cannontowerFire</t>
        </is>
      </c>
      <c r="C57" s="6" t="inlineStr">
        <is>
          <t>Armament@cannon</t>
        </is>
      </c>
      <c r="K57" s="5" t="n">
        <v>4000</v>
      </c>
      <c r="L57" s="5" t="n">
        <v>90</v>
      </c>
      <c r="M57" s="5" t="n">
        <v>1</v>
      </c>
      <c r="N57" s="5" t="n"/>
      <c r="O57" s="5" t="n">
        <v>10500</v>
      </c>
      <c r="P57" s="5" t="n">
        <v>1</v>
      </c>
      <c r="Q57">
        <f>L57+IF(M57&gt;1,N(N57)*(M57-1),0)</f>
        <v/>
      </c>
      <c r="R57">
        <f>IFERROR(K57*MAX(M57,1)/Q57*P57,0)</f>
        <v/>
      </c>
      <c r="AA57" s="6" t="inlineStr">
        <is>
          <t>^LightFlameWeapon, ^LightChemicalWeapon, ^MediumFlameWeapon, ^MediumChemicalWeapon, ^HeavyFlameWeapon, ^HeavyChemicalWeapon, ^TankDestroyerCannon, ^MediumCannon, ^HeavyCannon, ^Grenade, ^ShrapnelWeapon, ^HeavyBomb, ^MediumMissile, ^Chaingun, ^FlakWeapon</t>
        </is>
      </c>
    </row>
    <row r="58">
      <c r="A58" t="inlineStr">
        <is>
          <t>warcraft2</t>
        </is>
      </c>
      <c r="B58" t="inlineStr">
        <is>
          <t>wc2_orcs_guardtower</t>
        </is>
      </c>
      <c r="C58" t="inlineStr">
        <is>
          <t>Guard Tower</t>
        </is>
      </c>
      <c r="D58" t="inlineStr"/>
      <c r="E58" s="5" t="n">
        <v>100000</v>
      </c>
      <c r="F58" s="5" t="n">
        <v>100</v>
      </c>
      <c r="G58" t="inlineStr">
        <is>
          <t>Wood</t>
        </is>
      </c>
      <c r="H58" s="5" t="n">
        <v>1</v>
      </c>
      <c r="I58" s="5" t="n">
        <v>1</v>
      </c>
      <c r="J58" s="5" t="n">
        <v>1</v>
      </c>
      <c r="O58">
        <f>MAX(O59,O60)</f>
        <v/>
      </c>
      <c r="R58">
        <f>R59+R60</f>
        <v/>
      </c>
      <c r="S58">
        <f>(E58/100000+F58/100+(O58/1000)*J58/5+R58/200)*200*I58*H58</f>
        <v/>
      </c>
      <c r="T58">
        <f>((E58*F58/25000)+((O58/1000)*J58*R58/2.5))*I58*H58</f>
        <v/>
      </c>
      <c r="U58">
        <f>(E58*F58*(O58/1000)*J58*R58*I58*H58)/12500000</f>
        <v/>
      </c>
      <c r="V58">
        <f>(S58+T58+U58)/3</f>
        <v/>
      </c>
      <c r="W58" s="5" t="n">
        <v>1600</v>
      </c>
      <c r="X58">
        <f>IFERROR(V58-W58,"")</f>
        <v/>
      </c>
      <c r="Y58">
        <f>IFERROR(ABS(X58)/MAX(W58,1),"")</f>
        <v/>
      </c>
      <c r="Z58">
        <f>IFERROR((W58-(((E58/100000+F58/100+R58/200)*200*I58*H58)+((E58*F58/25000)*I58*H58))/3)/(((J58/5)*200*I58*H58)+((J58*R58/2.5)*I58*H58)+((E58*F58*J58*R58*I58*H58)/12500000))/3*1000,"")</f>
        <v/>
      </c>
    </row>
    <row r="59">
      <c r="B59" s="6" t="inlineStr">
        <is>
          <t xml:space="preserve">  ↳ wc2_tower_arrow</t>
        </is>
      </c>
      <c r="C59" s="6" t="inlineStr">
        <is>
          <t>Armament@guard</t>
        </is>
      </c>
      <c r="K59" s="5" t="n">
        <v>6000</v>
      </c>
      <c r="L59" s="5" t="n">
        <v>34</v>
      </c>
      <c r="M59" s="5" t="n">
        <v>1</v>
      </c>
      <c r="N59" s="5" t="n"/>
      <c r="O59" s="5" t="n">
        <v>8750</v>
      </c>
      <c r="P59" s="5" t="n">
        <v>1</v>
      </c>
      <c r="Q59">
        <f>L59+IF(M59&gt;1,N(N59)*(M59-1),0)</f>
        <v/>
      </c>
      <c r="R59">
        <f>IFERROR(K59*MAX(M59,1)/Q59*P59,0)</f>
        <v/>
      </c>
      <c r="AA59" s="6" t="inlineStr">
        <is>
          <t>^RailgunWeapon, ^Chaingun, ^ArrowWeapon</t>
        </is>
      </c>
    </row>
    <row r="60">
      <c r="B60" s="6" t="inlineStr">
        <is>
          <t xml:space="preserve">  ↳ wc2cannontowerFire</t>
        </is>
      </c>
      <c r="C60" s="6" t="inlineStr">
        <is>
          <t>Armament@cannon</t>
        </is>
      </c>
      <c r="K60" s="5" t="n">
        <v>4000</v>
      </c>
      <c r="L60" s="5" t="n">
        <v>90</v>
      </c>
      <c r="M60" s="5" t="n">
        <v>1</v>
      </c>
      <c r="N60" s="5" t="n"/>
      <c r="O60" s="5" t="n">
        <v>10500</v>
      </c>
      <c r="P60" s="5" t="n">
        <v>1</v>
      </c>
      <c r="Q60">
        <f>L60+IF(M60&gt;1,N(N60)*(M60-1),0)</f>
        <v/>
      </c>
      <c r="R60">
        <f>IFERROR(K60*MAX(M60,1)/Q60*P60,0)</f>
        <v/>
      </c>
      <c r="AA60" s="6" t="inlineStr">
        <is>
          <t>^LightFlameWeapon, ^LightChemicalWeapon, ^MediumFlameWeapon, ^MediumChemicalWeapon, ^HeavyFlameWeapon, ^HeavyChemicalWeapon, ^TankDestroyerCannon, ^MediumCannon, ^HeavyCannon, ^Grenade, ^ShrapnelWeapon, ^HeavyBomb, ^MediumMissile, ^Chaingun, ^FlakWeapon</t>
        </is>
      </c>
    </row>
    <row r="61">
      <c r="A61" t="inlineStr">
        <is>
          <t>warcraft2</t>
        </is>
      </c>
      <c r="B61" t="inlineStr">
        <is>
          <t>wc2_orcs_orcwatchtower</t>
        </is>
      </c>
      <c r="C61" t="inlineStr">
        <is>
          <t>Orc Watch Tower</t>
        </is>
      </c>
      <c r="D61" t="inlineStr"/>
      <c r="E61" s="5" t="n">
        <v>100000</v>
      </c>
      <c r="F61" s="5" t="n">
        <v>100</v>
      </c>
      <c r="G61" t="inlineStr">
        <is>
          <t>Wood</t>
        </is>
      </c>
      <c r="H61" s="5" t="n">
        <v>1</v>
      </c>
      <c r="I61" s="5" t="n">
        <v>1</v>
      </c>
      <c r="J61" s="5" t="n">
        <v>1</v>
      </c>
      <c r="O61">
        <f>MAX(O62,O63)</f>
        <v/>
      </c>
      <c r="R61">
        <f>R62+R63</f>
        <v/>
      </c>
      <c r="S61">
        <f>(E61/100000+F61/100+(O61/1000)*J61/5+R61/200)*200*I61*H61</f>
        <v/>
      </c>
      <c r="T61">
        <f>((E61*F61/25000)+((O61/1000)*J61*R61/2.5))*I61*H61</f>
        <v/>
      </c>
      <c r="U61">
        <f>(E61*F61*(O61/1000)*J61*R61*I61*H61)/12500000</f>
        <v/>
      </c>
      <c r="V61">
        <f>(S61+T61+U61)/3</f>
        <v/>
      </c>
      <c r="W61" s="5" t="n">
        <v>1200</v>
      </c>
      <c r="X61">
        <f>IFERROR(V61-W61,"")</f>
        <v/>
      </c>
      <c r="Y61">
        <f>IFERROR(ABS(X61)/MAX(W61,1),"")</f>
        <v/>
      </c>
      <c r="Z61">
        <f>IFERROR((W61-(((E61/100000+F61/100+R61/200)*200*I61*H61)+((E61*F61/25000)*I61*H61))/3)/(((J61/5)*200*I61*H61)+((J61*R61/2.5)*I61*H61)+((E61*F61*J61*R61*I61*H61)/12500000))/3*1000,"")</f>
        <v/>
      </c>
    </row>
    <row r="62">
      <c r="B62" s="6" t="inlineStr">
        <is>
          <t xml:space="preserve">  ↳ wc2_tower_arrow</t>
        </is>
      </c>
      <c r="C62" s="6" t="inlineStr">
        <is>
          <t>Armament@guard</t>
        </is>
      </c>
      <c r="K62" s="5" t="n">
        <v>6000</v>
      </c>
      <c r="L62" s="5" t="n">
        <v>34</v>
      </c>
      <c r="M62" s="5" t="n">
        <v>1</v>
      </c>
      <c r="N62" s="5" t="n"/>
      <c r="O62" s="5" t="n">
        <v>8750</v>
      </c>
      <c r="P62" s="5" t="n">
        <v>1</v>
      </c>
      <c r="Q62">
        <f>L62+IF(M62&gt;1,N(N62)*(M62-1),0)</f>
        <v/>
      </c>
      <c r="R62">
        <f>IFERROR(K62*MAX(M62,1)/Q62*P62,0)</f>
        <v/>
      </c>
      <c r="AA62" s="6" t="inlineStr">
        <is>
          <t>^RailgunWeapon, ^Chaingun, ^ArrowWeapon</t>
        </is>
      </c>
    </row>
    <row r="63">
      <c r="B63" s="6" t="inlineStr">
        <is>
          <t xml:space="preserve">  ↳ wc2cannontowerFire</t>
        </is>
      </c>
      <c r="C63" s="6" t="inlineStr">
        <is>
          <t>Armament@cannon</t>
        </is>
      </c>
      <c r="K63" s="5" t="n">
        <v>4000</v>
      </c>
      <c r="L63" s="5" t="n">
        <v>90</v>
      </c>
      <c r="M63" s="5" t="n">
        <v>1</v>
      </c>
      <c r="N63" s="5" t="n"/>
      <c r="O63" s="5" t="n">
        <v>10500</v>
      </c>
      <c r="P63" s="5" t="n">
        <v>1</v>
      </c>
      <c r="Q63">
        <f>L63+IF(M63&gt;1,N(N63)*(M63-1),0)</f>
        <v/>
      </c>
      <c r="R63">
        <f>IFERROR(K63*MAX(M63,1)/Q63*P63,0)</f>
        <v/>
      </c>
      <c r="AA63" s="6" t="inlineStr">
        <is>
          <t>^LightFlameWeapon, ^LightChemicalWeapon, ^MediumFlameWeapon, ^MediumChemicalWeapon, ^HeavyFlameWeapon, ^HeavyChemicalWeapon, ^TankDestroyerCannon, ^MediumCannon, ^HeavyCannon, ^Grenade, ^ShrapnelWeapon, ^HeavyBomb, ^MediumMissile, ^Chaingun, ^FlakWeapon</t>
        </is>
      </c>
    </row>
    <row r="64">
      <c r="A64" t="inlineStr">
        <is>
          <t>warcraft2</t>
        </is>
      </c>
      <c r="B64" t="inlineStr">
        <is>
          <t>wc2_orcs_wall</t>
        </is>
      </c>
      <c r="C64" t="inlineStr">
        <is>
          <t>Wall</t>
        </is>
      </c>
      <c r="D64" t="inlineStr"/>
      <c r="E64" s="5" t="n">
        <v>25000</v>
      </c>
      <c r="F64" s="5" t="n">
        <v>100</v>
      </c>
      <c r="G64" t="inlineStr">
        <is>
          <t>Heavy</t>
        </is>
      </c>
      <c r="H64" s="5" t="n">
        <v>1</v>
      </c>
      <c r="I64" s="5" t="n">
        <v>1</v>
      </c>
      <c r="J64" s="5" t="n">
        <v>1</v>
      </c>
      <c r="W64" s="5" t="n">
        <v>300</v>
      </c>
    </row>
    <row r="65">
      <c r="A65" s="3" t="inlineStr">
        <is>
          <t>BUILDINGS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>
      <c r="A66" t="inlineStr">
        <is>
          <t>warcraft2</t>
        </is>
      </c>
      <c r="B66" t="inlineStr">
        <is>
          <t>wc2_orcs_altarofstorms</t>
        </is>
      </c>
      <c r="C66" t="inlineStr">
        <is>
          <t>Altar of Storms</t>
        </is>
      </c>
      <c r="D66" t="inlineStr"/>
      <c r="E66" s="5" t="n">
        <v>250000</v>
      </c>
      <c r="F66" s="5" t="n"/>
      <c r="G66" t="inlineStr">
        <is>
          <t>Wood</t>
        </is>
      </c>
      <c r="H66" s="5" t="n">
        <v>1</v>
      </c>
      <c r="I66" s="5" t="n">
        <v>1</v>
      </c>
      <c r="J66" s="5" t="n">
        <v>1</v>
      </c>
      <c r="W66" s="5" t="n">
        <v>2500</v>
      </c>
    </row>
    <row r="67">
      <c r="A67" t="inlineStr">
        <is>
          <t>warcraft2</t>
        </is>
      </c>
      <c r="B67" t="inlineStr">
        <is>
          <t>wc2_orcs_barracks</t>
        </is>
      </c>
      <c r="C67" t="inlineStr">
        <is>
          <t>Barracks</t>
        </is>
      </c>
      <c r="D67" t="inlineStr"/>
      <c r="E67" s="5" t="n">
        <v>200000</v>
      </c>
      <c r="F67" s="5" t="n"/>
      <c r="G67" t="inlineStr">
        <is>
          <t>Wood</t>
        </is>
      </c>
      <c r="H67" s="5" t="n">
        <v>1</v>
      </c>
      <c r="I67" s="5" t="n">
        <v>1</v>
      </c>
      <c r="J67" s="5" t="n">
        <v>1</v>
      </c>
      <c r="W67" s="5" t="n">
        <v>1000</v>
      </c>
    </row>
    <row r="68">
      <c r="A68" t="inlineStr">
        <is>
          <t>warcraft2</t>
        </is>
      </c>
      <c r="B68" t="inlineStr">
        <is>
          <t>wc2_orcs_blacksmith</t>
        </is>
      </c>
      <c r="C68" t="inlineStr">
        <is>
          <t>Blacksmith</t>
        </is>
      </c>
      <c r="D68" t="inlineStr"/>
      <c r="E68" s="5" t="n">
        <v>250000</v>
      </c>
      <c r="F68" s="5" t="n"/>
      <c r="G68" t="inlineStr">
        <is>
          <t>Wood</t>
        </is>
      </c>
      <c r="H68" s="5" t="n">
        <v>1</v>
      </c>
      <c r="I68" s="5" t="n">
        <v>1</v>
      </c>
      <c r="J68" s="5" t="n">
        <v>1</v>
      </c>
      <c r="W68" s="5" t="n">
        <v>2500</v>
      </c>
    </row>
    <row r="69">
      <c r="A69" t="inlineStr">
        <is>
          <t>warcraft2</t>
        </is>
      </c>
      <c r="B69" t="inlineStr">
        <is>
          <t>wc2_orcs_cannontower_2</t>
        </is>
      </c>
      <c r="C69" t="inlineStr">
        <is>
          <t>Upgraded Cannon Tower</t>
        </is>
      </c>
      <c r="D69" t="inlineStr"/>
      <c r="E69" s="5" t="n"/>
      <c r="F69" s="5" t="n"/>
      <c r="H69" s="5" t="n">
        <v>1</v>
      </c>
      <c r="I69" s="5" t="n">
        <v>1</v>
      </c>
      <c r="J69" s="5" t="n">
        <v>1</v>
      </c>
      <c r="W69" s="5" t="n">
        <v>600</v>
      </c>
    </row>
    <row r="70">
      <c r="A70" t="inlineStr">
        <is>
          <t>warcraft2</t>
        </is>
      </c>
      <c r="B70" t="inlineStr">
        <is>
          <t>wc2_orcs_dragonroost</t>
        </is>
      </c>
      <c r="C70" t="inlineStr">
        <is>
          <t>Dragon Roost</t>
        </is>
      </c>
      <c r="D70" t="inlineStr"/>
      <c r="E70" s="5" t="n">
        <v>300000</v>
      </c>
      <c r="F70" s="5" t="n"/>
      <c r="G70" t="inlineStr">
        <is>
          <t>Wood</t>
        </is>
      </c>
      <c r="H70" s="5" t="n">
        <v>1</v>
      </c>
      <c r="I70" s="5" t="n">
        <v>1</v>
      </c>
      <c r="J70" s="5" t="n">
        <v>1</v>
      </c>
      <c r="W70" s="5" t="n">
        <v>1500</v>
      </c>
    </row>
    <row r="71">
      <c r="A71" t="inlineStr">
        <is>
          <t>warcraft2</t>
        </is>
      </c>
      <c r="B71" t="inlineStr">
        <is>
          <t>wc2_orcs_fortress</t>
        </is>
      </c>
      <c r="C71" t="inlineStr">
        <is>
          <t>Fortress</t>
        </is>
      </c>
      <c r="D71" t="inlineStr"/>
      <c r="E71" s="5" t="n"/>
      <c r="F71" s="5" t="n"/>
      <c r="H71" s="5" t="n">
        <v>1</v>
      </c>
      <c r="I71" s="5" t="n">
        <v>1</v>
      </c>
      <c r="J71" s="5" t="n">
        <v>1</v>
      </c>
      <c r="W71" s="5" t="n">
        <v>5000</v>
      </c>
    </row>
    <row r="72">
      <c r="A72" t="inlineStr">
        <is>
          <t>warcraft2</t>
        </is>
      </c>
      <c r="B72" t="inlineStr">
        <is>
          <t>wc2_orcs_golbinalchemist</t>
        </is>
      </c>
      <c r="C72" t="inlineStr">
        <is>
          <t>Golbin Alchemist</t>
        </is>
      </c>
      <c r="D72" t="inlineStr"/>
      <c r="E72" s="5" t="n">
        <v>400000</v>
      </c>
      <c r="F72" s="5" t="n"/>
      <c r="G72" t="inlineStr">
        <is>
          <t>Concrete</t>
        </is>
      </c>
      <c r="H72" s="5" t="n">
        <v>1</v>
      </c>
      <c r="I72" s="5" t="n">
        <v>1</v>
      </c>
      <c r="J72" s="5" t="n">
        <v>1</v>
      </c>
      <c r="W72" s="5" t="n">
        <v>2000</v>
      </c>
    </row>
    <row r="73">
      <c r="A73" t="inlineStr">
        <is>
          <t>warcraft2</t>
        </is>
      </c>
      <c r="B73" t="inlineStr">
        <is>
          <t>wc2_orcs_greathall</t>
        </is>
      </c>
      <c r="C73" t="inlineStr">
        <is>
          <t>Great Hall</t>
        </is>
      </c>
      <c r="D73" t="inlineStr"/>
      <c r="E73" s="5" t="n">
        <v>1000000</v>
      </c>
      <c r="F73" s="5" t="n"/>
      <c r="G73" t="inlineStr">
        <is>
          <t>Concrete</t>
        </is>
      </c>
      <c r="H73" s="5" t="n">
        <v>1</v>
      </c>
      <c r="I73" s="5" t="n">
        <v>1</v>
      </c>
      <c r="J73" s="5" t="n">
        <v>1</v>
      </c>
      <c r="W73" s="5" t="n">
        <v>5000</v>
      </c>
    </row>
    <row r="74">
      <c r="A74" t="inlineStr">
        <is>
          <t>warcraft2</t>
        </is>
      </c>
      <c r="B74" t="inlineStr">
        <is>
          <t>wc2_orcs_guardtower_2</t>
        </is>
      </c>
      <c r="C74" t="inlineStr">
        <is>
          <t>Upgraded Guard Tower</t>
        </is>
      </c>
      <c r="D74" t="inlineStr"/>
      <c r="E74" s="5" t="n"/>
      <c r="F74" s="5" t="n"/>
      <c r="H74" s="5" t="n">
        <v>1</v>
      </c>
      <c r="I74" s="5" t="n">
        <v>1</v>
      </c>
      <c r="J74" s="5" t="n">
        <v>1</v>
      </c>
      <c r="W74" s="5" t="n">
        <v>600</v>
      </c>
    </row>
    <row r="75">
      <c r="A75" t="inlineStr">
        <is>
          <t>warcraft2</t>
        </is>
      </c>
      <c r="B75" t="inlineStr">
        <is>
          <t>wc2_orcs_ogremound</t>
        </is>
      </c>
      <c r="C75" t="inlineStr">
        <is>
          <t>Ogre Mound</t>
        </is>
      </c>
      <c r="D75" t="inlineStr"/>
      <c r="E75" s="5" t="n">
        <v>250000</v>
      </c>
      <c r="F75" s="5" t="n"/>
      <c r="G75" t="inlineStr">
        <is>
          <t>Wood</t>
        </is>
      </c>
      <c r="H75" s="5" t="n">
        <v>1</v>
      </c>
      <c r="I75" s="5" t="n">
        <v>1</v>
      </c>
      <c r="J75" s="5" t="n">
        <v>1</v>
      </c>
      <c r="W75" s="5" t="n">
        <v>2500</v>
      </c>
    </row>
    <row r="76">
      <c r="A76" t="inlineStr">
        <is>
          <t>warcraft2</t>
        </is>
      </c>
      <c r="B76" t="inlineStr">
        <is>
          <t>wc2_orcs_orcgoldmine</t>
        </is>
      </c>
      <c r="C76" t="inlineStr">
        <is>
          <t>Orc Gold Mine</t>
        </is>
      </c>
      <c r="D76" t="inlineStr"/>
      <c r="E76" s="5" t="n">
        <v>1000000</v>
      </c>
      <c r="F76" s="5" t="n"/>
      <c r="G76" t="inlineStr">
        <is>
          <t>Concrete</t>
        </is>
      </c>
      <c r="H76" s="5" t="n">
        <v>1</v>
      </c>
      <c r="I76" s="5" t="n">
        <v>1</v>
      </c>
      <c r="J76" s="5" t="n">
        <v>1</v>
      </c>
      <c r="W76" s="5" t="n">
        <v>10000</v>
      </c>
    </row>
    <row r="77">
      <c r="A77" t="inlineStr">
        <is>
          <t>warcraft2</t>
        </is>
      </c>
      <c r="B77" t="inlineStr">
        <is>
          <t>wc2_orcs_orcgoldmine_2</t>
        </is>
      </c>
      <c r="C77" t="inlineStr">
        <is>
          <t>Orc Gold Mine</t>
        </is>
      </c>
      <c r="D77" t="inlineStr"/>
      <c r="E77" s="5" t="n">
        <v>1000000</v>
      </c>
      <c r="F77" s="5" t="n"/>
      <c r="G77" t="inlineStr">
        <is>
          <t>Concrete</t>
        </is>
      </c>
      <c r="H77" s="5" t="n">
        <v>1</v>
      </c>
      <c r="I77" s="5" t="n">
        <v>1</v>
      </c>
      <c r="J77" s="5" t="n">
        <v>1</v>
      </c>
      <c r="W77" s="5" t="n">
        <v>15000</v>
      </c>
    </row>
    <row r="78">
      <c r="A78" t="inlineStr">
        <is>
          <t>warcraft2</t>
        </is>
      </c>
      <c r="B78" t="inlineStr">
        <is>
          <t>wc2_orcs_pigfarm</t>
        </is>
      </c>
      <c r="C78" t="inlineStr">
        <is>
          <t>Pigfarm</t>
        </is>
      </c>
      <c r="D78" t="inlineStr"/>
      <c r="E78" s="5" t="n">
        <v>250000</v>
      </c>
      <c r="F78" s="5" t="n"/>
      <c r="G78" t="inlineStr">
        <is>
          <t>Wood</t>
        </is>
      </c>
      <c r="H78" s="5" t="n">
        <v>1</v>
      </c>
      <c r="I78" s="5" t="n">
        <v>1</v>
      </c>
      <c r="J78" s="5" t="n">
        <v>1</v>
      </c>
      <c r="W78" s="5" t="n">
        <v>1000</v>
      </c>
    </row>
    <row r="79">
      <c r="A79" t="inlineStr">
        <is>
          <t>warcraft2</t>
        </is>
      </c>
      <c r="B79" t="inlineStr">
        <is>
          <t>wc2_orcs_stronghold</t>
        </is>
      </c>
      <c r="C79" t="inlineStr">
        <is>
          <t>Stronghold</t>
        </is>
      </c>
      <c r="D79" t="inlineStr"/>
      <c r="E79" s="5" t="n"/>
      <c r="F79" s="5" t="n"/>
      <c r="H79" s="5" t="n">
        <v>1</v>
      </c>
      <c r="I79" s="5" t="n">
        <v>1</v>
      </c>
      <c r="J79" s="5" t="n">
        <v>1</v>
      </c>
      <c r="W79" s="5" t="n">
        <v>2500</v>
      </c>
    </row>
    <row r="80">
      <c r="A80" t="inlineStr">
        <is>
          <t>warcraft2</t>
        </is>
      </c>
      <c r="B80" t="inlineStr">
        <is>
          <t>wc2_orcs_templeofthedamned</t>
        </is>
      </c>
      <c r="C80" t="inlineStr">
        <is>
          <t>Temple of the Damned</t>
        </is>
      </c>
      <c r="D80" t="inlineStr"/>
      <c r="E80" s="5" t="n">
        <v>1000000</v>
      </c>
      <c r="F80" s="5" t="n"/>
      <c r="G80" t="inlineStr">
        <is>
          <t>Concrete</t>
        </is>
      </c>
      <c r="H80" s="5" t="n">
        <v>1</v>
      </c>
      <c r="I80" s="5" t="n">
        <v>1</v>
      </c>
      <c r="J80" s="5" t="n">
        <v>1</v>
      </c>
      <c r="W80" s="5" t="n">
        <v>10000</v>
      </c>
    </row>
    <row r="81">
      <c r="A81" t="inlineStr">
        <is>
          <t>warcraft2</t>
        </is>
      </c>
      <c r="B81" t="inlineStr">
        <is>
          <t>wc2_orcs_trolllumbermill</t>
        </is>
      </c>
      <c r="C81" t="inlineStr">
        <is>
          <t>Troll Lumbermill</t>
        </is>
      </c>
      <c r="D81" t="inlineStr"/>
      <c r="E81" s="5" t="n">
        <v>300000</v>
      </c>
      <c r="F81" s="5" t="n"/>
      <c r="G81" t="inlineStr">
        <is>
          <t>Concrete</t>
        </is>
      </c>
      <c r="H81" s="5" t="n">
        <v>1</v>
      </c>
      <c r="I81" s="5" t="n">
        <v>1</v>
      </c>
      <c r="J81" s="5" t="n">
        <v>1</v>
      </c>
      <c r="W81" s="5" t="n">
        <v>3000</v>
      </c>
    </row>
    <row r="82">
      <c r="A82" s="3" t="inlineStr">
        <is>
          <t>UPGRADES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>
      <c r="A83" t="inlineStr">
        <is>
          <t>warcraft2</t>
        </is>
      </c>
      <c r="B83" t="inlineStr">
        <is>
          <t>wc2_orcs_upgrade_armorstrength</t>
        </is>
      </c>
      <c r="C83" t="inlineStr">
        <is>
          <t>Armor Strength</t>
        </is>
      </c>
      <c r="D83" t="inlineStr"/>
      <c r="E83" s="5" t="n"/>
      <c r="F83" s="5" t="n"/>
      <c r="H83" s="5" t="n">
        <v>1</v>
      </c>
      <c r="I83" s="5" t="n">
        <v>1</v>
      </c>
      <c r="J83" s="5" t="n">
        <v>1</v>
      </c>
      <c r="W83" s="5" t="n">
        <v>2500</v>
      </c>
    </row>
    <row r="84">
      <c r="A84" t="inlineStr">
        <is>
          <t>warcraft2</t>
        </is>
      </c>
      <c r="B84" t="inlineStr">
        <is>
          <t>wc2_orcs_upgrade_armorstrengthii</t>
        </is>
      </c>
      <c r="C84" t="inlineStr">
        <is>
          <t>Armor Strength II</t>
        </is>
      </c>
      <c r="D84" t="inlineStr"/>
      <c r="E84" s="5" t="n"/>
      <c r="F84" s="5" t="n"/>
      <c r="H84" s="5" t="n">
        <v>1</v>
      </c>
      <c r="I84" s="5" t="n">
        <v>1</v>
      </c>
      <c r="J84" s="5" t="n">
        <v>1</v>
      </c>
      <c r="W84" s="5" t="n">
        <v>5000</v>
      </c>
    </row>
    <row r="85">
      <c r="A85" t="inlineStr">
        <is>
          <t>warcraft2</t>
        </is>
      </c>
      <c r="B85" t="inlineStr">
        <is>
          <t>wc2_orcs_upgrade_axestrength</t>
        </is>
      </c>
      <c r="C85" t="inlineStr">
        <is>
          <t>Axe Strength</t>
        </is>
      </c>
      <c r="D85" t="inlineStr"/>
      <c r="E85" s="5" t="n"/>
      <c r="F85" s="5" t="n"/>
      <c r="H85" s="5" t="n">
        <v>1</v>
      </c>
      <c r="I85" s="5" t="n">
        <v>1</v>
      </c>
      <c r="J85" s="5" t="n">
        <v>1</v>
      </c>
      <c r="W85" s="5" t="n">
        <v>2500</v>
      </c>
    </row>
    <row r="86">
      <c r="A86" t="inlineStr">
        <is>
          <t>warcraft2</t>
        </is>
      </c>
      <c r="B86" t="inlineStr">
        <is>
          <t>wc2_orcs_upgrade_axestrengthii</t>
        </is>
      </c>
      <c r="C86" t="inlineStr">
        <is>
          <t>Axe Strength II</t>
        </is>
      </c>
      <c r="D86" t="inlineStr"/>
      <c r="E86" s="5" t="n"/>
      <c r="F86" s="5" t="n"/>
      <c r="H86" s="5" t="n">
        <v>1</v>
      </c>
      <c r="I86" s="5" t="n">
        <v>1</v>
      </c>
      <c r="J86" s="5" t="n">
        <v>1</v>
      </c>
      <c r="W86" s="5" t="n">
        <v>5000</v>
      </c>
    </row>
    <row r="87">
      <c r="A87" t="inlineStr">
        <is>
          <t>warcraft2</t>
        </is>
      </c>
      <c r="B87" t="inlineStr">
        <is>
          <t>wc2_orcs_upgrade_berserker</t>
        </is>
      </c>
      <c r="C87" t="inlineStr">
        <is>
          <t>Berserker</t>
        </is>
      </c>
      <c r="D87" t="inlineStr"/>
      <c r="E87" s="5" t="n"/>
      <c r="F87" s="5" t="n"/>
      <c r="H87" s="5" t="n">
        <v>1</v>
      </c>
      <c r="I87" s="5" t="n">
        <v>1</v>
      </c>
      <c r="J87" s="5" t="n">
        <v>1</v>
      </c>
      <c r="W87" s="5" t="n">
        <v>2500</v>
      </c>
    </row>
    <row r="88">
      <c r="A88" t="inlineStr">
        <is>
          <t>warcraft2</t>
        </is>
      </c>
      <c r="B88" t="inlineStr">
        <is>
          <t>wc2_orcs_upgrade_berserkerlightaxes</t>
        </is>
      </c>
      <c r="C88" t="inlineStr">
        <is>
          <t>Berserker Light Axes</t>
        </is>
      </c>
      <c r="D88" t="inlineStr"/>
      <c r="E88" s="5" t="n"/>
      <c r="F88" s="5" t="n"/>
      <c r="H88" s="5" t="n">
        <v>1</v>
      </c>
      <c r="I88" s="5" t="n">
        <v>1</v>
      </c>
      <c r="J88" s="5" t="n">
        <v>1</v>
      </c>
      <c r="W88" s="5" t="n">
        <v>2500</v>
      </c>
    </row>
    <row r="89">
      <c r="A89" t="inlineStr">
        <is>
          <t>warcraft2</t>
        </is>
      </c>
      <c r="B89" t="inlineStr">
        <is>
          <t>wc2_orcs_upgrade_berserkerregeneration</t>
        </is>
      </c>
      <c r="C89" t="inlineStr">
        <is>
          <t>Berserker Regeneration</t>
        </is>
      </c>
      <c r="D89" t="inlineStr"/>
      <c r="E89" s="5" t="n"/>
      <c r="F89" s="5" t="n"/>
      <c r="H89" s="5" t="n">
        <v>1</v>
      </c>
      <c r="I89" s="5" t="n">
        <v>1</v>
      </c>
      <c r="J89" s="5" t="n">
        <v>1</v>
      </c>
      <c r="W89" s="5" t="n">
        <v>2500</v>
      </c>
    </row>
    <row r="90">
      <c r="A90" t="inlineStr">
        <is>
          <t>warcraft2</t>
        </is>
      </c>
      <c r="B90" t="inlineStr">
        <is>
          <t>wc2_orcs_upgrade_berserkerscouting</t>
        </is>
      </c>
      <c r="C90" t="inlineStr">
        <is>
          <t>Berserker Scouting</t>
        </is>
      </c>
      <c r="D90" t="inlineStr"/>
      <c r="E90" s="5" t="n"/>
      <c r="F90" s="5" t="n"/>
      <c r="H90" s="5" t="n">
        <v>1</v>
      </c>
      <c r="I90" s="5" t="n">
        <v>1</v>
      </c>
      <c r="J90" s="5" t="n">
        <v>1</v>
      </c>
      <c r="W90" s="5" t="n">
        <v>2500</v>
      </c>
    </row>
    <row r="91">
      <c r="A91" t="inlineStr">
        <is>
          <t>warcraft2</t>
        </is>
      </c>
      <c r="B91" t="inlineStr">
        <is>
          <t>wc2_orcs_upgrade_bestfarm</t>
        </is>
      </c>
      <c r="C91" t="inlineStr">
        <is>
          <t>Best Farm</t>
        </is>
      </c>
      <c r="D91" t="inlineStr"/>
      <c r="E91" s="5" t="n"/>
      <c r="F91" s="5" t="n"/>
      <c r="H91" s="5" t="n">
        <v>1</v>
      </c>
      <c r="I91" s="5" t="n">
        <v>1</v>
      </c>
      <c r="J91" s="5" t="n">
        <v>1</v>
      </c>
      <c r="W91" s="5" t="n">
        <v>5000</v>
      </c>
    </row>
    <row r="92">
      <c r="A92" t="inlineStr">
        <is>
          <t>warcraft2</t>
        </is>
      </c>
      <c r="B92" t="inlineStr">
        <is>
          <t>wc2_orcs_upgrade_betterfarm</t>
        </is>
      </c>
      <c r="C92" t="inlineStr">
        <is>
          <t>Better Farm</t>
        </is>
      </c>
      <c r="D92" t="inlineStr"/>
      <c r="E92" s="5" t="n"/>
      <c r="F92" s="5" t="n"/>
      <c r="H92" s="5" t="n">
        <v>1</v>
      </c>
      <c r="I92" s="5" t="n">
        <v>1</v>
      </c>
      <c r="J92" s="5" t="n">
        <v>1</v>
      </c>
      <c r="W92" s="5" t="n">
        <v>2500</v>
      </c>
    </row>
    <row r="93">
      <c r="A93" t="inlineStr">
        <is>
          <t>warcraft2</t>
        </is>
      </c>
      <c r="B93" t="inlineStr">
        <is>
          <t>wc2_orcs_upgrade_bloodlust</t>
        </is>
      </c>
      <c r="C93" t="inlineStr">
        <is>
          <t>Bloodlust</t>
        </is>
      </c>
      <c r="D93" t="inlineStr"/>
      <c r="E93" s="5" t="n"/>
      <c r="F93" s="5" t="n"/>
      <c r="H93" s="5" t="n">
        <v>1</v>
      </c>
      <c r="I93" s="5" t="n">
        <v>1</v>
      </c>
      <c r="J93" s="5" t="n">
        <v>1</v>
      </c>
      <c r="W93" s="5" t="n">
        <v>2500</v>
      </c>
    </row>
    <row r="94">
      <c r="A94" t="inlineStr">
        <is>
          <t>warcraft2</t>
        </is>
      </c>
      <c r="B94" t="inlineStr">
        <is>
          <t>wc2_orcs_upgrade_cannondamage</t>
        </is>
      </c>
      <c r="C94" t="inlineStr">
        <is>
          <t>Cannon Damage</t>
        </is>
      </c>
      <c r="D94" t="inlineStr"/>
      <c r="E94" s="5" t="n"/>
      <c r="F94" s="5" t="n"/>
      <c r="H94" s="5" t="n">
        <v>1</v>
      </c>
      <c r="I94" s="5" t="n">
        <v>1</v>
      </c>
      <c r="J94" s="5" t="n">
        <v>1</v>
      </c>
      <c r="W94" s="5" t="n">
        <v>2500</v>
      </c>
    </row>
    <row r="95">
      <c r="A95" t="inlineStr">
        <is>
          <t>warcraft2</t>
        </is>
      </c>
      <c r="B95" t="inlineStr">
        <is>
          <t>wc2_orcs_upgrade_cannondamageii</t>
        </is>
      </c>
      <c r="C95" t="inlineStr">
        <is>
          <t>Cannon Damage II</t>
        </is>
      </c>
      <c r="D95" t="inlineStr"/>
      <c r="E95" s="5" t="n"/>
      <c r="F95" s="5" t="n"/>
      <c r="H95" s="5" t="n">
        <v>1</v>
      </c>
      <c r="I95" s="5" t="n">
        <v>1</v>
      </c>
      <c r="J95" s="5" t="n">
        <v>1</v>
      </c>
      <c r="W95" s="5" t="n">
        <v>5000</v>
      </c>
    </row>
    <row r="96">
      <c r="A96" t="inlineStr">
        <is>
          <t>warcraft2</t>
        </is>
      </c>
      <c r="B96" t="inlineStr">
        <is>
          <t>wc2_orcs_upgrade_catapultstrength</t>
        </is>
      </c>
      <c r="C96" t="inlineStr">
        <is>
          <t>Catapult Strength</t>
        </is>
      </c>
      <c r="D96" t="inlineStr"/>
      <c r="E96" s="5" t="n"/>
      <c r="F96" s="5" t="n"/>
      <c r="H96" s="5" t="n">
        <v>1</v>
      </c>
      <c r="I96" s="5" t="n">
        <v>1</v>
      </c>
      <c r="J96" s="5" t="n">
        <v>1</v>
      </c>
      <c r="W96" s="5" t="n">
        <v>2500</v>
      </c>
    </row>
    <row r="97">
      <c r="A97" t="inlineStr">
        <is>
          <t>warcraft2</t>
        </is>
      </c>
      <c r="B97" t="inlineStr">
        <is>
          <t>wc2_orcs_upgrade_catapultstrengthii</t>
        </is>
      </c>
      <c r="C97" t="inlineStr">
        <is>
          <t>Catapult Strength II</t>
        </is>
      </c>
      <c r="D97" t="inlineStr"/>
      <c r="E97" s="5" t="n"/>
      <c r="F97" s="5" t="n"/>
      <c r="H97" s="5" t="n">
        <v>1</v>
      </c>
      <c r="I97" s="5" t="n">
        <v>1</v>
      </c>
      <c r="J97" s="5" t="n">
        <v>1</v>
      </c>
      <c r="W97" s="5" t="n">
        <v>5000</v>
      </c>
    </row>
    <row r="98">
      <c r="A98" t="inlineStr">
        <is>
          <t>warcraft2</t>
        </is>
      </c>
      <c r="B98" t="inlineStr">
        <is>
          <t>wc2_orcs_upgrade_deathanddecay</t>
        </is>
      </c>
      <c r="C98" t="inlineStr">
        <is>
          <t>Death and Decay</t>
        </is>
      </c>
      <c r="D98" t="inlineStr"/>
      <c r="E98" s="5" t="n"/>
      <c r="F98" s="5" t="n"/>
      <c r="H98" s="5" t="n">
        <v>1</v>
      </c>
      <c r="I98" s="5" t="n">
        <v>1</v>
      </c>
      <c r="J98" s="5" t="n">
        <v>1</v>
      </c>
      <c r="W98" s="5" t="n">
        <v>2500</v>
      </c>
    </row>
    <row r="99">
      <c r="A99" t="inlineStr">
        <is>
          <t>warcraft2</t>
        </is>
      </c>
      <c r="B99" t="inlineStr">
        <is>
          <t>wc2_orcs_upgrade_haste</t>
        </is>
      </c>
      <c r="C99" t="inlineStr">
        <is>
          <t>Haste</t>
        </is>
      </c>
      <c r="D99" t="inlineStr"/>
      <c r="E99" s="5" t="n"/>
      <c r="F99" s="5" t="n"/>
      <c r="H99" s="5" t="n">
        <v>1</v>
      </c>
      <c r="I99" s="5" t="n">
        <v>1</v>
      </c>
      <c r="J99" s="5" t="n">
        <v>1</v>
      </c>
      <c r="W99" s="5" t="n">
        <v>2500</v>
      </c>
    </row>
    <row r="100">
      <c r="A100" t="inlineStr">
        <is>
          <t>warcraft2</t>
        </is>
      </c>
      <c r="B100" t="inlineStr">
        <is>
          <t>wc2_orcs_upgrade_ogremage</t>
        </is>
      </c>
      <c r="C100" t="inlineStr">
        <is>
          <t>Ogre-Mage</t>
        </is>
      </c>
      <c r="D100" t="inlineStr"/>
      <c r="E100" s="5" t="n"/>
      <c r="F100" s="5" t="n"/>
      <c r="H100" s="5" t="n">
        <v>1</v>
      </c>
      <c r="I100" s="5" t="n">
        <v>1</v>
      </c>
      <c r="J100" s="5" t="n">
        <v>1</v>
      </c>
      <c r="W100" s="5" t="n">
        <v>2500</v>
      </c>
    </row>
    <row r="101">
      <c r="A101" t="inlineStr">
        <is>
          <t>warcraft2</t>
        </is>
      </c>
      <c r="B101" t="inlineStr">
        <is>
          <t>wc2_orcs_upgrade_raisedead</t>
        </is>
      </c>
      <c r="C101" t="inlineStr">
        <is>
          <t>Raise Dead</t>
        </is>
      </c>
      <c r="D101" t="inlineStr"/>
      <c r="E101" s="5" t="n"/>
      <c r="F101" s="5" t="n"/>
      <c r="H101" s="5" t="n">
        <v>1</v>
      </c>
      <c r="I101" s="5" t="n">
        <v>1</v>
      </c>
      <c r="J101" s="5" t="n">
        <v>1</v>
      </c>
      <c r="W101" s="5" t="n">
        <v>2500</v>
      </c>
    </row>
    <row r="102">
      <c r="A102" t="inlineStr">
        <is>
          <t>warcraft2</t>
        </is>
      </c>
      <c r="B102" t="inlineStr">
        <is>
          <t>wc2_orcs_upgrade_runes</t>
        </is>
      </c>
      <c r="C102" t="inlineStr">
        <is>
          <t>Runes</t>
        </is>
      </c>
      <c r="D102" t="inlineStr"/>
      <c r="E102" s="5" t="n"/>
      <c r="F102" s="5" t="n"/>
      <c r="H102" s="5" t="n">
        <v>1</v>
      </c>
      <c r="I102" s="5" t="n">
        <v>1</v>
      </c>
      <c r="J102" s="5" t="n">
        <v>1</v>
      </c>
      <c r="W102" s="5" t="n">
        <v>2500</v>
      </c>
    </row>
    <row r="103">
      <c r="A103" t="inlineStr">
        <is>
          <t>warcraft2</t>
        </is>
      </c>
      <c r="B103" t="inlineStr">
        <is>
          <t>wc2_orcs_upgrade_throwingaxestrength</t>
        </is>
      </c>
      <c r="C103" t="inlineStr">
        <is>
          <t>Throwing Axe Strength</t>
        </is>
      </c>
      <c r="D103" t="inlineStr"/>
      <c r="E103" s="5" t="n"/>
      <c r="F103" s="5" t="n"/>
      <c r="H103" s="5" t="n">
        <v>1</v>
      </c>
      <c r="I103" s="5" t="n">
        <v>1</v>
      </c>
      <c r="J103" s="5" t="n">
        <v>1</v>
      </c>
      <c r="W103" s="5" t="n">
        <v>2500</v>
      </c>
    </row>
    <row r="104">
      <c r="A104" t="inlineStr">
        <is>
          <t>warcraft2</t>
        </is>
      </c>
      <c r="B104" t="inlineStr">
        <is>
          <t>wc2_orcs_upgrade_throwingaxestrengthii</t>
        </is>
      </c>
      <c r="C104" t="inlineStr">
        <is>
          <t>Throwing Axe Strength II</t>
        </is>
      </c>
      <c r="D104" t="inlineStr"/>
      <c r="E104" s="5" t="n"/>
      <c r="F104" s="5" t="n"/>
      <c r="H104" s="5" t="n">
        <v>1</v>
      </c>
      <c r="I104" s="5" t="n">
        <v>1</v>
      </c>
      <c r="J104" s="5" t="n">
        <v>1</v>
      </c>
      <c r="W104" s="5" t="n">
        <v>5000</v>
      </c>
    </row>
    <row r="105">
      <c r="A105" t="inlineStr">
        <is>
          <t>warcraft2</t>
        </is>
      </c>
      <c r="B105" t="inlineStr">
        <is>
          <t>wc2_orcs_upgrade_trollheadhunter</t>
        </is>
      </c>
      <c r="C105" t="inlineStr">
        <is>
          <t>Troll Headhunter</t>
        </is>
      </c>
      <c r="D105" t="inlineStr"/>
      <c r="E105" s="5" t="n"/>
      <c r="F105" s="5" t="n"/>
      <c r="H105" s="5" t="n">
        <v>1</v>
      </c>
      <c r="I105" s="5" t="n">
        <v>1</v>
      </c>
      <c r="J105" s="5" t="n">
        <v>1</v>
      </c>
      <c r="W105" s="5" t="n">
        <v>2500</v>
      </c>
    </row>
    <row r="106">
      <c r="A106" t="inlineStr">
        <is>
          <t>warcraft2</t>
        </is>
      </c>
      <c r="B106" t="inlineStr">
        <is>
          <t>wc2_orcs_upgrade_warcraft3grunt</t>
        </is>
      </c>
      <c r="C106" t="inlineStr">
        <is>
          <t>Warcraft 3 Grunt</t>
        </is>
      </c>
      <c r="D106" t="inlineStr"/>
      <c r="E106" s="5" t="n"/>
      <c r="F106" s="5" t="n"/>
      <c r="H106" s="5" t="n">
        <v>1</v>
      </c>
      <c r="I106" s="5" t="n">
        <v>1</v>
      </c>
      <c r="J106" s="5" t="n">
        <v>1</v>
      </c>
      <c r="W106" s="5" t="n">
        <v>2500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Y2:Y107">
    <cfRule type="colorScale" priority="1">
      <colorScale>
        <cfvo type="num" val="0"/>
        <cfvo type="num" val="0.25"/>
        <cfvo type="num" val="0.6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2026-07-19T19:23:27Z</dcterms:created>
  <dcterms:modified xsi:type="dcterms:W3CDTF">2026-07-19T19:23:28Z</dcterms:modified>
</cp:coreProperties>
</file>